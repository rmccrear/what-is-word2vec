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ord Vectors" sheetId="1" state="visible" r:id="rId1"/>
    <sheet name="Cosine Similarity" sheetId="2" state="visible" r:id="rId2"/>
    <sheet name="Instructions" sheetId="3" state="visible" r:id="rId3"/>
    <sheet name="Top Match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i val="1"/>
    </font>
    <font>
      <i val="1"/>
    </font>
  </fonts>
  <fills count="2">
    <fill>
      <patternFill/>
    </fill>
    <fill>
      <patternFill patternType="gray125"/>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9">
    <xf numFmtId="0" fontId="0" fillId="0" borderId="0" pivotButton="0" quotePrefix="0" xfId="0"/>
    <xf numFmtId="0" fontId="1" fillId="0" borderId="1" applyAlignment="1" pivotButton="0" quotePrefix="0" xfId="0">
      <alignment horizontal="center" vertical="top"/>
    </xf>
    <xf numFmtId="0" fontId="2" fillId="0" borderId="1" applyAlignment="1" pivotButton="0" quotePrefix="0" xfId="0">
      <alignment horizontal="center"/>
    </xf>
    <xf numFmtId="0" fontId="0" fillId="0" borderId="4" pivotButton="0" quotePrefix="0" xfId="0"/>
    <xf numFmtId="0" fontId="0" fillId="0" borderId="5" pivotButton="0" quotePrefix="0" xfId="0"/>
    <xf numFmtId="0" fontId="1"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workbookViewId="0">
      <selection activeCell="A1" sqref="A1"/>
    </sheetView>
  </sheetViews>
  <sheetFormatPr baseColWidth="8" defaultRowHeight="15"/>
  <sheetData>
    <row r="1">
      <c r="A1" s="1" t="inlineStr">
        <is>
          <t>word</t>
        </is>
      </c>
      <c r="B1" s="1" t="inlineStr">
        <is>
          <t>dim_0</t>
        </is>
      </c>
      <c r="C1" s="1" t="inlineStr">
        <is>
          <t>dim_1</t>
        </is>
      </c>
      <c r="D1" s="1" t="inlineStr">
        <is>
          <t>dim_2</t>
        </is>
      </c>
      <c r="E1" s="1" t="inlineStr">
        <is>
          <t>dim_3</t>
        </is>
      </c>
      <c r="F1" s="1" t="inlineStr">
        <is>
          <t>dim_4</t>
        </is>
      </c>
      <c r="G1" s="1" t="inlineStr">
        <is>
          <t>dim_5</t>
        </is>
      </c>
      <c r="H1" s="1" t="inlineStr">
        <is>
          <t>dim_6</t>
        </is>
      </c>
      <c r="I1" s="1" t="inlineStr">
        <is>
          <t>dim_7</t>
        </is>
      </c>
      <c r="J1" s="1" t="inlineStr">
        <is>
          <t>dim_8</t>
        </is>
      </c>
      <c r="K1" s="1" t="inlineStr">
        <is>
          <t>dim_9</t>
        </is>
      </c>
      <c r="L1" s="1" t="inlineStr">
        <is>
          <t>dim_10</t>
        </is>
      </c>
      <c r="M1" s="1" t="inlineStr">
        <is>
          <t>dim_11</t>
        </is>
      </c>
      <c r="N1" s="1" t="inlineStr">
        <is>
          <t>dim_12</t>
        </is>
      </c>
      <c r="O1" s="1" t="inlineStr">
        <is>
          <t>dim_13</t>
        </is>
      </c>
      <c r="P1" s="1" t="inlineStr">
        <is>
          <t>dim_14</t>
        </is>
      </c>
      <c r="Q1" s="1" t="inlineStr">
        <is>
          <t>dim_15</t>
        </is>
      </c>
      <c r="R1" s="1" t="inlineStr">
        <is>
          <t>dim_16</t>
        </is>
      </c>
      <c r="S1" s="1" t="inlineStr">
        <is>
          <t>dim_17</t>
        </is>
      </c>
      <c r="T1" s="1" t="inlineStr">
        <is>
          <t>dim_18</t>
        </is>
      </c>
      <c r="U1" s="1" t="inlineStr">
        <is>
          <t>dim_19</t>
        </is>
      </c>
      <c r="V1" s="1" t="inlineStr">
        <is>
          <t>dim_20</t>
        </is>
      </c>
      <c r="W1" s="1" t="inlineStr">
        <is>
          <t>dim_21</t>
        </is>
      </c>
      <c r="X1" s="1" t="inlineStr">
        <is>
          <t>dim_22</t>
        </is>
      </c>
      <c r="Y1" s="1" t="inlineStr">
        <is>
          <t>dim_23</t>
        </is>
      </c>
      <c r="Z1" s="1" t="inlineStr">
        <is>
          <t>dim_24</t>
        </is>
      </c>
    </row>
    <row r="2">
      <c r="A2" t="inlineStr">
        <is>
          <t>follow</t>
        </is>
      </c>
      <c r="B2" t="n">
        <v>0.0033407</v>
      </c>
      <c r="C2" t="n">
        <v>0.91533</v>
      </c>
      <c r="D2" t="n">
        <v>-1.2207</v>
      </c>
      <c r="E2" t="n">
        <v>-0.45773</v>
      </c>
      <c r="F2" t="n">
        <v>-0.59682</v>
      </c>
      <c r="G2" t="n">
        <v>-0.64277</v>
      </c>
      <c r="H2" t="n">
        <v>1.0497</v>
      </c>
      <c r="I2" t="n">
        <v>1.7013</v>
      </c>
      <c r="J2" t="n">
        <v>-1.3643</v>
      </c>
      <c r="K2" t="n">
        <v>0.3601</v>
      </c>
      <c r="L2" t="n">
        <v>-0.25219</v>
      </c>
      <c r="M2" t="n">
        <v>-0.14811</v>
      </c>
      <c r="N2" t="n">
        <v>-3.8711</v>
      </c>
      <c r="O2" t="n">
        <v>-1.0949</v>
      </c>
      <c r="P2" t="n">
        <v>-1.3944</v>
      </c>
      <c r="Q2" t="n">
        <v>0.22114</v>
      </c>
      <c r="R2" t="n">
        <v>-0.76684</v>
      </c>
      <c r="S2" t="n">
        <v>-2.0907</v>
      </c>
      <c r="T2" t="n">
        <v>-1.0099</v>
      </c>
      <c r="U2" t="n">
        <v>0.20968</v>
      </c>
      <c r="V2" t="n">
        <v>-0.27403</v>
      </c>
      <c r="W2" t="n">
        <v>-1.8368</v>
      </c>
      <c r="X2" t="n">
        <v>-0.4521</v>
      </c>
      <c r="Y2" t="n">
        <v>0.8915</v>
      </c>
      <c r="Z2" t="n">
        <v>-1.0369</v>
      </c>
    </row>
    <row r="3">
      <c r="A3" t="inlineStr">
        <is>
          <t>know</t>
        </is>
      </c>
      <c r="B3" t="n">
        <v>0.3026</v>
      </c>
      <c r="C3" t="n">
        <v>0.69964</v>
      </c>
      <c r="D3" t="n">
        <v>-0.0034578</v>
      </c>
      <c r="E3" t="n">
        <v>-0.058919</v>
      </c>
      <c r="F3" t="n">
        <v>-0.68751</v>
      </c>
      <c r="G3" t="n">
        <v>-0.14206</v>
      </c>
      <c r="H3" t="n">
        <v>1.9477</v>
      </c>
      <c r="I3" t="n">
        <v>0.012731</v>
      </c>
      <c r="J3" t="n">
        <v>-0.51457</v>
      </c>
      <c r="K3" t="n">
        <v>0.17647</v>
      </c>
      <c r="L3" t="n">
        <v>-0.78809</v>
      </c>
      <c r="M3" t="n">
        <v>0.5208</v>
      </c>
      <c r="N3" t="n">
        <v>-5.5365</v>
      </c>
      <c r="O3" t="n">
        <v>-0.58156</v>
      </c>
      <c r="P3" t="n">
        <v>0.044223</v>
      </c>
      <c r="Q3" t="n">
        <v>0.25819</v>
      </c>
      <c r="R3" t="n">
        <v>0.46792</v>
      </c>
      <c r="S3" t="n">
        <v>-0.81097</v>
      </c>
      <c r="T3" t="n">
        <v>0.11121</v>
      </c>
      <c r="U3" t="n">
        <v>-0.16901</v>
      </c>
      <c r="V3" t="n">
        <v>1.1741</v>
      </c>
      <c r="W3" t="n">
        <v>0.48617</v>
      </c>
      <c r="X3" t="n">
        <v>-0.02715</v>
      </c>
      <c r="Y3" t="n">
        <v>0.62826</v>
      </c>
      <c r="Z3" t="n">
        <v>-0.27193</v>
      </c>
    </row>
    <row r="4">
      <c r="A4" t="inlineStr">
        <is>
          <t>back</t>
        </is>
      </c>
      <c r="B4" t="n">
        <v>-0.74355</v>
      </c>
      <c r="C4" t="n">
        <v>0.715</v>
      </c>
      <c r="D4" t="n">
        <v>-0.1593</v>
      </c>
      <c r="E4" t="n">
        <v>-0.28136</v>
      </c>
      <c r="F4" t="n">
        <v>-0.736</v>
      </c>
      <c r="G4" t="n">
        <v>-0.17702</v>
      </c>
      <c r="H4" t="n">
        <v>1.0432</v>
      </c>
      <c r="I4" t="n">
        <v>0.62863</v>
      </c>
      <c r="J4" t="n">
        <v>-1.0324</v>
      </c>
      <c r="K4" t="n">
        <v>0.44264</v>
      </c>
      <c r="L4" t="n">
        <v>-0.11356</v>
      </c>
      <c r="M4" t="n">
        <v>0.30086</v>
      </c>
      <c r="N4" t="n">
        <v>-4.7917</v>
      </c>
      <c r="O4" t="n">
        <v>-0.22962</v>
      </c>
      <c r="P4" t="n">
        <v>-0.21154</v>
      </c>
      <c r="Q4" t="n">
        <v>-0.14965</v>
      </c>
      <c r="R4" t="n">
        <v>-0.31582</v>
      </c>
      <c r="S4" t="n">
        <v>-1.3908</v>
      </c>
      <c r="T4" t="n">
        <v>-0.736</v>
      </c>
      <c r="U4" t="n">
        <v>-0.46094</v>
      </c>
      <c r="V4" t="n">
        <v>-0.13124</v>
      </c>
      <c r="W4" t="n">
        <v>-0.96047</v>
      </c>
      <c r="X4" t="n">
        <v>1.2604</v>
      </c>
      <c r="Y4" t="n">
        <v>0.2479</v>
      </c>
      <c r="Z4" t="n">
        <v>-0.44585</v>
      </c>
    </row>
    <row r="5">
      <c r="A5" t="inlineStr">
        <is>
          <t>people</t>
        </is>
      </c>
      <c r="B5" t="n">
        <v>0.61531</v>
      </c>
      <c r="C5" t="n">
        <v>0.40895</v>
      </c>
      <c r="D5" t="n">
        <v>-0.34224</v>
      </c>
      <c r="E5" t="n">
        <v>0.21094</v>
      </c>
      <c r="F5" t="n">
        <v>-0.046403</v>
      </c>
      <c r="G5" t="n">
        <v>0.29744</v>
      </c>
      <c r="H5" t="n">
        <v>1.9485</v>
      </c>
      <c r="I5" t="n">
        <v>-0.91247</v>
      </c>
      <c r="J5" t="n">
        <v>-0.85772</v>
      </c>
      <c r="K5" t="n">
        <v>0.5729300000000001</v>
      </c>
      <c r="L5" t="n">
        <v>-0.99537</v>
      </c>
      <c r="M5" t="n">
        <v>-0.15858</v>
      </c>
      <c r="N5" t="n">
        <v>-5.4328</v>
      </c>
      <c r="O5" t="n">
        <v>0.11578</v>
      </c>
      <c r="P5" t="n">
        <v>-0.27031</v>
      </c>
      <c r="Q5" t="n">
        <v>0.35207</v>
      </c>
      <c r="R5" t="n">
        <v>0.16624</v>
      </c>
      <c r="S5" t="n">
        <v>-0.91364</v>
      </c>
      <c r="T5" t="n">
        <v>0.6933</v>
      </c>
      <c r="U5" t="n">
        <v>-0.65035</v>
      </c>
      <c r="V5" t="n">
        <v>0.7735300000000001</v>
      </c>
      <c r="W5" t="n">
        <v>-0.087782</v>
      </c>
      <c r="X5" t="n">
        <v>-0.43228</v>
      </c>
      <c r="Y5" t="n">
        <v>-0.99982</v>
      </c>
      <c r="Z5" t="n">
        <v>-0.68077</v>
      </c>
    </row>
    <row r="6">
      <c r="A6" t="inlineStr">
        <is>
          <t>really</t>
        </is>
      </c>
      <c r="B6" t="n">
        <v>-0.08943</v>
      </c>
      <c r="C6" t="n">
        <v>0.22163</v>
      </c>
      <c r="D6" t="n">
        <v>0.18244</v>
      </c>
      <c r="E6" t="n">
        <v>-0.8341499999999999</v>
      </c>
      <c r="F6" t="n">
        <v>-0.44891</v>
      </c>
      <c r="G6" t="n">
        <v>0.47993</v>
      </c>
      <c r="H6" t="n">
        <v>2.1459</v>
      </c>
      <c r="I6" t="n">
        <v>-0.45866</v>
      </c>
      <c r="J6" t="n">
        <v>-0.71512</v>
      </c>
      <c r="K6" t="n">
        <v>-0.25822</v>
      </c>
      <c r="L6" t="n">
        <v>-0.40632</v>
      </c>
      <c r="M6" t="n">
        <v>0.8001200000000001</v>
      </c>
      <c r="N6" t="n">
        <v>-5.3547</v>
      </c>
      <c r="O6" t="n">
        <v>-0.75984</v>
      </c>
      <c r="P6" t="n">
        <v>0.12148</v>
      </c>
      <c r="Q6" t="n">
        <v>0.24563</v>
      </c>
      <c r="R6" t="n">
        <v>0.2095</v>
      </c>
      <c r="S6" t="n">
        <v>-0.44553</v>
      </c>
      <c r="T6" t="n">
        <v>-0.01365</v>
      </c>
      <c r="U6" t="n">
        <v>-0.44779</v>
      </c>
      <c r="V6" t="n">
        <v>0.86121</v>
      </c>
      <c r="W6" t="n">
        <v>0.59802</v>
      </c>
      <c r="X6" t="n">
        <v>0.11607</v>
      </c>
      <c r="Y6" t="n">
        <v>0.69295</v>
      </c>
      <c r="Z6" t="n">
        <v>-0.39653</v>
      </c>
    </row>
    <row r="7">
      <c r="A7" t="inlineStr">
        <is>
          <t>think</t>
        </is>
      </c>
      <c r="B7" t="n">
        <v>0.32648</v>
      </c>
      <c r="C7" t="n">
        <v>0.48392</v>
      </c>
      <c r="D7" t="n">
        <v>0.13726</v>
      </c>
      <c r="E7" t="n">
        <v>-0.3465</v>
      </c>
      <c r="F7" t="n">
        <v>-0.80444</v>
      </c>
      <c r="G7" t="n">
        <v>0.13492</v>
      </c>
      <c r="H7" t="n">
        <v>1.8195</v>
      </c>
      <c r="I7" t="n">
        <v>-0.41097</v>
      </c>
      <c r="J7" t="n">
        <v>-0.55192</v>
      </c>
      <c r="K7" t="n">
        <v>-0.041287</v>
      </c>
      <c r="L7" t="n">
        <v>-0.43644</v>
      </c>
      <c r="M7" t="n">
        <v>0.65345</v>
      </c>
      <c r="N7" t="n">
        <v>-5.4586</v>
      </c>
      <c r="O7" t="n">
        <v>-0.58895</v>
      </c>
      <c r="P7" t="n">
        <v>0.071544</v>
      </c>
      <c r="Q7" t="n">
        <v>0.19618</v>
      </c>
      <c r="R7" t="n">
        <v>0.38752</v>
      </c>
      <c r="S7" t="n">
        <v>-0.59623</v>
      </c>
      <c r="T7" t="n">
        <v>0.09146799999999999</v>
      </c>
      <c r="U7" t="n">
        <v>-0.52565</v>
      </c>
      <c r="V7" t="n">
        <v>0.77938</v>
      </c>
      <c r="W7" t="n">
        <v>0.68852</v>
      </c>
      <c r="X7" t="n">
        <v>-0.12746</v>
      </c>
      <c r="Y7" t="n">
        <v>0.1726</v>
      </c>
      <c r="Z7" t="n">
        <v>-0.60569</v>
      </c>
    </row>
    <row r="8">
      <c r="A8" t="inlineStr">
        <is>
          <t>would</t>
        </is>
      </c>
      <c r="B8" t="n">
        <v>-0.1093</v>
      </c>
      <c r="C8" t="n">
        <v>0.31885</v>
      </c>
      <c r="D8" t="n">
        <v>-0.30186</v>
      </c>
      <c r="E8" t="n">
        <v>-0.6054</v>
      </c>
      <c r="F8" t="n">
        <v>-0.97979</v>
      </c>
      <c r="G8" t="n">
        <v>-0.61332</v>
      </c>
      <c r="H8" t="n">
        <v>1.7117</v>
      </c>
      <c r="I8" t="n">
        <v>-0.73405</v>
      </c>
      <c r="J8" t="n">
        <v>-0.70542</v>
      </c>
      <c r="K8" t="n">
        <v>-0.44535</v>
      </c>
      <c r="L8" t="n">
        <v>0.57517</v>
      </c>
      <c r="M8" t="n">
        <v>0.60497</v>
      </c>
      <c r="N8" t="n">
        <v>-5.6804</v>
      </c>
      <c r="O8" t="n">
        <v>-0.42542</v>
      </c>
      <c r="P8" t="n">
        <v>-0.18938</v>
      </c>
      <c r="Q8" t="n">
        <v>0.09392200000000001</v>
      </c>
      <c r="R8" t="n">
        <v>0.46316</v>
      </c>
      <c r="S8" t="n">
        <v>-0.75234</v>
      </c>
      <c r="T8" t="n">
        <v>0.33293</v>
      </c>
      <c r="U8" t="n">
        <v>-0.7656500000000001</v>
      </c>
      <c r="V8" t="n">
        <v>0.54216</v>
      </c>
      <c r="W8" t="n">
        <v>0.53068</v>
      </c>
      <c r="X8" t="n">
        <v>0.35644</v>
      </c>
      <c r="Y8" t="n">
        <v>0.28121</v>
      </c>
      <c r="Z8" t="n">
        <v>-0.38527</v>
      </c>
    </row>
    <row r="9">
      <c r="A9" t="inlineStr">
        <is>
          <t>please</t>
        </is>
      </c>
      <c r="B9" t="n">
        <v>-0.32909</v>
      </c>
      <c r="C9" t="n">
        <v>0.40221</v>
      </c>
      <c r="D9" t="n">
        <v>-0.8100000000000001</v>
      </c>
      <c r="E9" t="n">
        <v>-0.37379</v>
      </c>
      <c r="F9" t="n">
        <v>-0.9107499999999999</v>
      </c>
      <c r="G9" t="n">
        <v>-1.4961</v>
      </c>
      <c r="H9" t="n">
        <v>1.7134</v>
      </c>
      <c r="I9" t="n">
        <v>0.90296</v>
      </c>
      <c r="J9" t="n">
        <v>-0.93052</v>
      </c>
      <c r="K9" t="n">
        <v>0.23089</v>
      </c>
      <c r="L9" t="n">
        <v>-0.30272</v>
      </c>
      <c r="M9" t="n">
        <v>-0.23206</v>
      </c>
      <c r="N9" t="n">
        <v>-4.2977</v>
      </c>
      <c r="O9" t="n">
        <v>-0.94941</v>
      </c>
      <c r="P9" t="n">
        <v>-0.27274</v>
      </c>
      <c r="Q9" t="n">
        <v>0.1943</v>
      </c>
      <c r="R9" t="n">
        <v>-0.19176</v>
      </c>
      <c r="S9" t="n">
        <v>-1.6868</v>
      </c>
      <c r="T9" t="n">
        <v>-0.40934</v>
      </c>
      <c r="U9" t="n">
        <v>-0.53334</v>
      </c>
      <c r="V9" t="n">
        <v>-0.27725</v>
      </c>
      <c r="W9" t="n">
        <v>-0.86553</v>
      </c>
      <c r="X9" t="n">
        <v>-0.16371</v>
      </c>
      <c r="Y9" t="n">
        <v>0.89115</v>
      </c>
      <c r="Z9" t="n">
        <v>-0.74183</v>
      </c>
    </row>
    <row r="10">
      <c r="A10" t="inlineStr">
        <is>
          <t>right</t>
        </is>
      </c>
      <c r="B10" t="n">
        <v>-0.43876</v>
      </c>
      <c r="C10" t="n">
        <v>0.095692</v>
      </c>
      <c r="D10" t="n">
        <v>0.0030075</v>
      </c>
      <c r="E10" t="n">
        <v>-0.13195</v>
      </c>
      <c r="F10" t="n">
        <v>-0.087741</v>
      </c>
      <c r="G10" t="n">
        <v>-0.036863</v>
      </c>
      <c r="H10" t="n">
        <v>1.7566</v>
      </c>
      <c r="I10" t="n">
        <v>-0.47702</v>
      </c>
      <c r="J10" t="n">
        <v>-0.46528</v>
      </c>
      <c r="K10" t="n">
        <v>0.46637</v>
      </c>
      <c r="L10" t="n">
        <v>-0.87605</v>
      </c>
      <c r="M10" t="n">
        <v>0.80857</v>
      </c>
      <c r="N10" t="n">
        <v>-5.1846</v>
      </c>
      <c r="O10" t="n">
        <v>-0.11673</v>
      </c>
      <c r="P10" t="n">
        <v>0.76945</v>
      </c>
      <c r="Q10" t="n">
        <v>0.12328</v>
      </c>
      <c r="R10" t="n">
        <v>0.073833</v>
      </c>
      <c r="S10" t="n">
        <v>-0.88051</v>
      </c>
      <c r="T10" t="n">
        <v>-0.22639</v>
      </c>
      <c r="U10" t="n">
        <v>-0.17336</v>
      </c>
      <c r="V10" t="n">
        <v>0.21476</v>
      </c>
      <c r="W10" t="n">
        <v>0.17998</v>
      </c>
      <c r="X10" t="n">
        <v>0.80019</v>
      </c>
      <c r="Y10" t="n">
        <v>0.30652</v>
      </c>
      <c r="Z10" t="n">
        <v>0.159</v>
      </c>
    </row>
    <row r="11">
      <c r="A11" t="inlineStr">
        <is>
          <t>twitter</t>
        </is>
      </c>
      <c r="B11" t="n">
        <v>1.6952</v>
      </c>
      <c r="C11" t="n">
        <v>0.42694</v>
      </c>
      <c r="D11" t="n">
        <v>0.14433</v>
      </c>
      <c r="E11" t="n">
        <v>-0.16535</v>
      </c>
      <c r="F11" t="n">
        <v>1.0463</v>
      </c>
      <c r="G11" t="n">
        <v>-0.029846</v>
      </c>
      <c r="H11" t="n">
        <v>0.33623</v>
      </c>
      <c r="I11" t="n">
        <v>1.5362</v>
      </c>
      <c r="J11" t="n">
        <v>-0.5848100000000001</v>
      </c>
      <c r="K11" t="n">
        <v>0.50349</v>
      </c>
      <c r="L11" t="n">
        <v>-0.50595</v>
      </c>
      <c r="M11" t="n">
        <v>-0.9113599999999999</v>
      </c>
      <c r="N11" t="n">
        <v>-3.8011</v>
      </c>
      <c r="O11" t="n">
        <v>-0.8685</v>
      </c>
      <c r="P11" t="n">
        <v>-0.13552</v>
      </c>
      <c r="Q11" t="n">
        <v>0.97055</v>
      </c>
      <c r="R11" t="n">
        <v>-0.13545</v>
      </c>
      <c r="S11" t="n">
        <v>-0.29825</v>
      </c>
      <c r="T11" t="n">
        <v>-1.2837</v>
      </c>
      <c r="U11" t="n">
        <v>-0.63245</v>
      </c>
      <c r="V11" t="n">
        <v>0.44748</v>
      </c>
      <c r="W11" t="n">
        <v>-0.92231</v>
      </c>
      <c r="X11" t="n">
        <v>-0.4138</v>
      </c>
      <c r="Y11" t="n">
        <v>0.20287</v>
      </c>
      <c r="Z11" t="n">
        <v>-0.33432</v>
      </c>
    </row>
    <row r="12">
      <c r="A12" t="inlineStr">
        <is>
          <t>hate</t>
        </is>
      </c>
      <c r="B12" t="n">
        <v>0.66523</v>
      </c>
      <c r="C12" t="n">
        <v>0.73776</v>
      </c>
      <c r="D12" t="n">
        <v>0.022958</v>
      </c>
      <c r="E12" t="n">
        <v>0.13177</v>
      </c>
      <c r="F12" t="n">
        <v>-0.7063</v>
      </c>
      <c r="G12" t="n">
        <v>0.64642</v>
      </c>
      <c r="H12" t="n">
        <v>2.1068</v>
      </c>
      <c r="I12" t="n">
        <v>-0.56058</v>
      </c>
      <c r="J12" t="n">
        <v>-0.70352</v>
      </c>
      <c r="K12" t="n">
        <v>0.83807</v>
      </c>
      <c r="L12" t="n">
        <v>-1.1425</v>
      </c>
      <c r="M12" t="n">
        <v>-0.092725</v>
      </c>
      <c r="N12" t="n">
        <v>-4.4378</v>
      </c>
      <c r="O12" t="n">
        <v>-0.76222</v>
      </c>
      <c r="P12" t="n">
        <v>0.18249</v>
      </c>
      <c r="Q12" t="n">
        <v>0.72472</v>
      </c>
      <c r="R12" t="n">
        <v>0.0060011</v>
      </c>
      <c r="S12" t="n">
        <v>-0.73652</v>
      </c>
      <c r="T12" t="n">
        <v>0.0023592</v>
      </c>
      <c r="U12" t="n">
        <v>-0.3483</v>
      </c>
      <c r="V12" t="n">
        <v>0.6523</v>
      </c>
      <c r="W12" t="n">
        <v>1.0148</v>
      </c>
      <c r="X12" t="n">
        <v>0.19504</v>
      </c>
      <c r="Y12" t="n">
        <v>-0.31584</v>
      </c>
      <c r="Z12" t="n">
        <v>-0.50971</v>
      </c>
    </row>
    <row r="13">
      <c r="A13" t="inlineStr">
        <is>
          <t>thanks</t>
        </is>
      </c>
      <c r="B13" t="n">
        <v>-0.8009500000000001</v>
      </c>
      <c r="C13" t="n">
        <v>0.82385</v>
      </c>
      <c r="D13" t="n">
        <v>-0.28273</v>
      </c>
      <c r="E13" t="n">
        <v>-0.10817</v>
      </c>
      <c r="F13" t="n">
        <v>-0.55175</v>
      </c>
      <c r="G13" t="n">
        <v>-0.72222</v>
      </c>
      <c r="H13" t="n">
        <v>1.6159</v>
      </c>
      <c r="I13" t="n">
        <v>0.9797</v>
      </c>
      <c r="J13" t="n">
        <v>-1.001</v>
      </c>
      <c r="K13" t="n">
        <v>0.26292</v>
      </c>
      <c r="L13" t="n">
        <v>-0.68467</v>
      </c>
      <c r="M13" t="n">
        <v>0.50623</v>
      </c>
      <c r="N13" t="n">
        <v>-3.8982</v>
      </c>
      <c r="O13" t="n">
        <v>-0.56209</v>
      </c>
      <c r="P13" t="n">
        <v>0.43343</v>
      </c>
      <c r="Q13" t="n">
        <v>-0.66157</v>
      </c>
      <c r="R13" t="n">
        <v>0.86205</v>
      </c>
      <c r="S13" t="n">
        <v>-1.0689</v>
      </c>
      <c r="T13" t="n">
        <v>-1.0178</v>
      </c>
      <c r="U13" t="n">
        <v>0.05931</v>
      </c>
      <c r="V13" t="n">
        <v>-0.35647</v>
      </c>
      <c r="W13" t="n">
        <v>-0.43121</v>
      </c>
      <c r="X13" t="n">
        <v>-1.1485</v>
      </c>
      <c r="Y13" t="n">
        <v>1.3683</v>
      </c>
      <c r="Z13" t="n">
        <v>-0.7281300000000001</v>
      </c>
    </row>
    <row r="14">
      <c r="A14" t="inlineStr">
        <is>
          <t>followers</t>
        </is>
      </c>
      <c r="B14" t="n">
        <v>1.1628</v>
      </c>
      <c r="C14" t="n">
        <v>1.2063</v>
      </c>
      <c r="D14" t="n">
        <v>-0.98311</v>
      </c>
      <c r="E14" t="n">
        <v>-0.68714</v>
      </c>
      <c r="F14" t="n">
        <v>0.8722800000000001</v>
      </c>
      <c r="G14" t="n">
        <v>-0.038465</v>
      </c>
      <c r="H14" t="n">
        <v>0.60075</v>
      </c>
      <c r="I14" t="n">
        <v>0.75044</v>
      </c>
      <c r="J14" t="n">
        <v>-1.6369</v>
      </c>
      <c r="K14" t="n">
        <v>0.64954</v>
      </c>
      <c r="L14" t="n">
        <v>-0.015009</v>
      </c>
      <c r="M14" t="n">
        <v>-0.46255</v>
      </c>
      <c r="N14" t="n">
        <v>-3.182</v>
      </c>
      <c r="O14" t="n">
        <v>-0.091041</v>
      </c>
      <c r="P14" t="n">
        <v>-1.3646</v>
      </c>
      <c r="Q14" t="n">
        <v>0.42786</v>
      </c>
      <c r="R14" t="n">
        <v>-0.41818</v>
      </c>
      <c r="S14" t="n">
        <v>-1.7688</v>
      </c>
      <c r="T14" t="n">
        <v>-1.0609</v>
      </c>
      <c r="U14" t="n">
        <v>-0.08956600000000001</v>
      </c>
      <c r="V14" t="n">
        <v>-0.64473</v>
      </c>
      <c r="W14" t="n">
        <v>-1.4028</v>
      </c>
      <c r="X14" t="n">
        <v>-0.11063</v>
      </c>
      <c r="Y14" t="n">
        <v>0.6234499999999999</v>
      </c>
      <c r="Z14" t="n">
        <v>-1.0737</v>
      </c>
    </row>
    <row r="15">
      <c r="A15" t="inlineStr">
        <is>
          <t>everyone</t>
        </is>
      </c>
      <c r="B15" t="n">
        <v>-0.66344</v>
      </c>
      <c r="C15" t="n">
        <v>1.1679</v>
      </c>
      <c r="D15" t="n">
        <v>0.031686</v>
      </c>
      <c r="E15" t="n">
        <v>-0.049315</v>
      </c>
      <c r="F15" t="n">
        <v>-0.43452</v>
      </c>
      <c r="G15" t="n">
        <v>-0.52471</v>
      </c>
      <c r="H15" t="n">
        <v>2.1418</v>
      </c>
      <c r="I15" t="n">
        <v>-0.32636</v>
      </c>
      <c r="J15" t="n">
        <v>-1.7366</v>
      </c>
      <c r="K15" t="n">
        <v>0.26686</v>
      </c>
      <c r="L15" t="n">
        <v>-0.47925</v>
      </c>
      <c r="M15" t="n">
        <v>0.27399</v>
      </c>
      <c r="N15" t="n">
        <v>-4.7679</v>
      </c>
      <c r="O15" t="n">
        <v>0.045498</v>
      </c>
      <c r="P15" t="n">
        <v>-0.20918</v>
      </c>
      <c r="Q15" t="n">
        <v>0.147</v>
      </c>
      <c r="R15" t="n">
        <v>-0.32177</v>
      </c>
      <c r="S15" t="n">
        <v>-1.0588</v>
      </c>
      <c r="T15" t="n">
        <v>0.13412</v>
      </c>
      <c r="U15" t="n">
        <v>-0.33091</v>
      </c>
      <c r="V15" t="n">
        <v>0.42165</v>
      </c>
      <c r="W15" t="n">
        <v>-0.9311</v>
      </c>
      <c r="X15" t="n">
        <v>0.0065537</v>
      </c>
      <c r="Y15" t="n">
        <v>-0.10001</v>
      </c>
      <c r="Z15" t="n">
        <v>-0.86712</v>
      </c>
    </row>
    <row r="16">
      <c r="A16" t="inlineStr">
        <is>
          <t>tonight</t>
        </is>
      </c>
      <c r="B16" t="n">
        <v>-0.86482</v>
      </c>
      <c r="C16" t="n">
        <v>0.65099</v>
      </c>
      <c r="D16" t="n">
        <v>0.59029</v>
      </c>
      <c r="E16" t="n">
        <v>-1.1413</v>
      </c>
      <c r="F16" t="n">
        <v>-0.63281</v>
      </c>
      <c r="G16" t="n">
        <v>-0.014645</v>
      </c>
      <c r="H16" t="n">
        <v>1.6853</v>
      </c>
      <c r="I16" t="n">
        <v>-0.41908</v>
      </c>
      <c r="J16" t="n">
        <v>-0.59958</v>
      </c>
      <c r="K16" t="n">
        <v>-0.61763</v>
      </c>
      <c r="L16" t="n">
        <v>-0.59244</v>
      </c>
      <c r="M16" t="n">
        <v>0.70116</v>
      </c>
      <c r="N16" t="n">
        <v>-4.6682</v>
      </c>
      <c r="O16" t="n">
        <v>0.64156</v>
      </c>
      <c r="P16" t="n">
        <v>1.1898</v>
      </c>
      <c r="Q16" t="n">
        <v>-0.16486</v>
      </c>
      <c r="R16" t="n">
        <v>-0.11951</v>
      </c>
      <c r="S16" t="n">
        <v>-1.2156</v>
      </c>
      <c r="T16" t="n">
        <v>-0.8837</v>
      </c>
      <c r="U16" t="n">
        <v>0.29483</v>
      </c>
      <c r="V16" t="n">
        <v>-0.71793</v>
      </c>
      <c r="W16" t="n">
        <v>-0.31835</v>
      </c>
      <c r="X16" t="n">
        <v>0.59246</v>
      </c>
      <c r="Y16" t="n">
        <v>-0.08290500000000001</v>
      </c>
      <c r="Z16" t="n">
        <v>1.1007</v>
      </c>
    </row>
    <row r="17">
      <c r="A17" t="inlineStr">
        <is>
          <t>first</t>
        </is>
      </c>
      <c r="B17" t="n">
        <v>-0.0048302</v>
      </c>
      <c r="C17" t="n">
        <v>0.52898</v>
      </c>
      <c r="D17" t="n">
        <v>0.62385</v>
      </c>
      <c r="E17" t="n">
        <v>-0.65502</v>
      </c>
      <c r="F17" t="n">
        <v>-0.10903</v>
      </c>
      <c r="G17" t="n">
        <v>-0.33937</v>
      </c>
      <c r="H17" t="n">
        <v>1.7463</v>
      </c>
      <c r="I17" t="n">
        <v>0.10884</v>
      </c>
      <c r="J17" t="n">
        <v>0.21209</v>
      </c>
      <c r="K17" t="n">
        <v>-0.36222</v>
      </c>
      <c r="L17" t="n">
        <v>0.24687</v>
      </c>
      <c r="M17" t="n">
        <v>0.6970499999999999</v>
      </c>
      <c r="N17" t="n">
        <v>-4.8934</v>
      </c>
      <c r="O17" t="n">
        <v>0.66483</v>
      </c>
      <c r="P17" t="n">
        <v>0.32078</v>
      </c>
      <c r="Q17" t="n">
        <v>-0.20673</v>
      </c>
      <c r="R17" t="n">
        <v>0.79626</v>
      </c>
      <c r="S17" t="n">
        <v>-0.51975</v>
      </c>
      <c r="T17" t="n">
        <v>-0.50631</v>
      </c>
      <c r="U17" t="n">
        <v>-0.49261</v>
      </c>
      <c r="V17" t="n">
        <v>-0.82211</v>
      </c>
      <c r="W17" t="n">
        <v>0.17603</v>
      </c>
      <c r="X17" t="n">
        <v>0.069424</v>
      </c>
      <c r="Y17" t="n">
        <v>-0.26431</v>
      </c>
      <c r="Z17" t="n">
        <v>-0.58399</v>
      </c>
    </row>
    <row r="18">
      <c r="A18" t="inlineStr">
        <is>
          <t>tomorrow</t>
        </is>
      </c>
      <c r="B18" t="n">
        <v>-0.72888</v>
      </c>
      <c r="C18" t="n">
        <v>0.67018</v>
      </c>
      <c r="D18" t="n">
        <v>0.59031</v>
      </c>
      <c r="E18" t="n">
        <v>-1.2582</v>
      </c>
      <c r="F18" t="n">
        <v>-0.49123</v>
      </c>
      <c r="G18" t="n">
        <v>-0.51539</v>
      </c>
      <c r="H18" t="n">
        <v>1.8958</v>
      </c>
      <c r="I18" t="n">
        <v>-0.77475</v>
      </c>
      <c r="J18" t="n">
        <v>-0.35509</v>
      </c>
      <c r="K18" t="n">
        <v>-0.0711</v>
      </c>
      <c r="L18" t="n">
        <v>-0.92774</v>
      </c>
      <c r="M18" t="n">
        <v>0.11631</v>
      </c>
      <c r="N18" t="n">
        <v>-4.6456</v>
      </c>
      <c r="O18" t="n">
        <v>0.82867</v>
      </c>
      <c r="P18" t="n">
        <v>1.3562</v>
      </c>
      <c r="Q18" t="n">
        <v>-0.49394</v>
      </c>
      <c r="R18" t="n">
        <v>0.091404</v>
      </c>
      <c r="S18" t="n">
        <v>-1.2579</v>
      </c>
      <c r="T18" t="n">
        <v>-0.9641999999999999</v>
      </c>
      <c r="U18" t="n">
        <v>-0.16778</v>
      </c>
      <c r="V18" t="n">
        <v>-0.7975100000000001</v>
      </c>
      <c r="W18" t="n">
        <v>-0.44121</v>
      </c>
      <c r="X18" t="n">
        <v>0.5125</v>
      </c>
      <c r="Y18" t="n">
        <v>0.88524</v>
      </c>
      <c r="Z18" t="n">
        <v>0.73395</v>
      </c>
    </row>
    <row r="19">
      <c r="A19" t="inlineStr">
        <is>
          <t>thank</t>
        </is>
      </c>
      <c r="B19" t="n">
        <v>-0.89595</v>
      </c>
      <c r="C19" t="n">
        <v>0.7029</v>
      </c>
      <c r="D19" t="n">
        <v>-0.062201</v>
      </c>
      <c r="E19" t="n">
        <v>-0.032215</v>
      </c>
      <c r="F19" t="n">
        <v>-0.7688700000000001</v>
      </c>
      <c r="G19" t="n">
        <v>-0.94539</v>
      </c>
      <c r="H19" t="n">
        <v>2.0386</v>
      </c>
      <c r="I19" t="n">
        <v>0.5293600000000001</v>
      </c>
      <c r="J19" t="n">
        <v>-1.2984</v>
      </c>
      <c r="K19" t="n">
        <v>0.073917</v>
      </c>
      <c r="L19" t="n">
        <v>-0.75875</v>
      </c>
      <c r="M19" t="n">
        <v>0.29734</v>
      </c>
      <c r="N19" t="n">
        <v>-4.1307</v>
      </c>
      <c r="O19" t="n">
        <v>0.1515</v>
      </c>
      <c r="P19" t="n">
        <v>-0.029354</v>
      </c>
      <c r="Q19" t="n">
        <v>-0.74631</v>
      </c>
      <c r="R19" t="n">
        <v>0.4362</v>
      </c>
      <c r="S19" t="n">
        <v>-0.60568</v>
      </c>
      <c r="T19" t="n">
        <v>-0.68405</v>
      </c>
      <c r="U19" t="n">
        <v>-0.0013887</v>
      </c>
      <c r="V19" t="n">
        <v>-0.27782</v>
      </c>
      <c r="W19" t="n">
        <v>-0.31068</v>
      </c>
      <c r="X19" t="n">
        <v>-0.99361</v>
      </c>
      <c r="Y19" t="n">
        <v>1.2176</v>
      </c>
      <c r="Z19" t="n">
        <v>-0.63259</v>
      </c>
    </row>
    <row r="20">
      <c r="A20" t="inlineStr">
        <is>
          <t>morning</t>
        </is>
      </c>
      <c r="B20" t="n">
        <v>-1.484</v>
      </c>
      <c r="C20" t="n">
        <v>0.89623</v>
      </c>
      <c r="D20" t="n">
        <v>0.40684</v>
      </c>
      <c r="E20" t="n">
        <v>0.17774</v>
      </c>
      <c r="F20" t="n">
        <v>-0.18277</v>
      </c>
      <c r="G20" t="n">
        <v>0.19872</v>
      </c>
      <c r="H20" t="n">
        <v>2.3773</v>
      </c>
      <c r="I20" t="n">
        <v>0.48527</v>
      </c>
      <c r="J20" t="n">
        <v>-0.42055</v>
      </c>
      <c r="K20" t="n">
        <v>0.48673</v>
      </c>
      <c r="L20" t="n">
        <v>-0.93276</v>
      </c>
      <c r="M20" t="n">
        <v>0.49597</v>
      </c>
      <c r="N20" t="n">
        <v>-3.6331</v>
      </c>
      <c r="O20" t="n">
        <v>0.74771</v>
      </c>
      <c r="P20" t="n">
        <v>0.4535</v>
      </c>
      <c r="Q20" t="n">
        <v>-0.8047</v>
      </c>
      <c r="R20" t="n">
        <v>0.70003</v>
      </c>
      <c r="S20" t="n">
        <v>-1.0404</v>
      </c>
      <c r="T20" t="n">
        <v>-0.92182</v>
      </c>
      <c r="U20" t="n">
        <v>0.040901</v>
      </c>
      <c r="V20" t="n">
        <v>-0.38105</v>
      </c>
      <c r="W20" t="n">
        <v>-0.38305</v>
      </c>
      <c r="X20" t="n">
        <v>-0.37806</v>
      </c>
      <c r="Y20" t="n">
        <v>0.90019</v>
      </c>
      <c r="Z20" t="n">
        <v>0.37246</v>
      </c>
    </row>
    <row r="21">
      <c r="A21" t="inlineStr">
        <is>
          <t>things</t>
        </is>
      </c>
      <c r="B21" t="n">
        <v>0.60226</v>
      </c>
      <c r="C21" t="n">
        <v>0.0034872</v>
      </c>
      <c r="D21" t="n">
        <v>0.10318</v>
      </c>
      <c r="E21" t="n">
        <v>0.92699</v>
      </c>
      <c r="F21" t="n">
        <v>0.22477</v>
      </c>
      <c r="G21" t="n">
        <v>0.58987</v>
      </c>
      <c r="H21" t="n">
        <v>2.0481</v>
      </c>
      <c r="I21" t="n">
        <v>-0.76664</v>
      </c>
      <c r="J21" t="n">
        <v>-0.8735000000000001</v>
      </c>
      <c r="K21" t="n">
        <v>-0.32925</v>
      </c>
      <c r="L21" t="n">
        <v>-0.66632</v>
      </c>
      <c r="M21" t="n">
        <v>-0.07617699999999999</v>
      </c>
      <c r="N21" t="n">
        <v>-4.9261</v>
      </c>
      <c r="O21" t="n">
        <v>0.34221</v>
      </c>
      <c r="P21" t="n">
        <v>-0.21414</v>
      </c>
      <c r="Q21" t="n">
        <v>0.73769</v>
      </c>
      <c r="R21" t="n">
        <v>0.16899</v>
      </c>
      <c r="S21" t="n">
        <v>-0.49701</v>
      </c>
      <c r="T21" t="n">
        <v>0.57874</v>
      </c>
      <c r="U21" t="n">
        <v>-0.51192</v>
      </c>
      <c r="V21" t="n">
        <v>0.22427</v>
      </c>
      <c r="W21" t="n">
        <v>-0.050183</v>
      </c>
      <c r="X21" t="n">
        <v>-0.42841</v>
      </c>
      <c r="Y21" t="n">
        <v>0.35663</v>
      </c>
      <c r="Z21" t="n">
        <v>-0.63732</v>
      </c>
    </row>
    <row r="22">
      <c r="A22" t="inlineStr">
        <is>
          <t>something</t>
        </is>
      </c>
      <c r="B22" t="n">
        <v>0.27826</v>
      </c>
      <c r="C22" t="n">
        <v>0.10752</v>
      </c>
      <c r="D22" t="n">
        <v>0.14319</v>
      </c>
      <c r="E22" t="n">
        <v>0.53687</v>
      </c>
      <c r="F22" t="n">
        <v>-0.24953</v>
      </c>
      <c r="G22" t="n">
        <v>0.62838</v>
      </c>
      <c r="H22" t="n">
        <v>1.7486</v>
      </c>
      <c r="I22" t="n">
        <v>-0.51831</v>
      </c>
      <c r="J22" t="n">
        <v>-0.54393</v>
      </c>
      <c r="K22" t="n">
        <v>0.044798</v>
      </c>
      <c r="L22" t="n">
        <v>-0.66409</v>
      </c>
      <c r="M22" t="n">
        <v>1.0936</v>
      </c>
      <c r="N22" t="n">
        <v>-4.9721</v>
      </c>
      <c r="O22" t="n">
        <v>-0.36599</v>
      </c>
      <c r="P22" t="n">
        <v>0.13586</v>
      </c>
      <c r="Q22" t="n">
        <v>0.27068</v>
      </c>
      <c r="R22" t="n">
        <v>0.37082</v>
      </c>
      <c r="S22" t="n">
        <v>-0.6038</v>
      </c>
      <c r="T22" t="n">
        <v>0.072578</v>
      </c>
      <c r="U22" t="n">
        <v>-0.90211</v>
      </c>
      <c r="V22" t="n">
        <v>0.12695</v>
      </c>
      <c r="W22" t="n">
        <v>-0.19831</v>
      </c>
      <c r="X22" t="n">
        <v>-0.19498</v>
      </c>
      <c r="Y22" t="n">
        <v>0.72022</v>
      </c>
      <c r="Z22" t="n">
        <v>-0.6061</v>
      </c>
    </row>
    <row r="23">
      <c r="A23" t="inlineStr">
        <is>
          <t>thing</t>
        </is>
      </c>
      <c r="B23" t="n">
        <v>0.16975</v>
      </c>
      <c r="C23" t="n">
        <v>-0.020645</v>
      </c>
      <c r="D23" t="n">
        <v>0.21225</v>
      </c>
      <c r="E23" t="n">
        <v>0.064267</v>
      </c>
      <c r="F23" t="n">
        <v>0.39214</v>
      </c>
      <c r="G23" t="n">
        <v>-0.044754</v>
      </c>
      <c r="H23" t="n">
        <v>2.2341</v>
      </c>
      <c r="I23" t="n">
        <v>-0.6147899999999999</v>
      </c>
      <c r="J23" t="n">
        <v>-0.55764</v>
      </c>
      <c r="K23" t="n">
        <v>-0.17259</v>
      </c>
      <c r="L23" t="n">
        <v>-0.26628</v>
      </c>
      <c r="M23" t="n">
        <v>0.44421</v>
      </c>
      <c r="N23" t="n">
        <v>-4.8733</v>
      </c>
      <c r="O23" t="n">
        <v>0.20317</v>
      </c>
      <c r="P23" t="n">
        <v>0.39283</v>
      </c>
      <c r="Q23" t="n">
        <v>0.84204</v>
      </c>
      <c r="R23" t="n">
        <v>0.60424</v>
      </c>
      <c r="S23" t="n">
        <v>-0.4735</v>
      </c>
      <c r="T23" t="n">
        <v>0.06453299999999999</v>
      </c>
      <c r="U23" t="n">
        <v>0.10996</v>
      </c>
      <c r="V23" t="n">
        <v>0.43413</v>
      </c>
      <c r="W23" t="n">
        <v>0.5381</v>
      </c>
      <c r="X23" t="n">
        <v>0.09984700000000001</v>
      </c>
      <c r="Y23" t="n">
        <v>0.3911</v>
      </c>
      <c r="Z23" t="n">
        <v>-0.29941</v>
      </c>
    </row>
    <row r="24">
      <c r="A24" t="inlineStr">
        <is>
          <t>hey</t>
        </is>
      </c>
      <c r="B24" t="n">
        <v>-0.011587</v>
      </c>
      <c r="C24" t="n">
        <v>0.6575</v>
      </c>
      <c r="D24" t="n">
        <v>0.19401</v>
      </c>
      <c r="E24" t="n">
        <v>0.1987</v>
      </c>
      <c r="F24" t="n">
        <v>-0.69354</v>
      </c>
      <c r="G24" t="n">
        <v>-0.21891</v>
      </c>
      <c r="H24" t="n">
        <v>1.51</v>
      </c>
      <c r="I24" t="n">
        <v>1.2904</v>
      </c>
      <c r="J24" t="n">
        <v>-1.0422</v>
      </c>
      <c r="K24" t="n">
        <v>0.24974</v>
      </c>
      <c r="L24" t="n">
        <v>-0.49163</v>
      </c>
      <c r="M24" t="n">
        <v>-0.1556</v>
      </c>
      <c r="N24" t="n">
        <v>-3.1915</v>
      </c>
      <c r="O24" t="n">
        <v>-1.0046</v>
      </c>
      <c r="P24" t="n">
        <v>-0.057773</v>
      </c>
      <c r="Q24" t="n">
        <v>-0.31536</v>
      </c>
      <c r="R24" t="n">
        <v>0.4798</v>
      </c>
      <c r="S24" t="n">
        <v>-0.47948</v>
      </c>
      <c r="T24" t="n">
        <v>-1.0734</v>
      </c>
      <c r="U24" t="n">
        <v>0.52967</v>
      </c>
      <c r="V24" t="n">
        <v>0.80522</v>
      </c>
      <c r="W24" t="n">
        <v>0.041814</v>
      </c>
      <c r="X24" t="n">
        <v>-0.49073</v>
      </c>
      <c r="Y24" t="n">
        <v>0.73534</v>
      </c>
      <c r="Z24" t="n">
        <v>-0.11157</v>
      </c>
    </row>
    <row r="25">
      <c r="A25" t="inlineStr">
        <is>
          <t>free</t>
        </is>
      </c>
      <c r="B25" t="n">
        <v>-0.014577</v>
      </c>
      <c r="C25" t="n">
        <v>1.1052</v>
      </c>
      <c r="D25" t="n">
        <v>-0.32093</v>
      </c>
      <c r="E25" t="n">
        <v>-0.35025</v>
      </c>
      <c r="F25" t="n">
        <v>0.65034</v>
      </c>
      <c r="G25" t="n">
        <v>-0.17946</v>
      </c>
      <c r="H25" t="n">
        <v>1.0967</v>
      </c>
      <c r="I25" t="n">
        <v>0.21447</v>
      </c>
      <c r="J25" t="n">
        <v>0.5652700000000001</v>
      </c>
      <c r="K25" t="n">
        <v>0.19124</v>
      </c>
      <c r="L25" t="n">
        <v>0.5733</v>
      </c>
      <c r="M25" t="n">
        <v>0.18844</v>
      </c>
      <c r="N25" t="n">
        <v>-4.1624</v>
      </c>
      <c r="O25" t="n">
        <v>-0.67647</v>
      </c>
      <c r="P25" t="n">
        <v>-0.33129</v>
      </c>
      <c r="Q25" t="n">
        <v>-0.38925</v>
      </c>
      <c r="R25" t="n">
        <v>0.65206</v>
      </c>
      <c r="S25" t="n">
        <v>-1.1814</v>
      </c>
      <c r="T25" t="n">
        <v>-0.27982</v>
      </c>
      <c r="U25" t="n">
        <v>0.20279</v>
      </c>
      <c r="V25" t="n">
        <v>-1.0775</v>
      </c>
      <c r="W25" t="n">
        <v>-1.1988</v>
      </c>
      <c r="X25" t="n">
        <v>-0.090183</v>
      </c>
      <c r="Y25" t="n">
        <v>0.054852</v>
      </c>
      <c r="Z25" t="n">
        <v>-0.10991</v>
      </c>
    </row>
    <row r="26">
      <c r="A26" t="inlineStr">
        <is>
          <t>everything</t>
        </is>
      </c>
      <c r="B26" t="n">
        <v>0.02173</v>
      </c>
      <c r="C26" t="n">
        <v>0.20375</v>
      </c>
      <c r="D26" t="n">
        <v>0.016315</v>
      </c>
      <c r="E26" t="n">
        <v>0.67693</v>
      </c>
      <c r="F26" t="n">
        <v>-0.46602</v>
      </c>
      <c r="G26" t="n">
        <v>0.15124</v>
      </c>
      <c r="H26" t="n">
        <v>1.6915</v>
      </c>
      <c r="I26" t="n">
        <v>-0.5542899999999999</v>
      </c>
      <c r="J26" t="n">
        <v>-1.0803</v>
      </c>
      <c r="K26" t="n">
        <v>0.26162</v>
      </c>
      <c r="L26" t="n">
        <v>-0.61959</v>
      </c>
      <c r="M26" t="n">
        <v>0.91243</v>
      </c>
      <c r="N26" t="n">
        <v>-5.1245</v>
      </c>
      <c r="O26" t="n">
        <v>-0.25337</v>
      </c>
      <c r="P26" t="n">
        <v>0.1094</v>
      </c>
      <c r="Q26" t="n">
        <v>0.32106</v>
      </c>
      <c r="R26" t="n">
        <v>0.012691</v>
      </c>
      <c r="S26" t="n">
        <v>-0.37511</v>
      </c>
      <c r="T26" t="n">
        <v>0.6795099999999999</v>
      </c>
      <c r="U26" t="n">
        <v>-0.40901</v>
      </c>
      <c r="V26" t="n">
        <v>-0.0015301</v>
      </c>
      <c r="W26" t="n">
        <v>-0.37981</v>
      </c>
      <c r="X26" t="n">
        <v>-0.15657</v>
      </c>
      <c r="Y26" t="n">
        <v>0.93747</v>
      </c>
      <c r="Z26" t="n">
        <v>-0.63504</v>
      </c>
    </row>
    <row r="27">
      <c r="A27" t="inlineStr">
        <is>
          <t>facebook</t>
        </is>
      </c>
      <c r="B27" t="n">
        <v>1.8545</v>
      </c>
      <c r="C27" t="n">
        <v>0.000786</v>
      </c>
      <c r="D27" t="n">
        <v>0.33901</v>
      </c>
      <c r="E27" t="n">
        <v>-0.30362</v>
      </c>
      <c r="F27" t="n">
        <v>1.1392</v>
      </c>
      <c r="G27" t="n">
        <v>-0.304</v>
      </c>
      <c r="H27" t="n">
        <v>0.053234</v>
      </c>
      <c r="I27" t="n">
        <v>0.84017</v>
      </c>
      <c r="J27" t="n">
        <v>-0.26918</v>
      </c>
      <c r="K27" t="n">
        <v>0.12832</v>
      </c>
      <c r="L27" t="n">
        <v>0.1685</v>
      </c>
      <c r="M27" t="n">
        <v>-1.1183</v>
      </c>
      <c r="N27" t="n">
        <v>-3.5827</v>
      </c>
      <c r="O27" t="n">
        <v>-1.1707</v>
      </c>
      <c r="P27" t="n">
        <v>-0.15102</v>
      </c>
      <c r="Q27" t="n">
        <v>0.72618</v>
      </c>
      <c r="R27" t="n">
        <v>-0.026316</v>
      </c>
      <c r="S27" t="n">
        <v>0.11115</v>
      </c>
      <c r="T27" t="n">
        <v>-0.90396</v>
      </c>
      <c r="U27" t="n">
        <v>-0.83639</v>
      </c>
      <c r="V27" t="n">
        <v>0.30915</v>
      </c>
      <c r="W27" t="n">
        <v>-1.4184</v>
      </c>
      <c r="X27" t="n">
        <v>-0.46751</v>
      </c>
      <c r="Y27" t="n">
        <v>-0.32155</v>
      </c>
      <c r="Z27" t="n">
        <v>-0.63986</v>
      </c>
    </row>
    <row r="28">
      <c r="A28" t="inlineStr">
        <is>
          <t>nothing</t>
        </is>
      </c>
      <c r="B28" t="n">
        <v>0.16153</v>
      </c>
      <c r="C28" t="n">
        <v>0.5684</v>
      </c>
      <c r="D28" t="n">
        <v>-0.12668</v>
      </c>
      <c r="E28" t="n">
        <v>0.35667</v>
      </c>
      <c r="F28" t="n">
        <v>-0.42759</v>
      </c>
      <c r="G28" t="n">
        <v>0.84419</v>
      </c>
      <c r="H28" t="n">
        <v>1.7493</v>
      </c>
      <c r="I28" t="n">
        <v>-0.47395</v>
      </c>
      <c r="J28" t="n">
        <v>-0.77475</v>
      </c>
      <c r="K28" t="n">
        <v>0.2761</v>
      </c>
      <c r="L28" t="n">
        <v>-0.63575</v>
      </c>
      <c r="M28" t="n">
        <v>0.71921</v>
      </c>
      <c r="N28" t="n">
        <v>-4.8104</v>
      </c>
      <c r="O28" t="n">
        <v>-0.10104</v>
      </c>
      <c r="P28" t="n">
        <v>0.38474</v>
      </c>
      <c r="Q28" t="n">
        <v>0.46582</v>
      </c>
      <c r="R28" t="n">
        <v>-0.023778</v>
      </c>
      <c r="S28" t="n">
        <v>-0.07897</v>
      </c>
      <c r="T28" t="n">
        <v>0.43896</v>
      </c>
      <c r="U28" t="n">
        <v>-0.5548</v>
      </c>
      <c r="V28" t="n">
        <v>0.18181</v>
      </c>
      <c r="W28" t="n">
        <v>0.34767</v>
      </c>
      <c r="X28" t="n">
        <v>-0.20072</v>
      </c>
      <c r="Y28" t="n">
        <v>0.76552</v>
      </c>
      <c r="Z28" t="n">
        <v>-0.35511</v>
      </c>
    </row>
    <row r="29">
      <c r="A29" t="inlineStr">
        <is>
          <t>text</t>
        </is>
      </c>
      <c r="B29" t="n">
        <v>0.040059</v>
      </c>
      <c r="C29" t="n">
        <v>0.8202199999999999</v>
      </c>
      <c r="D29" t="n">
        <v>0.7337900000000001</v>
      </c>
      <c r="E29" t="n">
        <v>-0.039085</v>
      </c>
      <c r="F29" t="n">
        <v>0.16341</v>
      </c>
      <c r="G29" t="n">
        <v>-0.47094</v>
      </c>
      <c r="H29" t="n">
        <v>1.4084</v>
      </c>
      <c r="I29" t="n">
        <v>0.39711</v>
      </c>
      <c r="J29" t="n">
        <v>-0.34106</v>
      </c>
      <c r="K29" t="n">
        <v>0.7648</v>
      </c>
      <c r="L29" t="n">
        <v>-1.3201</v>
      </c>
      <c r="M29" t="n">
        <v>0.45895</v>
      </c>
      <c r="N29" t="n">
        <v>-3.8149</v>
      </c>
      <c r="O29" t="n">
        <v>-0.68482</v>
      </c>
      <c r="P29" t="n">
        <v>0.074633</v>
      </c>
      <c r="Q29" t="n">
        <v>1.122</v>
      </c>
      <c r="R29" t="n">
        <v>1.0326</v>
      </c>
      <c r="S29" t="n">
        <v>-1.4022</v>
      </c>
      <c r="T29" t="n">
        <v>-0.83862</v>
      </c>
      <c r="U29" t="n">
        <v>-1.0037</v>
      </c>
      <c r="V29" t="n">
        <v>0.84522</v>
      </c>
      <c r="W29" t="n">
        <v>-0.75224</v>
      </c>
      <c r="X29" t="n">
        <v>0.0018968</v>
      </c>
      <c r="Y29" t="n">
        <v>0.9497100000000001</v>
      </c>
      <c r="Z29" t="n">
        <v>-1.6414</v>
      </c>
    </row>
    <row r="30">
      <c r="A30" t="inlineStr">
        <is>
          <t>heart</t>
        </is>
      </c>
      <c r="B30" t="n">
        <v>-0.67666</v>
      </c>
      <c r="C30" t="n">
        <v>-0.42667</v>
      </c>
      <c r="D30" t="n">
        <v>0.08336</v>
      </c>
      <c r="E30" t="n">
        <v>1.1881</v>
      </c>
      <c r="F30" t="n">
        <v>-0.11975</v>
      </c>
      <c r="G30" t="n">
        <v>-0.19192</v>
      </c>
      <c r="H30" t="n">
        <v>1.7635</v>
      </c>
      <c r="I30" t="n">
        <v>0.31854</v>
      </c>
      <c r="J30" t="n">
        <v>-0.16889</v>
      </c>
      <c r="K30" t="n">
        <v>0.0060286</v>
      </c>
      <c r="L30" t="n">
        <v>-0.2276</v>
      </c>
      <c r="M30" t="n">
        <v>0.44928</v>
      </c>
      <c r="N30" t="n">
        <v>-4.422</v>
      </c>
      <c r="O30" t="n">
        <v>0.2048</v>
      </c>
      <c r="P30" t="n">
        <v>-1.0987</v>
      </c>
      <c r="Q30" t="n">
        <v>0.32956</v>
      </c>
      <c r="R30" t="n">
        <v>-0.43523</v>
      </c>
      <c r="S30" t="n">
        <v>0.24524</v>
      </c>
      <c r="T30" t="n">
        <v>0.51776</v>
      </c>
      <c r="U30" t="n">
        <v>-0.54756</v>
      </c>
      <c r="V30" t="n">
        <v>-0.63736</v>
      </c>
      <c r="W30" t="n">
        <v>0.62678</v>
      </c>
      <c r="X30" t="n">
        <v>0.52751</v>
      </c>
      <c r="Y30" t="n">
        <v>0.53186</v>
      </c>
      <c r="Z30" t="n">
        <v>-0.17866</v>
      </c>
    </row>
    <row r="31">
      <c r="A31" t="inlineStr">
        <is>
          <t>house</t>
        </is>
      </c>
      <c r="B31" t="n">
        <v>-1.1589</v>
      </c>
      <c r="C31" t="n">
        <v>0.40706</v>
      </c>
      <c r="D31" t="n">
        <v>1.2051</v>
      </c>
      <c r="E31" t="n">
        <v>-0.19056</v>
      </c>
      <c r="F31" t="n">
        <v>0.11131</v>
      </c>
      <c r="G31" t="n">
        <v>-0.051701</v>
      </c>
      <c r="H31" t="n">
        <v>0.91339</v>
      </c>
      <c r="I31" t="n">
        <v>-0.35861</v>
      </c>
      <c r="J31" t="n">
        <v>0.59744</v>
      </c>
      <c r="K31" t="n">
        <v>0.18681</v>
      </c>
      <c r="L31" t="n">
        <v>-0.18825</v>
      </c>
      <c r="M31" t="n">
        <v>-0.42439</v>
      </c>
      <c r="N31" t="n">
        <v>-4.6994</v>
      </c>
      <c r="O31" t="n">
        <v>-0.0090055</v>
      </c>
      <c r="P31" t="n">
        <v>0.40719</v>
      </c>
      <c r="Q31" t="n">
        <v>-0.27002</v>
      </c>
      <c r="R31" t="n">
        <v>0.32667</v>
      </c>
      <c r="S31" t="n">
        <v>-0.36875</v>
      </c>
      <c r="T31" t="n">
        <v>-0.48711</v>
      </c>
      <c r="U31" t="n">
        <v>-0.20568</v>
      </c>
      <c r="V31" t="n">
        <v>0.3559</v>
      </c>
      <c r="W31" t="n">
        <v>-0.3417</v>
      </c>
      <c r="X31" t="n">
        <v>0.27324</v>
      </c>
      <c r="Y31" t="n">
        <v>-0.3588</v>
      </c>
      <c r="Z31" t="n">
        <v>0.58548</v>
      </c>
    </row>
    <row r="32">
      <c r="A32" t="inlineStr">
        <is>
          <t>already</t>
        </is>
      </c>
      <c r="B32" t="n">
        <v>-0.26674</v>
      </c>
      <c r="C32" t="n">
        <v>0.95784</v>
      </c>
      <c r="D32" t="n">
        <v>0.85408</v>
      </c>
      <c r="E32" t="n">
        <v>-1.2863</v>
      </c>
      <c r="F32" t="n">
        <v>-0.25857</v>
      </c>
      <c r="G32" t="n">
        <v>-0.11652</v>
      </c>
      <c r="H32" t="n">
        <v>1.3789</v>
      </c>
      <c r="I32" t="n">
        <v>-0.63431</v>
      </c>
      <c r="J32" t="n">
        <v>-1.1211</v>
      </c>
      <c r="K32" t="n">
        <v>0.44065</v>
      </c>
      <c r="L32" t="n">
        <v>-0.12754</v>
      </c>
      <c r="M32" t="n">
        <v>0.78805</v>
      </c>
      <c r="N32" t="n">
        <v>-4.7377</v>
      </c>
      <c r="O32" t="n">
        <v>0.09654799999999999</v>
      </c>
      <c r="P32" t="n">
        <v>0.55361</v>
      </c>
      <c r="Q32" t="n">
        <v>0.085504</v>
      </c>
      <c r="R32" t="n">
        <v>0.36695</v>
      </c>
      <c r="S32" t="n">
        <v>-0.29787</v>
      </c>
      <c r="T32" t="n">
        <v>-0.30391</v>
      </c>
      <c r="U32" t="n">
        <v>-0.89655</v>
      </c>
      <c r="V32" t="n">
        <v>0.068798</v>
      </c>
      <c r="W32" t="n">
        <v>0.18418</v>
      </c>
      <c r="X32" t="n">
        <v>0.37875</v>
      </c>
      <c r="Y32" t="n">
        <v>0.78665</v>
      </c>
      <c r="Z32" t="n">
        <v>-0.020463</v>
      </c>
    </row>
    <row r="33">
      <c r="A33" t="inlineStr">
        <is>
          <t>actually</t>
        </is>
      </c>
      <c r="B33" t="n">
        <v>0.19143</v>
      </c>
      <c r="C33" t="n">
        <v>-0.11166</v>
      </c>
      <c r="D33" t="n">
        <v>0.48052</v>
      </c>
      <c r="E33" t="n">
        <v>-0.89678</v>
      </c>
      <c r="F33" t="n">
        <v>-0.50321</v>
      </c>
      <c r="G33" t="n">
        <v>0.2599</v>
      </c>
      <c r="H33" t="n">
        <v>2.0882</v>
      </c>
      <c r="I33" t="n">
        <v>-0.79426</v>
      </c>
      <c r="J33" t="n">
        <v>-0.69209</v>
      </c>
      <c r="K33" t="n">
        <v>-0.024274</v>
      </c>
      <c r="L33" t="n">
        <v>0.18013</v>
      </c>
      <c r="M33" t="n">
        <v>0.48718</v>
      </c>
      <c r="N33" t="n">
        <v>-4.9426</v>
      </c>
      <c r="O33" t="n">
        <v>-0.60236</v>
      </c>
      <c r="P33" t="n">
        <v>0.51938</v>
      </c>
      <c r="Q33" t="n">
        <v>0.789</v>
      </c>
      <c r="R33" t="n">
        <v>0.40785</v>
      </c>
      <c r="S33" t="n">
        <v>-0.089267</v>
      </c>
      <c r="T33" t="n">
        <v>0.016793</v>
      </c>
      <c r="U33" t="n">
        <v>-0.93771</v>
      </c>
      <c r="V33" t="n">
        <v>0.543</v>
      </c>
      <c r="W33" t="n">
        <v>0.69265</v>
      </c>
      <c r="X33" t="n">
        <v>-0.50457</v>
      </c>
      <c r="Y33" t="n">
        <v>0.52433</v>
      </c>
      <c r="Z33" t="n">
        <v>-0.60018</v>
      </c>
    </row>
    <row r="34">
      <c r="A34" t="inlineStr">
        <is>
          <t>though</t>
        </is>
      </c>
      <c r="B34" t="n">
        <v>-0.065511</v>
      </c>
      <c r="C34" t="n">
        <v>-0.10522</v>
      </c>
      <c r="D34" t="n">
        <v>0.09690699999999999</v>
      </c>
      <c r="E34" t="n">
        <v>-0.49758</v>
      </c>
      <c r="F34" t="n">
        <v>-0.21199</v>
      </c>
      <c r="G34" t="n">
        <v>-0.0012482</v>
      </c>
      <c r="H34" t="n">
        <v>1.6335</v>
      </c>
      <c r="I34" t="n">
        <v>-0.62905</v>
      </c>
      <c r="J34" t="n">
        <v>-1.015</v>
      </c>
      <c r="K34" t="n">
        <v>0.16611</v>
      </c>
      <c r="L34" t="n">
        <v>-0.52628</v>
      </c>
      <c r="M34" t="n">
        <v>0.94696</v>
      </c>
      <c r="N34" t="n">
        <v>-4.7845</v>
      </c>
      <c r="O34" t="n">
        <v>-0.13302</v>
      </c>
      <c r="P34" t="n">
        <v>0.99503</v>
      </c>
      <c r="Q34" t="n">
        <v>0.1845</v>
      </c>
      <c r="R34" t="n">
        <v>0.28176</v>
      </c>
      <c r="S34" t="n">
        <v>-1.0301</v>
      </c>
      <c r="T34" t="n">
        <v>-0.12599</v>
      </c>
      <c r="U34" t="n">
        <v>-0.17317</v>
      </c>
      <c r="V34" t="n">
        <v>0.30551</v>
      </c>
      <c r="W34" t="n">
        <v>0.48396</v>
      </c>
      <c r="X34" t="n">
        <v>0.32332</v>
      </c>
      <c r="Y34" t="n">
        <v>0.61872</v>
      </c>
      <c r="Z34" t="n">
        <v>0.020781</v>
      </c>
    </row>
    <row r="35">
      <c r="A35" t="inlineStr">
        <is>
          <t>gameinsight</t>
        </is>
      </c>
      <c r="B35" t="n">
        <v>0.5292</v>
      </c>
      <c r="C35" t="n">
        <v>-1.4237</v>
      </c>
      <c r="D35" t="n">
        <v>-1.6115</v>
      </c>
      <c r="E35" t="n">
        <v>-1.8166</v>
      </c>
      <c r="F35" t="n">
        <v>-0.10061</v>
      </c>
      <c r="G35" t="n">
        <v>-1.1378</v>
      </c>
      <c r="H35" t="n">
        <v>0.59643</v>
      </c>
      <c r="I35" t="n">
        <v>-0.77185</v>
      </c>
      <c r="J35" t="n">
        <v>-1.5747</v>
      </c>
      <c r="K35" t="n">
        <v>-0.68664</v>
      </c>
      <c r="L35" t="n">
        <v>0.62987</v>
      </c>
      <c r="M35" t="n">
        <v>0.25043</v>
      </c>
      <c r="N35" t="n">
        <v>-1.1243</v>
      </c>
      <c r="O35" t="n">
        <v>-1.6592</v>
      </c>
      <c r="P35" t="n">
        <v>-1.4389</v>
      </c>
      <c r="Q35" t="n">
        <v>1.5199</v>
      </c>
      <c r="R35" t="n">
        <v>0.82417</v>
      </c>
      <c r="S35" t="n">
        <v>-0.27687</v>
      </c>
      <c r="T35" t="n">
        <v>0.10022</v>
      </c>
      <c r="U35" t="n">
        <v>-0.5021</v>
      </c>
      <c r="V35" t="n">
        <v>-1.4888</v>
      </c>
      <c r="W35" t="n">
        <v>-2.5375</v>
      </c>
      <c r="X35" t="n">
        <v>-0.37511</v>
      </c>
      <c r="Y35" t="n">
        <v>-0.60472</v>
      </c>
      <c r="Z35" t="n">
        <v>-0.081329</v>
      </c>
    </row>
    <row r="36">
      <c r="A36" t="inlineStr">
        <is>
          <t>around</t>
        </is>
      </c>
      <c r="B36" t="n">
        <v>-0.85139</v>
      </c>
      <c r="C36" t="n">
        <v>0.17936</v>
      </c>
      <c r="D36" t="n">
        <v>0.94352</v>
      </c>
      <c r="E36" t="n">
        <v>0.24877</v>
      </c>
      <c r="F36" t="n">
        <v>-0.45886</v>
      </c>
      <c r="G36" t="n">
        <v>0.75664</v>
      </c>
      <c r="H36" t="n">
        <v>0.87669</v>
      </c>
      <c r="I36" t="n">
        <v>-0.9190700000000001</v>
      </c>
      <c r="J36" t="n">
        <v>-0.17499</v>
      </c>
      <c r="K36" t="n">
        <v>0.74976</v>
      </c>
      <c r="L36" t="n">
        <v>-0.69619</v>
      </c>
      <c r="M36" t="n">
        <v>0.51807</v>
      </c>
      <c r="N36" t="n">
        <v>-4.9989</v>
      </c>
      <c r="O36" t="n">
        <v>0.4084</v>
      </c>
      <c r="P36" t="n">
        <v>-0.29264</v>
      </c>
      <c r="Q36" t="n">
        <v>0.60232</v>
      </c>
      <c r="R36" t="n">
        <v>-0.10882</v>
      </c>
      <c r="S36" t="n">
        <v>-0.95803</v>
      </c>
      <c r="T36" t="n">
        <v>-0.072445</v>
      </c>
      <c r="U36" t="n">
        <v>-0.70891</v>
      </c>
      <c r="V36" t="n">
        <v>-0.09622</v>
      </c>
      <c r="W36" t="n">
        <v>-0.40839</v>
      </c>
      <c r="X36" t="n">
        <v>0.83019</v>
      </c>
      <c r="Y36" t="n">
        <v>-0.79145</v>
      </c>
      <c r="Z36" t="n">
        <v>-0.024732</v>
      </c>
    </row>
    <row r="37">
      <c r="A37" t="inlineStr">
        <is>
          <t>ready</t>
        </is>
      </c>
      <c r="B37" t="n">
        <v>-0.65221</v>
      </c>
      <c r="C37" t="n">
        <v>1.0526</v>
      </c>
      <c r="D37" t="n">
        <v>0.25329</v>
      </c>
      <c r="E37" t="n">
        <v>-1.2971</v>
      </c>
      <c r="F37" t="n">
        <v>-0.37978</v>
      </c>
      <c r="G37" t="n">
        <v>0.5209</v>
      </c>
      <c r="H37" t="n">
        <v>1.1932</v>
      </c>
      <c r="I37" t="n">
        <v>0.10842</v>
      </c>
      <c r="J37" t="n">
        <v>0.061682</v>
      </c>
      <c r="K37" t="n">
        <v>-0.095665</v>
      </c>
      <c r="L37" t="n">
        <v>-0.077596</v>
      </c>
      <c r="M37" t="n">
        <v>0.21781</v>
      </c>
      <c r="N37" t="n">
        <v>-4.0465</v>
      </c>
      <c r="O37" t="n">
        <v>-0.066653</v>
      </c>
      <c r="P37" t="n">
        <v>-0.19757</v>
      </c>
      <c r="Q37" t="n">
        <v>-0.032495</v>
      </c>
      <c r="R37" t="n">
        <v>0.37691</v>
      </c>
      <c r="S37" t="n">
        <v>-1.4861</v>
      </c>
      <c r="T37" t="n">
        <v>-0.33261</v>
      </c>
      <c r="U37" t="n">
        <v>-0.64097</v>
      </c>
      <c r="V37" t="n">
        <v>-0.90181</v>
      </c>
      <c r="W37" t="n">
        <v>-0.19384</v>
      </c>
      <c r="X37" t="n">
        <v>0.57917</v>
      </c>
      <c r="Y37" t="n">
        <v>0.41116</v>
      </c>
      <c r="Z37" t="n">
        <v>0.40527</v>
      </c>
    </row>
    <row r="38">
      <c r="A38" t="inlineStr">
        <is>
          <t>money</t>
        </is>
      </c>
      <c r="B38" t="n">
        <v>0.36412</v>
      </c>
      <c r="C38" t="n">
        <v>1.7364</v>
      </c>
      <c r="D38" t="n">
        <v>-0.69661</v>
      </c>
      <c r="E38" t="n">
        <v>0.28056</v>
      </c>
      <c r="F38" t="n">
        <v>0.7324000000000001</v>
      </c>
      <c r="G38" t="n">
        <v>0.25299</v>
      </c>
      <c r="H38" t="n">
        <v>0.30951</v>
      </c>
      <c r="I38" t="n">
        <v>-0.73403</v>
      </c>
      <c r="J38" t="n">
        <v>-0.27963</v>
      </c>
      <c r="K38" t="n">
        <v>0.40459</v>
      </c>
      <c r="L38" t="n">
        <v>-0.042116</v>
      </c>
      <c r="M38" t="n">
        <v>0.10481</v>
      </c>
      <c r="N38" t="n">
        <v>-4.9592</v>
      </c>
      <c r="O38" t="n">
        <v>-0.33304</v>
      </c>
      <c r="P38" t="n">
        <v>-0.16283</v>
      </c>
      <c r="Q38" t="n">
        <v>-0.31812</v>
      </c>
      <c r="R38" t="n">
        <v>0.44274</v>
      </c>
      <c r="S38" t="n">
        <v>-0.7354000000000001</v>
      </c>
      <c r="T38" t="n">
        <v>0.23874</v>
      </c>
      <c r="U38" t="n">
        <v>0.032485</v>
      </c>
      <c r="V38" t="n">
        <v>0.12587</v>
      </c>
      <c r="W38" t="n">
        <v>-0.082511</v>
      </c>
      <c r="X38" t="n">
        <v>0.39956</v>
      </c>
      <c r="Y38" t="n">
        <v>0.32139</v>
      </c>
      <c r="Z38" t="n">
        <v>0.12204</v>
      </c>
    </row>
    <row r="39">
      <c r="A39" t="inlineStr">
        <is>
          <t>cool</t>
        </is>
      </c>
      <c r="B39" t="n">
        <v>-0.0045673</v>
      </c>
      <c r="C39" t="n">
        <v>-0.43031</v>
      </c>
      <c r="D39" t="n">
        <v>-0.34886</v>
      </c>
      <c r="E39" t="n">
        <v>-0.32651</v>
      </c>
      <c r="F39" t="n">
        <v>0.40524</v>
      </c>
      <c r="G39" t="n">
        <v>1.2037</v>
      </c>
      <c r="H39" t="n">
        <v>1.1036</v>
      </c>
      <c r="I39" t="n">
        <v>0.22803</v>
      </c>
      <c r="J39" t="n">
        <v>-0.58716</v>
      </c>
      <c r="K39" t="n">
        <v>0.0077757</v>
      </c>
      <c r="L39" t="n">
        <v>-0.52403</v>
      </c>
      <c r="M39" t="n">
        <v>0.24237</v>
      </c>
      <c r="N39" t="n">
        <v>-4.1876</v>
      </c>
      <c r="O39" t="n">
        <v>-0.66856</v>
      </c>
      <c r="P39" t="n">
        <v>0.065196</v>
      </c>
      <c r="Q39" t="n">
        <v>0.61802</v>
      </c>
      <c r="R39" t="n">
        <v>0.65445</v>
      </c>
      <c r="S39" t="n">
        <v>-0.77278</v>
      </c>
      <c r="T39" t="n">
        <v>-1.118</v>
      </c>
      <c r="U39" t="n">
        <v>0.60481</v>
      </c>
      <c r="V39" t="n">
        <v>0.51312</v>
      </c>
      <c r="W39" t="n">
        <v>-0.06536699999999999</v>
      </c>
      <c r="X39" t="n">
        <v>-0.31407</v>
      </c>
      <c r="Y39" t="n">
        <v>0.41616</v>
      </c>
      <c r="Z39" t="n">
        <v>0.056425</v>
      </c>
    </row>
    <row r="40">
      <c r="A40" t="inlineStr">
        <is>
          <t>tho</t>
        </is>
      </c>
      <c r="B40" t="n">
        <v>0.23137</v>
      </c>
      <c r="C40" t="n">
        <v>0.86772</v>
      </c>
      <c r="D40" t="n">
        <v>0.37081</v>
      </c>
      <c r="E40" t="n">
        <v>-0.41655</v>
      </c>
      <c r="F40" t="n">
        <v>-0.10009</v>
      </c>
      <c r="G40" t="n">
        <v>-0.013498</v>
      </c>
      <c r="H40" t="n">
        <v>1.0605</v>
      </c>
      <c r="I40" t="n">
        <v>-0.11029</v>
      </c>
      <c r="J40" t="n">
        <v>-0.6374300000000001</v>
      </c>
      <c r="K40" t="n">
        <v>0.75196</v>
      </c>
      <c r="L40" t="n">
        <v>-0.99764</v>
      </c>
      <c r="M40" t="n">
        <v>1.1776</v>
      </c>
      <c r="N40" t="n">
        <v>-4.2133</v>
      </c>
      <c r="O40" t="n">
        <v>-0.45646</v>
      </c>
      <c r="P40" t="n">
        <v>0.45225</v>
      </c>
      <c r="Q40" t="n">
        <v>0.14002</v>
      </c>
      <c r="R40" t="n">
        <v>0.17384</v>
      </c>
      <c r="S40" t="n">
        <v>-1.7134</v>
      </c>
      <c r="T40" t="n">
        <v>-0.29319</v>
      </c>
      <c r="U40" t="n">
        <v>0.37399</v>
      </c>
      <c r="V40" t="n">
        <v>0.79122</v>
      </c>
      <c r="W40" t="n">
        <v>0.74625</v>
      </c>
      <c r="X40" t="n">
        <v>0.81481</v>
      </c>
      <c r="Y40" t="n">
        <v>0.7435</v>
      </c>
      <c r="Z40" t="n">
        <v>0.6872</v>
      </c>
    </row>
    <row r="41">
      <c r="A41" t="inlineStr">
        <is>
          <t>another</t>
        </is>
      </c>
      <c r="B41" t="n">
        <v>-0.23207</v>
      </c>
      <c r="C41" t="n">
        <v>0.94237</v>
      </c>
      <c r="D41" t="n">
        <v>-0.0056452</v>
      </c>
      <c r="E41" t="n">
        <v>0.20526</v>
      </c>
      <c r="F41" t="n">
        <v>0.091339</v>
      </c>
      <c r="G41" t="n">
        <v>-0.019816</v>
      </c>
      <c r="H41" t="n">
        <v>1.6256</v>
      </c>
      <c r="I41" t="n">
        <v>-0.147</v>
      </c>
      <c r="J41" t="n">
        <v>-0.32503</v>
      </c>
      <c r="K41" t="n">
        <v>-0.57219</v>
      </c>
      <c r="L41" t="n">
        <v>-0.30231</v>
      </c>
      <c r="M41" t="n">
        <v>0.65193</v>
      </c>
      <c r="N41" t="n">
        <v>-4.7871</v>
      </c>
      <c r="O41" t="n">
        <v>0.36125</v>
      </c>
      <c r="P41" t="n">
        <v>0.2056</v>
      </c>
      <c r="Q41" t="n">
        <v>-0.46181</v>
      </c>
      <c r="R41" t="n">
        <v>0.74962</v>
      </c>
      <c r="S41" t="n">
        <v>-0.13513</v>
      </c>
      <c r="T41" t="n">
        <v>-0.34387</v>
      </c>
      <c r="U41" t="n">
        <v>-0.67783</v>
      </c>
      <c r="V41" t="n">
        <v>-0.5948099999999999</v>
      </c>
      <c r="W41" t="n">
        <v>0.1993</v>
      </c>
      <c r="X41" t="n">
        <v>0.54726</v>
      </c>
      <c r="Y41" t="n">
        <v>-0.5230399999999999</v>
      </c>
      <c r="Z41" t="n">
        <v>-0.46974</v>
      </c>
    </row>
    <row r="42">
      <c r="A42" t="inlineStr">
        <is>
          <t>top</t>
        </is>
      </c>
      <c r="B42" t="n">
        <v>0.58053</v>
      </c>
      <c r="C42" t="n">
        <v>-0.454</v>
      </c>
      <c r="D42" t="n">
        <v>0.18977</v>
      </c>
      <c r="E42" t="n">
        <v>-0.87207</v>
      </c>
      <c r="F42" t="n">
        <v>0.87435</v>
      </c>
      <c r="G42" t="n">
        <v>0.56002</v>
      </c>
      <c r="H42" t="n">
        <v>0.30758</v>
      </c>
      <c r="I42" t="n">
        <v>0.31558</v>
      </c>
      <c r="J42" t="n">
        <v>0.051025</v>
      </c>
      <c r="K42" t="n">
        <v>-0.64132</v>
      </c>
      <c r="L42" t="n">
        <v>0.43632</v>
      </c>
      <c r="M42" t="n">
        <v>-0.23557</v>
      </c>
      <c r="N42" t="n">
        <v>-4.113</v>
      </c>
      <c r="O42" t="n">
        <v>0.11087</v>
      </c>
      <c r="P42" t="n">
        <v>-0.34303</v>
      </c>
      <c r="Q42" t="n">
        <v>-0.34626</v>
      </c>
      <c r="R42" t="n">
        <v>-0.1184</v>
      </c>
      <c r="S42" t="n">
        <v>-0.395</v>
      </c>
      <c r="T42" t="n">
        <v>-1.1161</v>
      </c>
      <c r="U42" t="n">
        <v>0.5098200000000001</v>
      </c>
      <c r="V42" t="n">
        <v>-1.0695</v>
      </c>
      <c r="W42" t="n">
        <v>0.052526</v>
      </c>
      <c r="X42" t="n">
        <v>-0.14947</v>
      </c>
      <c r="Y42" t="n">
        <v>-0.47273</v>
      </c>
      <c r="Z42" t="n">
        <v>-0.007771</v>
      </c>
    </row>
    <row r="43">
      <c r="A43" t="inlineStr">
        <is>
          <t>family</t>
        </is>
      </c>
      <c r="B43" t="n">
        <v>-1.193</v>
      </c>
      <c r="C43" t="n">
        <v>0.63069</v>
      </c>
      <c r="D43" t="n">
        <v>0.16883</v>
      </c>
      <c r="E43" t="n">
        <v>-0.31611</v>
      </c>
      <c r="F43" t="n">
        <v>0.017884</v>
      </c>
      <c r="G43" t="n">
        <v>-0.2507</v>
      </c>
      <c r="H43" t="n">
        <v>1.581</v>
      </c>
      <c r="I43" t="n">
        <v>0.3686</v>
      </c>
      <c r="J43" t="n">
        <v>-0.2395</v>
      </c>
      <c r="K43" t="n">
        <v>-0.024608</v>
      </c>
      <c r="L43" t="n">
        <v>-0.32768</v>
      </c>
      <c r="M43" t="n">
        <v>-0.22614</v>
      </c>
      <c r="N43" t="n">
        <v>-4.3783</v>
      </c>
      <c r="O43" t="n">
        <v>0.51803</v>
      </c>
      <c r="P43" t="n">
        <v>-0.0087989</v>
      </c>
      <c r="Q43" t="n">
        <v>0.078987</v>
      </c>
      <c r="R43" t="n">
        <v>0.13064</v>
      </c>
      <c r="S43" t="n">
        <v>-0.8887</v>
      </c>
      <c r="T43" t="n">
        <v>-0.0063441</v>
      </c>
      <c r="U43" t="n">
        <v>0.22619</v>
      </c>
      <c r="V43" t="n">
        <v>0.29186</v>
      </c>
      <c r="W43" t="n">
        <v>-0.27092</v>
      </c>
      <c r="X43" t="n">
        <v>-1.041</v>
      </c>
      <c r="Y43" t="n">
        <v>-0.62446</v>
      </c>
      <c r="Z43" t="n">
        <v>-0.070521</v>
      </c>
    </row>
    <row r="44">
      <c r="A44" t="inlineStr">
        <is>
          <t>thought</t>
        </is>
      </c>
      <c r="B44" t="n">
        <v>0.07124999999999999</v>
      </c>
      <c r="C44" t="n">
        <v>0.41835</v>
      </c>
      <c r="D44" t="n">
        <v>0.72041</v>
      </c>
      <c r="E44" t="n">
        <v>-0.19193</v>
      </c>
      <c r="F44" t="n">
        <v>-0.56052</v>
      </c>
      <c r="G44" t="n">
        <v>-0.0046293</v>
      </c>
      <c r="H44" t="n">
        <v>1.7527</v>
      </c>
      <c r="I44" t="n">
        <v>-0.48958</v>
      </c>
      <c r="J44" t="n">
        <v>-0.7835800000000001</v>
      </c>
      <c r="K44" t="n">
        <v>-0.0059308</v>
      </c>
      <c r="L44" t="n">
        <v>-0.1839</v>
      </c>
      <c r="M44" t="n">
        <v>0.9559299999999999</v>
      </c>
      <c r="N44" t="n">
        <v>-4.8464</v>
      </c>
      <c r="O44" t="n">
        <v>-0.16972</v>
      </c>
      <c r="P44" t="n">
        <v>0.55099</v>
      </c>
      <c r="Q44" t="n">
        <v>0.32008</v>
      </c>
      <c r="R44" t="n">
        <v>0.93997</v>
      </c>
      <c r="S44" t="n">
        <v>0.12381</v>
      </c>
      <c r="T44" t="n">
        <v>-0.066844</v>
      </c>
      <c r="U44" t="n">
        <v>-0.3602</v>
      </c>
      <c r="V44" t="n">
        <v>0.94202</v>
      </c>
      <c r="W44" t="n">
        <v>0.59635</v>
      </c>
      <c r="X44" t="n">
        <v>0.0053392</v>
      </c>
      <c r="Y44" t="n">
        <v>0.27412</v>
      </c>
      <c r="Z44" t="n">
        <v>-0.6533099999999999</v>
      </c>
    </row>
    <row r="45">
      <c r="A45" t="inlineStr">
        <is>
          <t>years</t>
        </is>
      </c>
      <c r="B45" t="n">
        <v>0.05831</v>
      </c>
      <c r="C45" t="n">
        <v>0.70513</v>
      </c>
      <c r="D45" t="n">
        <v>0.90626</v>
      </c>
      <c r="E45" t="n">
        <v>-0.44321</v>
      </c>
      <c r="F45" t="n">
        <v>0.06485100000000001</v>
      </c>
      <c r="G45" t="n">
        <v>-0.449</v>
      </c>
      <c r="H45" t="n">
        <v>1.4413</v>
      </c>
      <c r="I45" t="n">
        <v>-0.32564</v>
      </c>
      <c r="J45" t="n">
        <v>-1.0591</v>
      </c>
      <c r="K45" t="n">
        <v>0.054169</v>
      </c>
      <c r="L45" t="n">
        <v>0.21992</v>
      </c>
      <c r="M45" t="n">
        <v>0.4644</v>
      </c>
      <c r="N45" t="n">
        <v>-4.5026</v>
      </c>
      <c r="O45" t="n">
        <v>1.2741</v>
      </c>
      <c r="P45" t="n">
        <v>0.038245</v>
      </c>
      <c r="Q45" t="n">
        <v>-0.52827</v>
      </c>
      <c r="R45" t="n">
        <v>0.025833</v>
      </c>
      <c r="S45" t="n">
        <v>0.10357</v>
      </c>
      <c r="T45" t="n">
        <v>-0.088506</v>
      </c>
      <c r="U45" t="n">
        <v>-0.5097699999999999</v>
      </c>
      <c r="V45" t="n">
        <v>-0.55164</v>
      </c>
      <c r="W45" t="n">
        <v>0.45696</v>
      </c>
      <c r="X45" t="n">
        <v>-0.38014</v>
      </c>
      <c r="Y45" t="n">
        <v>-0.21843</v>
      </c>
      <c r="Z45" t="n">
        <v>-0.20385</v>
      </c>
    </row>
    <row r="46">
      <c r="A46" t="inlineStr">
        <is>
          <t>head</t>
        </is>
      </c>
      <c r="B46" t="n">
        <v>-0.96268</v>
      </c>
      <c r="C46" t="n">
        <v>0.24157</v>
      </c>
      <c r="D46" t="n">
        <v>0.34056</v>
      </c>
      <c r="E46" t="n">
        <v>0.33697</v>
      </c>
      <c r="F46" t="n">
        <v>0.41297</v>
      </c>
      <c r="G46" t="n">
        <v>0.27009</v>
      </c>
      <c r="H46" t="n">
        <v>0.9298</v>
      </c>
      <c r="I46" t="n">
        <v>-0.40871</v>
      </c>
      <c r="J46" t="n">
        <v>0.22449</v>
      </c>
      <c r="K46" t="n">
        <v>0.5908099999999999</v>
      </c>
      <c r="L46" t="n">
        <v>0.0018873</v>
      </c>
      <c r="M46" t="n">
        <v>1.0077</v>
      </c>
      <c r="N46" t="n">
        <v>-4.6487</v>
      </c>
      <c r="O46" t="n">
        <v>-0.29821</v>
      </c>
      <c r="P46" t="n">
        <v>0.20738</v>
      </c>
      <c r="Q46" t="n">
        <v>-0.48601</v>
      </c>
      <c r="R46" t="n">
        <v>0.29869</v>
      </c>
      <c r="S46" t="n">
        <v>-0.54823</v>
      </c>
      <c r="T46" t="n">
        <v>-0.46148</v>
      </c>
      <c r="U46" t="n">
        <v>-0.52159</v>
      </c>
      <c r="V46" t="n">
        <v>0.19696</v>
      </c>
      <c r="W46" t="n">
        <v>1.0243</v>
      </c>
      <c r="X46" t="n">
        <v>1.6885</v>
      </c>
      <c r="Y46" t="n">
        <v>-0.031783</v>
      </c>
      <c r="Z46" t="n">
        <v>-0.086136</v>
      </c>
    </row>
    <row r="47">
      <c r="A47" t="inlineStr">
        <is>
          <t>food</t>
        </is>
      </c>
      <c r="B47" t="n">
        <v>-0.57889</v>
      </c>
      <c r="C47" t="n">
        <v>0.52137</v>
      </c>
      <c r="D47" t="n">
        <v>-0.17892</v>
      </c>
      <c r="E47" t="n">
        <v>0.2232</v>
      </c>
      <c r="F47" t="n">
        <v>0.61681</v>
      </c>
      <c r="G47" t="n">
        <v>0.17616</v>
      </c>
      <c r="H47" t="n">
        <v>1.6829</v>
      </c>
      <c r="I47" t="n">
        <v>-1.35</v>
      </c>
      <c r="J47" t="n">
        <v>0.027486</v>
      </c>
      <c r="K47" t="n">
        <v>0.95868</v>
      </c>
      <c r="L47" t="n">
        <v>0.22251</v>
      </c>
      <c r="M47" t="n">
        <v>-0.82603</v>
      </c>
      <c r="N47" t="n">
        <v>-4.3866</v>
      </c>
      <c r="O47" t="n">
        <v>-0.5528</v>
      </c>
      <c r="P47" t="n">
        <v>0.20004</v>
      </c>
      <c r="Q47" t="n">
        <v>-0.44304</v>
      </c>
      <c r="R47" t="n">
        <v>1.3508</v>
      </c>
      <c r="S47" t="n">
        <v>-1.0176</v>
      </c>
      <c r="T47" t="n">
        <v>0.069551</v>
      </c>
      <c r="U47" t="n">
        <v>0.023407</v>
      </c>
      <c r="V47" t="n">
        <v>-0.21827</v>
      </c>
      <c r="W47" t="n">
        <v>-0.57156</v>
      </c>
      <c r="X47" t="n">
        <v>-0.74594</v>
      </c>
      <c r="Y47" t="n">
        <v>0.26706</v>
      </c>
      <c r="Z47" t="n">
        <v>0.96434</v>
      </c>
    </row>
    <row r="48">
      <c r="A48" t="inlineStr">
        <is>
          <t>trying</t>
        </is>
      </c>
      <c r="B48" t="n">
        <v>-0.40906</v>
      </c>
      <c r="C48" t="n">
        <v>0.85294</v>
      </c>
      <c r="D48" t="n">
        <v>-0.063391</v>
      </c>
      <c r="E48" t="n">
        <v>-0.23778</v>
      </c>
      <c r="F48" t="n">
        <v>-0.44943</v>
      </c>
      <c r="G48" t="n">
        <v>-0.09525699999999999</v>
      </c>
      <c r="H48" t="n">
        <v>1.6011</v>
      </c>
      <c r="I48" t="n">
        <v>-1.1824</v>
      </c>
      <c r="J48" t="n">
        <v>-0.038148</v>
      </c>
      <c r="K48" t="n">
        <v>-0.086246</v>
      </c>
      <c r="L48" t="n">
        <v>-0.40742</v>
      </c>
      <c r="M48" t="n">
        <v>0.3779</v>
      </c>
      <c r="N48" t="n">
        <v>-4.8959</v>
      </c>
      <c r="O48" t="n">
        <v>-0.83283</v>
      </c>
      <c r="P48" t="n">
        <v>-0.14904</v>
      </c>
      <c r="Q48" t="n">
        <v>0.5455100000000001</v>
      </c>
      <c r="R48" t="n">
        <v>0.17437</v>
      </c>
      <c r="S48" t="n">
        <v>-0.65076</v>
      </c>
      <c r="T48" t="n">
        <v>0.13512</v>
      </c>
      <c r="U48" t="n">
        <v>-1.5807</v>
      </c>
      <c r="V48" t="n">
        <v>0.38357</v>
      </c>
      <c r="W48" t="n">
        <v>0.53913</v>
      </c>
      <c r="X48" t="n">
        <v>0.52133</v>
      </c>
      <c r="Y48" t="n">
        <v>0.0027191</v>
      </c>
      <c r="Z48" t="n">
        <v>-0.48631</v>
      </c>
    </row>
    <row r="49">
      <c r="A49" t="inlineStr">
        <is>
          <t>without</t>
        </is>
      </c>
      <c r="B49" t="n">
        <v>-0.29748</v>
      </c>
      <c r="C49" t="n">
        <v>0.55611</v>
      </c>
      <c r="D49" t="n">
        <v>-0.090369</v>
      </c>
      <c r="E49" t="n">
        <v>0.6271099999999999</v>
      </c>
      <c r="F49" t="n">
        <v>-0.094778</v>
      </c>
      <c r="G49" t="n">
        <v>0.10076</v>
      </c>
      <c r="H49" t="n">
        <v>1.5673</v>
      </c>
      <c r="I49" t="n">
        <v>-0.84443</v>
      </c>
      <c r="J49" t="n">
        <v>-0.5183</v>
      </c>
      <c r="K49" t="n">
        <v>0.45118</v>
      </c>
      <c r="L49" t="n">
        <v>-0.024614</v>
      </c>
      <c r="M49" t="n">
        <v>0.31293</v>
      </c>
      <c r="N49" t="n">
        <v>-4.7617</v>
      </c>
      <c r="O49" t="n">
        <v>-0.39703</v>
      </c>
      <c r="P49" t="n">
        <v>0.39149</v>
      </c>
      <c r="Q49" t="n">
        <v>0.58412</v>
      </c>
      <c r="R49" t="n">
        <v>-0.38698</v>
      </c>
      <c r="S49" t="n">
        <v>-0.0050923</v>
      </c>
      <c r="T49" t="n">
        <v>0.49155</v>
      </c>
      <c r="U49" t="n">
        <v>-0.7385699999999999</v>
      </c>
      <c r="V49" t="n">
        <v>-0.8090000000000001</v>
      </c>
      <c r="W49" t="n">
        <v>0.17763</v>
      </c>
      <c r="X49" t="n">
        <v>-0.17456</v>
      </c>
      <c r="Y49" t="n">
        <v>0.09062099999999999</v>
      </c>
      <c r="Z49" t="n">
        <v>-0.73461</v>
      </c>
    </row>
    <row r="50">
      <c r="A50" t="inlineStr">
        <is>
          <t>hacer</t>
        </is>
      </c>
      <c r="B50" t="n">
        <v>0.48304</v>
      </c>
      <c r="C50" t="n">
        <v>1.4099</v>
      </c>
      <c r="D50" t="n">
        <v>0.14267</v>
      </c>
      <c r="E50" t="n">
        <v>1.1223</v>
      </c>
      <c r="F50" t="n">
        <v>0.8171</v>
      </c>
      <c r="G50" t="n">
        <v>1.7871</v>
      </c>
      <c r="H50" t="n">
        <v>-0.3575</v>
      </c>
      <c r="I50" t="n">
        <v>2.9928</v>
      </c>
      <c r="J50" t="n">
        <v>-0.55962</v>
      </c>
      <c r="K50" t="n">
        <v>-1.7713</v>
      </c>
      <c r="L50" t="n">
        <v>0.86859</v>
      </c>
      <c r="M50" t="n">
        <v>-3.0158</v>
      </c>
      <c r="N50" t="n">
        <v>-1.6782</v>
      </c>
      <c r="O50" t="n">
        <v>-0.27716</v>
      </c>
      <c r="P50" t="n">
        <v>1.8177</v>
      </c>
      <c r="Q50" t="n">
        <v>1.0758</v>
      </c>
      <c r="R50" t="n">
        <v>-0.1075</v>
      </c>
      <c r="S50" t="n">
        <v>0.31785</v>
      </c>
      <c r="T50" t="n">
        <v>0.40818</v>
      </c>
      <c r="U50" t="n">
        <v>0.0022583</v>
      </c>
      <c r="V50" t="n">
        <v>-0.086492</v>
      </c>
      <c r="W50" t="n">
        <v>-0.89681</v>
      </c>
      <c r="X50" t="n">
        <v>-0.11579</v>
      </c>
      <c r="Y50" t="n">
        <v>1.0685</v>
      </c>
      <c r="Z50" t="n">
        <v>0.19673</v>
      </c>
    </row>
    <row r="51">
      <c r="A51" t="inlineStr">
        <is>
          <t>high</t>
        </is>
      </c>
      <c r="B51" t="n">
        <v>-0.024792</v>
      </c>
      <c r="C51" t="n">
        <v>-0.072225</v>
      </c>
      <c r="D51" t="n">
        <v>0.25761</v>
      </c>
      <c r="E51" t="n">
        <v>-0.77133</v>
      </c>
      <c r="F51" t="n">
        <v>0.39728</v>
      </c>
      <c r="G51" t="n">
        <v>1.0745</v>
      </c>
      <c r="H51" t="n">
        <v>0.86492</v>
      </c>
      <c r="I51" t="n">
        <v>-0.42194</v>
      </c>
      <c r="J51" t="n">
        <v>0.7083</v>
      </c>
      <c r="K51" t="n">
        <v>0.14877</v>
      </c>
      <c r="L51" t="n">
        <v>-0.6198</v>
      </c>
      <c r="M51" t="n">
        <v>0.14775</v>
      </c>
      <c r="N51" t="n">
        <v>-4.6733</v>
      </c>
      <c r="O51" t="n">
        <v>0.46544</v>
      </c>
      <c r="P51" t="n">
        <v>0.31998</v>
      </c>
      <c r="Q51" t="n">
        <v>-0.6097399999999999</v>
      </c>
      <c r="R51" t="n">
        <v>0.263</v>
      </c>
      <c r="S51" t="n">
        <v>-0.088093</v>
      </c>
      <c r="T51" t="n">
        <v>0.19876</v>
      </c>
      <c r="U51" t="n">
        <v>0.15021</v>
      </c>
      <c r="V51" t="n">
        <v>-0.39162</v>
      </c>
      <c r="W51" t="n">
        <v>0.2472</v>
      </c>
      <c r="X51" t="n">
        <v>0.53907</v>
      </c>
      <c r="Y51" t="n">
        <v>-0.24039</v>
      </c>
      <c r="Z51" t="n">
        <v>-0.28683</v>
      </c>
    </row>
    <row r="52">
      <c r="A52" t="inlineStr">
        <is>
          <t>isso</t>
        </is>
      </c>
      <c r="B52" t="n">
        <v>2.3562</v>
      </c>
      <c r="C52" t="n">
        <v>-0.9692</v>
      </c>
      <c r="D52" t="n">
        <v>0.43545</v>
      </c>
      <c r="E52" t="n">
        <v>0.49056</v>
      </c>
      <c r="F52" t="n">
        <v>0.44514</v>
      </c>
      <c r="G52" t="n">
        <v>-0.26659</v>
      </c>
      <c r="H52" t="n">
        <v>0.27634</v>
      </c>
      <c r="I52" t="n">
        <v>0.6845</v>
      </c>
      <c r="J52" t="n">
        <v>0.83187</v>
      </c>
      <c r="K52" t="n">
        <v>-1.2947</v>
      </c>
      <c r="L52" t="n">
        <v>-1.9171</v>
      </c>
      <c r="M52" t="n">
        <v>-3.0394</v>
      </c>
      <c r="N52" t="n">
        <v>-1.4616</v>
      </c>
      <c r="O52" t="n">
        <v>-1.3665</v>
      </c>
      <c r="P52" t="n">
        <v>0.16582</v>
      </c>
      <c r="Q52" t="n">
        <v>-0.7648200000000001</v>
      </c>
      <c r="R52" t="n">
        <v>-2.7845</v>
      </c>
      <c r="S52" t="n">
        <v>0.23988</v>
      </c>
      <c r="T52" t="n">
        <v>-1.1919</v>
      </c>
      <c r="U52" t="n">
        <v>-1.0118</v>
      </c>
      <c r="V52" t="n">
        <v>0.15017</v>
      </c>
      <c r="W52" t="n">
        <v>1.1365</v>
      </c>
      <c r="X52" t="n">
        <v>0.09930899999999999</v>
      </c>
      <c r="Y52" t="n">
        <v>1.5097</v>
      </c>
      <c r="Z52" t="n">
        <v>-0.099104</v>
      </c>
    </row>
    <row r="53">
      <c r="A53" t="inlineStr">
        <is>
          <t>might</t>
        </is>
      </c>
      <c r="B53" t="n">
        <v>-0.26652</v>
      </c>
      <c r="C53" t="n">
        <v>0.59649</v>
      </c>
      <c r="D53" t="n">
        <v>-0.39599</v>
      </c>
      <c r="E53" t="n">
        <v>-0.54127</v>
      </c>
      <c r="F53" t="n">
        <v>-0.61456</v>
      </c>
      <c r="G53" t="n">
        <v>0.4178</v>
      </c>
      <c r="H53" t="n">
        <v>1.5391</v>
      </c>
      <c r="I53" t="n">
        <v>-0.98929</v>
      </c>
      <c r="J53" t="n">
        <v>0.12961</v>
      </c>
      <c r="K53" t="n">
        <v>-0.67149</v>
      </c>
      <c r="L53" t="n">
        <v>-0.0044665</v>
      </c>
      <c r="M53" t="n">
        <v>0.72973</v>
      </c>
      <c r="N53" t="n">
        <v>-4.8653</v>
      </c>
      <c r="O53" t="n">
        <v>0.15191</v>
      </c>
      <c r="P53" t="n">
        <v>0.02351</v>
      </c>
      <c r="Q53" t="n">
        <v>0.48883</v>
      </c>
      <c r="R53" t="n">
        <v>0.54723</v>
      </c>
      <c r="S53" t="n">
        <v>-0.60489</v>
      </c>
      <c r="T53" t="n">
        <v>0.19945</v>
      </c>
      <c r="U53" t="n">
        <v>-1.3021</v>
      </c>
      <c r="V53" t="n">
        <v>0.62846</v>
      </c>
      <c r="W53" t="n">
        <v>0.23518</v>
      </c>
      <c r="X53" t="n">
        <v>0.5577800000000001</v>
      </c>
      <c r="Y53" t="n">
        <v>0.36314</v>
      </c>
      <c r="Z53" t="n">
        <v>-0.32201</v>
      </c>
    </row>
    <row r="54">
      <c r="A54" t="inlineStr">
        <is>
          <t>eat</t>
        </is>
      </c>
      <c r="B54" t="n">
        <v>-0.36896</v>
      </c>
      <c r="C54" t="n">
        <v>0.75151</v>
      </c>
      <c r="D54" t="n">
        <v>0.20904</v>
      </c>
      <c r="E54" t="n">
        <v>0.81553</v>
      </c>
      <c r="F54" t="n">
        <v>-0.78291</v>
      </c>
      <c r="G54" t="n">
        <v>0.7490599999999999</v>
      </c>
      <c r="H54" t="n">
        <v>1.4803</v>
      </c>
      <c r="I54" t="n">
        <v>-1.4017</v>
      </c>
      <c r="J54" t="n">
        <v>-0.041383</v>
      </c>
      <c r="K54" t="n">
        <v>0.5643899999999999</v>
      </c>
      <c r="L54" t="n">
        <v>-0.24758</v>
      </c>
      <c r="M54" t="n">
        <v>-0.54959</v>
      </c>
      <c r="N54" t="n">
        <v>-4.3121</v>
      </c>
      <c r="O54" t="n">
        <v>-1.2073</v>
      </c>
      <c r="P54" t="n">
        <v>-0.32702</v>
      </c>
      <c r="Q54" t="n">
        <v>-0.27267</v>
      </c>
      <c r="R54" t="n">
        <v>1.2368</v>
      </c>
      <c r="S54" t="n">
        <v>-1.5692</v>
      </c>
      <c r="T54" t="n">
        <v>0.06554599999999999</v>
      </c>
      <c r="U54" t="n">
        <v>-0.65893</v>
      </c>
      <c r="V54" t="n">
        <v>0.006824</v>
      </c>
      <c r="W54" t="n">
        <v>0.65933</v>
      </c>
      <c r="X54" t="n">
        <v>0.13181</v>
      </c>
      <c r="Y54" t="n">
        <v>0.91552</v>
      </c>
      <c r="Z54" t="n">
        <v>1.3376</v>
      </c>
    </row>
    <row r="55">
      <c r="A55" t="inlineStr">
        <is>
          <t>iphone</t>
        </is>
      </c>
      <c r="B55" t="n">
        <v>1.4512</v>
      </c>
      <c r="C55" t="n">
        <v>-0.24502</v>
      </c>
      <c r="D55" t="n">
        <v>0.18376</v>
      </c>
      <c r="E55" t="n">
        <v>-0.57901</v>
      </c>
      <c r="F55" t="n">
        <v>1.1378</v>
      </c>
      <c r="G55" t="n">
        <v>0.3912</v>
      </c>
      <c r="H55" t="n">
        <v>0.14374</v>
      </c>
      <c r="I55" t="n">
        <v>0.58136</v>
      </c>
      <c r="J55" t="n">
        <v>0.020204</v>
      </c>
      <c r="K55" t="n">
        <v>0.59911</v>
      </c>
      <c r="L55" t="n">
        <v>0.99498</v>
      </c>
      <c r="M55" t="n">
        <v>-0.5904</v>
      </c>
      <c r="N55" t="n">
        <v>-3.2137</v>
      </c>
      <c r="O55" t="n">
        <v>-1.2328</v>
      </c>
      <c r="P55" t="n">
        <v>-0.65261</v>
      </c>
      <c r="Q55" t="n">
        <v>0.28067</v>
      </c>
      <c r="R55" t="n">
        <v>0.40164</v>
      </c>
      <c r="S55" t="n">
        <v>-0.07918500000000001</v>
      </c>
      <c r="T55" t="n">
        <v>-0.55249</v>
      </c>
      <c r="U55" t="n">
        <v>0.0041486</v>
      </c>
      <c r="V55" t="n">
        <v>-0.75008</v>
      </c>
      <c r="W55" t="n">
        <v>-1.6819</v>
      </c>
      <c r="X55" t="n">
        <v>0.76214</v>
      </c>
      <c r="Y55" t="n">
        <v>0.30982</v>
      </c>
      <c r="Z55" t="n">
        <v>-0.49317</v>
      </c>
    </row>
    <row r="56">
      <c r="A56" t="inlineStr">
        <is>
          <t>bout</t>
        </is>
      </c>
      <c r="B56" t="n">
        <v>0.17552</v>
      </c>
      <c r="C56" t="n">
        <v>1.8703</v>
      </c>
      <c r="D56" t="n">
        <v>0.26534</v>
      </c>
      <c r="E56" t="n">
        <v>0.65955</v>
      </c>
      <c r="F56" t="n">
        <v>-0.36934</v>
      </c>
      <c r="G56" t="n">
        <v>0.88778</v>
      </c>
      <c r="H56" t="n">
        <v>0.17733</v>
      </c>
      <c r="I56" t="n">
        <v>-0.73951</v>
      </c>
      <c r="J56" t="n">
        <v>-0.11222</v>
      </c>
      <c r="K56" t="n">
        <v>-0.10299</v>
      </c>
      <c r="L56" t="n">
        <v>-1.502</v>
      </c>
      <c r="M56" t="n">
        <v>0.8959</v>
      </c>
      <c r="N56" t="n">
        <v>-4.668</v>
      </c>
      <c r="O56" t="n">
        <v>-0.45727</v>
      </c>
      <c r="P56" t="n">
        <v>0.28866</v>
      </c>
      <c r="Q56" t="n">
        <v>0.6642</v>
      </c>
      <c r="R56" t="n">
        <v>0.15218</v>
      </c>
      <c r="S56" t="n">
        <v>-0.94967</v>
      </c>
      <c r="T56" t="n">
        <v>-1.5712</v>
      </c>
      <c r="U56" t="n">
        <v>0.53013</v>
      </c>
      <c r="V56" t="n">
        <v>1.35</v>
      </c>
      <c r="W56" t="n">
        <v>0.48866</v>
      </c>
      <c r="X56" t="n">
        <v>1.1783</v>
      </c>
      <c r="Y56" t="n">
        <v>-0.1252</v>
      </c>
      <c r="Z56" t="n">
        <v>0.40879</v>
      </c>
    </row>
    <row r="57">
      <c r="A57" t="inlineStr">
        <is>
          <t>enough</t>
        </is>
      </c>
      <c r="B57" t="n">
        <v>0.065719</v>
      </c>
      <c r="C57" t="n">
        <v>0.33664</v>
      </c>
      <c r="D57" t="n">
        <v>-0.66608</v>
      </c>
      <c r="E57" t="n">
        <v>0.34636</v>
      </c>
      <c r="F57" t="n">
        <v>0.085934</v>
      </c>
      <c r="G57" t="n">
        <v>0.51693</v>
      </c>
      <c r="H57" t="n">
        <v>1.5726</v>
      </c>
      <c r="I57" t="n">
        <v>-0.98017</v>
      </c>
      <c r="J57" t="n">
        <v>-0.4841</v>
      </c>
      <c r="K57" t="n">
        <v>-0.07234500000000001</v>
      </c>
      <c r="L57" t="n">
        <v>-0.48108</v>
      </c>
      <c r="M57" t="n">
        <v>0.41505</v>
      </c>
      <c r="N57" t="n">
        <v>-4.6425</v>
      </c>
      <c r="O57" t="n">
        <v>0.19041</v>
      </c>
      <c r="P57" t="n">
        <v>-0.022051</v>
      </c>
      <c r="Q57" t="n">
        <v>0.17533</v>
      </c>
      <c r="R57" t="n">
        <v>0.54498</v>
      </c>
      <c r="S57" t="n">
        <v>-0.79583</v>
      </c>
      <c r="T57" t="n">
        <v>0.47123</v>
      </c>
      <c r="U57" t="n">
        <v>-0.77382</v>
      </c>
      <c r="V57" t="n">
        <v>-0.10413</v>
      </c>
      <c r="W57" t="n">
        <v>0.62366</v>
      </c>
      <c r="X57" t="n">
        <v>-0.051321</v>
      </c>
      <c r="Y57" t="n">
        <v>0.39087</v>
      </c>
      <c r="Z57" t="n">
        <v>-0.47997</v>
      </c>
    </row>
    <row r="58">
      <c r="A58" t="inlineStr">
        <is>
          <t>white</t>
        </is>
      </c>
      <c r="B58" t="n">
        <v>-0.4473</v>
      </c>
      <c r="C58" t="n">
        <v>-0.8417</v>
      </c>
      <c r="D58" t="n">
        <v>0.49491</v>
      </c>
      <c r="E58" t="n">
        <v>-0.26619</v>
      </c>
      <c r="F58" t="n">
        <v>0.4591</v>
      </c>
      <c r="G58" t="n">
        <v>0.54742</v>
      </c>
      <c r="H58" t="n">
        <v>0.90624</v>
      </c>
      <c r="I58" t="n">
        <v>-0.2706</v>
      </c>
      <c r="J58" t="n">
        <v>0.37541</v>
      </c>
      <c r="K58" t="n">
        <v>0.16718</v>
      </c>
      <c r="L58" t="n">
        <v>0.51811</v>
      </c>
      <c r="M58" t="n">
        <v>0.11713</v>
      </c>
      <c r="N58" t="n">
        <v>-4.666</v>
      </c>
      <c r="O58" t="n">
        <v>-0.63828</v>
      </c>
      <c r="P58" t="n">
        <v>-0.81939</v>
      </c>
      <c r="Q58" t="n">
        <v>-0.63082</v>
      </c>
      <c r="R58" t="n">
        <v>0.6930500000000001</v>
      </c>
      <c r="S58" t="n">
        <v>-0.57137</v>
      </c>
      <c r="T58" t="n">
        <v>0.17595</v>
      </c>
      <c r="U58" t="n">
        <v>1.1584</v>
      </c>
      <c r="V58" t="n">
        <v>-0.12216</v>
      </c>
      <c r="W58" t="n">
        <v>0.55775</v>
      </c>
      <c r="X58" t="n">
        <v>0.50158</v>
      </c>
      <c r="Y58" t="n">
        <v>-0.74261</v>
      </c>
      <c r="Z58" t="n">
        <v>-0.18446</v>
      </c>
    </row>
    <row r="59">
      <c r="A59" t="inlineStr">
        <is>
          <t>told</t>
        </is>
      </c>
      <c r="B59" t="n">
        <v>-0.57892</v>
      </c>
      <c r="C59" t="n">
        <v>1.1346</v>
      </c>
      <c r="D59" t="n">
        <v>1.0129</v>
      </c>
      <c r="E59" t="n">
        <v>-0.062693</v>
      </c>
      <c r="F59" t="n">
        <v>-0.56713</v>
      </c>
      <c r="G59" t="n">
        <v>-0.84719</v>
      </c>
      <c r="H59" t="n">
        <v>0.7593</v>
      </c>
      <c r="I59" t="n">
        <v>-0.22346</v>
      </c>
      <c r="J59" t="n">
        <v>-0.51923</v>
      </c>
      <c r="K59" t="n">
        <v>-0.011842</v>
      </c>
      <c r="L59" t="n">
        <v>-0.13563</v>
      </c>
      <c r="M59" t="n">
        <v>0.8834</v>
      </c>
      <c r="N59" t="n">
        <v>-4.9793</v>
      </c>
      <c r="O59" t="n">
        <v>-0.5958599999999999</v>
      </c>
      <c r="P59" t="n">
        <v>0.32596</v>
      </c>
      <c r="Q59" t="n">
        <v>-0.18255</v>
      </c>
      <c r="R59" t="n">
        <v>0.91633</v>
      </c>
      <c r="S59" t="n">
        <v>-0.32391</v>
      </c>
      <c r="T59" t="n">
        <v>-0.12817</v>
      </c>
      <c r="U59" t="n">
        <v>-0.5268699999999999</v>
      </c>
      <c r="V59" t="n">
        <v>1.8456</v>
      </c>
      <c r="W59" t="n">
        <v>0.79692</v>
      </c>
      <c r="X59" t="n">
        <v>0.095418</v>
      </c>
      <c r="Y59" t="n">
        <v>0.054236</v>
      </c>
      <c r="Z59" t="n">
        <v>-0.7018799999999999</v>
      </c>
    </row>
    <row r="60">
      <c r="A60" t="inlineStr">
        <is>
          <t>thats</t>
        </is>
      </c>
      <c r="B60" t="n">
        <v>0.34702</v>
      </c>
      <c r="C60" t="n">
        <v>0.65298</v>
      </c>
      <c r="D60" t="n">
        <v>0.047867</v>
      </c>
      <c r="E60" t="n">
        <v>-0.3331</v>
      </c>
      <c r="F60" t="n">
        <v>-0.025592</v>
      </c>
      <c r="G60" t="n">
        <v>0.44078</v>
      </c>
      <c r="H60" t="n">
        <v>1.4383</v>
      </c>
      <c r="I60" t="n">
        <v>-0.3412</v>
      </c>
      <c r="J60" t="n">
        <v>-1.1201</v>
      </c>
      <c r="K60" t="n">
        <v>0.36177</v>
      </c>
      <c r="L60" t="n">
        <v>-1.1412</v>
      </c>
      <c r="M60" t="n">
        <v>1.1664</v>
      </c>
      <c r="N60" t="n">
        <v>-4.5377</v>
      </c>
      <c r="O60" t="n">
        <v>-0.4963</v>
      </c>
      <c r="P60" t="n">
        <v>0.51741</v>
      </c>
      <c r="Q60" t="n">
        <v>0.28513</v>
      </c>
      <c r="R60" t="n">
        <v>0.66574</v>
      </c>
      <c r="S60" t="n">
        <v>-0.45996</v>
      </c>
      <c r="T60" t="n">
        <v>-0.1488</v>
      </c>
      <c r="U60" t="n">
        <v>0.4492</v>
      </c>
      <c r="V60" t="n">
        <v>1.1993</v>
      </c>
      <c r="W60" t="n">
        <v>0.72294</v>
      </c>
      <c r="X60" t="n">
        <v>0.4881</v>
      </c>
      <c r="Y60" t="n">
        <v>0.83289</v>
      </c>
      <c r="Z60" t="n">
        <v>-0.088708</v>
      </c>
    </row>
    <row r="61">
      <c r="A61" t="inlineStr">
        <is>
          <t>together</t>
        </is>
      </c>
      <c r="B61" t="n">
        <v>-0.54553</v>
      </c>
      <c r="C61" t="n">
        <v>0.19803</v>
      </c>
      <c r="D61" t="n">
        <v>0.70528</v>
      </c>
      <c r="E61" t="n">
        <v>-0.004893</v>
      </c>
      <c r="F61" t="n">
        <v>-0.38275</v>
      </c>
      <c r="G61" t="n">
        <v>-0.14971</v>
      </c>
      <c r="H61" t="n">
        <v>1.3568</v>
      </c>
      <c r="I61" t="n">
        <v>-0.59197</v>
      </c>
      <c r="J61" t="n">
        <v>-0.63162</v>
      </c>
      <c r="K61" t="n">
        <v>-0.16561</v>
      </c>
      <c r="L61" t="n">
        <v>-0.68868</v>
      </c>
      <c r="M61" t="n">
        <v>0.7025</v>
      </c>
      <c r="N61" t="n">
        <v>-4.4512</v>
      </c>
      <c r="O61" t="n">
        <v>0.031839</v>
      </c>
      <c r="P61" t="n">
        <v>-0.35287</v>
      </c>
      <c r="Q61" t="n">
        <v>0.68185</v>
      </c>
      <c r="R61" t="n">
        <v>-0.53154</v>
      </c>
      <c r="S61" t="n">
        <v>-1.0276</v>
      </c>
      <c r="T61" t="n">
        <v>0.095073</v>
      </c>
      <c r="U61" t="n">
        <v>-0.6751</v>
      </c>
      <c r="V61" t="n">
        <v>-0.52726</v>
      </c>
      <c r="W61" t="n">
        <v>0.11835</v>
      </c>
      <c r="X61" t="n">
        <v>-0.15812</v>
      </c>
      <c r="Y61" t="n">
        <v>0.18694</v>
      </c>
      <c r="Z61" t="n">
        <v>0.34118</v>
      </c>
    </row>
    <row r="62">
      <c r="A62" t="inlineStr">
        <is>
          <t>hear</t>
        </is>
      </c>
      <c r="B62" t="n">
        <v>-0.009402000000000001</v>
      </c>
      <c r="C62" t="n">
        <v>1.0358</v>
      </c>
      <c r="D62" t="n">
        <v>0.47326</v>
      </c>
      <c r="E62" t="n">
        <v>0.58531</v>
      </c>
      <c r="F62" t="n">
        <v>-0.77138</v>
      </c>
      <c r="G62" t="n">
        <v>-0.40981</v>
      </c>
      <c r="H62" t="n">
        <v>2.0618</v>
      </c>
      <c r="I62" t="n">
        <v>-0.085963</v>
      </c>
      <c r="J62" t="n">
        <v>-0.035873</v>
      </c>
      <c r="K62" t="n">
        <v>-0.17337</v>
      </c>
      <c r="L62" t="n">
        <v>-1.0214</v>
      </c>
      <c r="M62" t="n">
        <v>0.8491300000000001</v>
      </c>
      <c r="N62" t="n">
        <v>-4.4206</v>
      </c>
      <c r="O62" t="n">
        <v>-0.27942</v>
      </c>
      <c r="P62" t="n">
        <v>0.054748</v>
      </c>
      <c r="Q62" t="n">
        <v>0.67025</v>
      </c>
      <c r="R62" t="n">
        <v>0.24902</v>
      </c>
      <c r="S62" t="n">
        <v>-0.21173</v>
      </c>
      <c r="T62" t="n">
        <v>-0.22576</v>
      </c>
      <c r="U62" t="n">
        <v>-0.70656</v>
      </c>
      <c r="V62" t="n">
        <v>0.57711</v>
      </c>
      <c r="W62" t="n">
        <v>0.12407</v>
      </c>
      <c r="X62" t="n">
        <v>0.5776</v>
      </c>
      <c r="Y62" t="n">
        <v>-0.09919799999999999</v>
      </c>
      <c r="Z62" t="n">
        <v>0.015637</v>
      </c>
    </row>
    <row r="63">
      <c r="A63" t="inlineStr">
        <is>
          <t>thinking</t>
        </is>
      </c>
      <c r="B63" t="n">
        <v>-0.29746</v>
      </c>
      <c r="C63" t="n">
        <v>0.78793</v>
      </c>
      <c r="D63" t="n">
        <v>0.45029</v>
      </c>
      <c r="E63" t="n">
        <v>0.371</v>
      </c>
      <c r="F63" t="n">
        <v>-0.17863</v>
      </c>
      <c r="G63" t="n">
        <v>1.0493</v>
      </c>
      <c r="H63" t="n">
        <v>1.7053</v>
      </c>
      <c r="I63" t="n">
        <v>-0.9192399999999999</v>
      </c>
      <c r="J63" t="n">
        <v>-0.30753</v>
      </c>
      <c r="K63" t="n">
        <v>0.56657</v>
      </c>
      <c r="L63" t="n">
        <v>-0.74642</v>
      </c>
      <c r="M63" t="n">
        <v>0.80833</v>
      </c>
      <c r="N63" t="n">
        <v>-4.2461</v>
      </c>
      <c r="O63" t="n">
        <v>-0.45101</v>
      </c>
      <c r="P63" t="n">
        <v>0.54667</v>
      </c>
      <c r="Q63" t="n">
        <v>0.60748</v>
      </c>
      <c r="R63" t="n">
        <v>-0.21891</v>
      </c>
      <c r="S63" t="n">
        <v>-0.24926</v>
      </c>
      <c r="T63" t="n">
        <v>-0.080301</v>
      </c>
      <c r="U63" t="n">
        <v>-0.86897</v>
      </c>
      <c r="V63" t="n">
        <v>0.2152</v>
      </c>
      <c r="W63" t="n">
        <v>0.13923</v>
      </c>
      <c r="X63" t="n">
        <v>-0.53761</v>
      </c>
      <c r="Y63" t="n">
        <v>0.26389</v>
      </c>
      <c r="Z63" t="n">
        <v>-0.4062</v>
      </c>
    </row>
    <row r="64">
      <c r="A64" t="inlineStr">
        <is>
          <t>finally</t>
        </is>
      </c>
      <c r="B64" t="n">
        <v>-0.75371</v>
      </c>
      <c r="C64" t="n">
        <v>0.99141</v>
      </c>
      <c r="D64" t="n">
        <v>0.88145</v>
      </c>
      <c r="E64" t="n">
        <v>-1.3811</v>
      </c>
      <c r="F64" t="n">
        <v>-0.54577</v>
      </c>
      <c r="G64" t="n">
        <v>-0.36714</v>
      </c>
      <c r="H64" t="n">
        <v>1.8654</v>
      </c>
      <c r="I64" t="n">
        <v>-0.30522</v>
      </c>
      <c r="J64" t="n">
        <v>-0.57373</v>
      </c>
      <c r="K64" t="n">
        <v>-0.066751</v>
      </c>
      <c r="L64" t="n">
        <v>0.5823199999999999</v>
      </c>
      <c r="M64" t="n">
        <v>0.71077</v>
      </c>
      <c r="N64" t="n">
        <v>-3.9721</v>
      </c>
      <c r="O64" t="n">
        <v>0.049785</v>
      </c>
      <c r="P64" t="n">
        <v>0.45355</v>
      </c>
      <c r="Q64" t="n">
        <v>0.029708</v>
      </c>
      <c r="R64" t="n">
        <v>0.35338</v>
      </c>
      <c r="S64" t="n">
        <v>-0.06399100000000001</v>
      </c>
      <c r="T64" t="n">
        <v>-0.47864</v>
      </c>
      <c r="U64" t="n">
        <v>-0.82756</v>
      </c>
      <c r="V64" t="n">
        <v>-0.21188</v>
      </c>
      <c r="W64" t="n">
        <v>-0.013916</v>
      </c>
      <c r="X64" t="n">
        <v>0.41987</v>
      </c>
      <c r="Y64" t="n">
        <v>0.9686900000000001</v>
      </c>
      <c r="Z64" t="n">
        <v>-0.1396</v>
      </c>
    </row>
    <row r="65">
      <c r="A65" t="inlineStr">
        <is>
          <t>seriously</t>
        </is>
      </c>
      <c r="B65" t="n">
        <v>0.026199</v>
      </c>
      <c r="C65" t="n">
        <v>0.05695</v>
      </c>
      <c r="D65" t="n">
        <v>0.30047</v>
      </c>
      <c r="E65" t="n">
        <v>-0.87966</v>
      </c>
      <c r="F65" t="n">
        <v>-0.42375</v>
      </c>
      <c r="G65" t="n">
        <v>0.28491</v>
      </c>
      <c r="H65" t="n">
        <v>2.2415</v>
      </c>
      <c r="I65" t="n">
        <v>-0.31252</v>
      </c>
      <c r="J65" t="n">
        <v>-0.72916</v>
      </c>
      <c r="K65" t="n">
        <v>0.43803</v>
      </c>
      <c r="L65" t="n">
        <v>-0.45708</v>
      </c>
      <c r="M65" t="n">
        <v>0.57048</v>
      </c>
      <c r="N65" t="n">
        <v>-4.0313</v>
      </c>
      <c r="O65" t="n">
        <v>-0.74041</v>
      </c>
      <c r="P65" t="n">
        <v>0.81312</v>
      </c>
      <c r="Q65" t="n">
        <v>0.68709</v>
      </c>
      <c r="R65" t="n">
        <v>0.26678</v>
      </c>
      <c r="S65" t="n">
        <v>-0.73963</v>
      </c>
      <c r="T65" t="n">
        <v>-0.16745</v>
      </c>
      <c r="U65" t="n">
        <v>-0.79715</v>
      </c>
      <c r="V65" t="n">
        <v>0.71653</v>
      </c>
      <c r="W65" t="n">
        <v>0.46091</v>
      </c>
      <c r="X65" t="n">
        <v>-0.11779</v>
      </c>
      <c r="Y65" t="n">
        <v>0.3346</v>
      </c>
      <c r="Z65" t="n">
        <v>-0.56346</v>
      </c>
    </row>
    <row r="66">
      <c r="A66" t="inlineStr">
        <is>
          <t>hours</t>
        </is>
      </c>
      <c r="B66" t="n">
        <v>-0.091208</v>
      </c>
      <c r="C66" t="n">
        <v>0.95147</v>
      </c>
      <c r="D66" t="n">
        <v>1.1417</v>
      </c>
      <c r="E66" t="n">
        <v>-0.58865</v>
      </c>
      <c r="F66" t="n">
        <v>0.11207</v>
      </c>
      <c r="G66" t="n">
        <v>0.10658</v>
      </c>
      <c r="H66" t="n">
        <v>1.8363</v>
      </c>
      <c r="I66" t="n">
        <v>-1.1413</v>
      </c>
      <c r="J66" t="n">
        <v>-0.75676</v>
      </c>
      <c r="K66" t="n">
        <v>0.67536</v>
      </c>
      <c r="L66" t="n">
        <v>-0.45425</v>
      </c>
      <c r="M66" t="n">
        <v>0.18928</v>
      </c>
      <c r="N66" t="n">
        <v>-3.9292</v>
      </c>
      <c r="O66" t="n">
        <v>0.98729</v>
      </c>
      <c r="P66" t="n">
        <v>0.73036</v>
      </c>
      <c r="Q66" t="n">
        <v>0.06389300000000001</v>
      </c>
      <c r="R66" t="n">
        <v>0.21606</v>
      </c>
      <c r="S66" t="n">
        <v>-0.16015</v>
      </c>
      <c r="T66" t="n">
        <v>-0.71509</v>
      </c>
      <c r="U66" t="n">
        <v>-1.1364</v>
      </c>
      <c r="V66" t="n">
        <v>-1.0479</v>
      </c>
      <c r="W66" t="n">
        <v>-0.71461</v>
      </c>
      <c r="X66" t="n">
        <v>0.62588</v>
      </c>
      <c r="Y66" t="n">
        <v>0.45426</v>
      </c>
      <c r="Z66" t="n">
        <v>0.023341</v>
      </c>
    </row>
    <row r="67">
      <c r="A67" t="inlineStr">
        <is>
          <t>excited</t>
        </is>
      </c>
      <c r="B67" t="n">
        <v>-0.58288</v>
      </c>
      <c r="C67" t="n">
        <v>0.21264</v>
      </c>
      <c r="D67" t="n">
        <v>0.8087800000000001</v>
      </c>
      <c r="E67" t="n">
        <v>-1.8699</v>
      </c>
      <c r="F67" t="n">
        <v>-0.75279</v>
      </c>
      <c r="G67" t="n">
        <v>0.25626</v>
      </c>
      <c r="H67" t="n">
        <v>2.4894</v>
      </c>
      <c r="I67" t="n">
        <v>0.01159</v>
      </c>
      <c r="J67" t="n">
        <v>-0.91351</v>
      </c>
      <c r="K67" t="n">
        <v>-0.76168</v>
      </c>
      <c r="L67" t="n">
        <v>-0.95069</v>
      </c>
      <c r="M67" t="n">
        <v>0.14685</v>
      </c>
      <c r="N67" t="n">
        <v>-3.5693</v>
      </c>
      <c r="O67" t="n">
        <v>0.41959</v>
      </c>
      <c r="P67" t="n">
        <v>0.3255</v>
      </c>
      <c r="Q67" t="n">
        <v>0.25436</v>
      </c>
      <c r="R67" t="n">
        <v>0.65795</v>
      </c>
      <c r="S67" t="n">
        <v>-0.86333</v>
      </c>
      <c r="T67" t="n">
        <v>-0.7845800000000001</v>
      </c>
      <c r="U67" t="n">
        <v>-0.70595</v>
      </c>
      <c r="V67" t="n">
        <v>-0.7476699999999999</v>
      </c>
      <c r="W67" t="n">
        <v>-0.048025</v>
      </c>
      <c r="X67" t="n">
        <v>-0.56879</v>
      </c>
      <c r="Y67" t="n">
        <v>0.61453</v>
      </c>
      <c r="Z67" t="n">
        <v>0.014432</v>
      </c>
    </row>
    <row r="68">
      <c r="A68" t="inlineStr">
        <is>
          <t>choice</t>
        </is>
      </c>
      <c r="B68" t="n">
        <v>0.93182</v>
      </c>
      <c r="C68" t="n">
        <v>0.15413</v>
      </c>
      <c r="D68" t="n">
        <v>-0.1873</v>
      </c>
      <c r="E68" t="n">
        <v>-0.49729</v>
      </c>
      <c r="F68" t="n">
        <v>0.20192</v>
      </c>
      <c r="G68" t="n">
        <v>-1.0042</v>
      </c>
      <c r="H68" t="n">
        <v>1.6449</v>
      </c>
      <c r="I68" t="n">
        <v>0.0011208</v>
      </c>
      <c r="J68" t="n">
        <v>-0.86426</v>
      </c>
      <c r="K68" t="n">
        <v>-1.5308</v>
      </c>
      <c r="L68" t="n">
        <v>-0.047703</v>
      </c>
      <c r="M68" t="n">
        <v>-0.34798</v>
      </c>
      <c r="N68" t="n">
        <v>-3.4423</v>
      </c>
      <c r="O68" t="n">
        <v>0.1073</v>
      </c>
      <c r="P68" t="n">
        <v>-1.1769</v>
      </c>
      <c r="Q68" t="n">
        <v>-0.09</v>
      </c>
      <c r="R68" t="n">
        <v>-1.5032</v>
      </c>
      <c r="S68" t="n">
        <v>-0.86535</v>
      </c>
      <c r="T68" t="n">
        <v>0.32174</v>
      </c>
      <c r="U68" t="n">
        <v>-0.013402</v>
      </c>
      <c r="V68" t="n">
        <v>-1.0939</v>
      </c>
      <c r="W68" t="n">
        <v>0.89455</v>
      </c>
      <c r="X68" t="n">
        <v>-0.42639</v>
      </c>
      <c r="Y68" t="n">
        <v>0.085454</v>
      </c>
      <c r="Z68" t="n">
        <v>-0.3289</v>
      </c>
    </row>
    <row r="69">
      <c r="A69" t="inlineStr">
        <is>
          <t>whole</t>
        </is>
      </c>
      <c r="B69" t="n">
        <v>-0.15789</v>
      </c>
      <c r="C69" t="n">
        <v>0.68729</v>
      </c>
      <c r="D69" t="n">
        <v>1.0572</v>
      </c>
      <c r="E69" t="n">
        <v>0.33385</v>
      </c>
      <c r="F69" t="n">
        <v>0.17255</v>
      </c>
      <c r="G69" t="n">
        <v>-0.035298</v>
      </c>
      <c r="H69" t="n">
        <v>1.4947</v>
      </c>
      <c r="I69" t="n">
        <v>-0.79266</v>
      </c>
      <c r="J69" t="n">
        <v>-0.40108</v>
      </c>
      <c r="K69" t="n">
        <v>0.34744</v>
      </c>
      <c r="L69" t="n">
        <v>-0.63247</v>
      </c>
      <c r="M69" t="n">
        <v>0.27086</v>
      </c>
      <c r="N69" t="n">
        <v>-4.9259</v>
      </c>
      <c r="O69" t="n">
        <v>0.31323</v>
      </c>
      <c r="P69" t="n">
        <v>0.24046</v>
      </c>
      <c r="Q69" t="n">
        <v>0.31943</v>
      </c>
      <c r="R69" t="n">
        <v>0.94097</v>
      </c>
      <c r="S69" t="n">
        <v>-0.053345</v>
      </c>
      <c r="T69" t="n">
        <v>-0.19703</v>
      </c>
      <c r="U69" t="n">
        <v>0.087532</v>
      </c>
      <c r="V69" t="n">
        <v>-0.66799</v>
      </c>
      <c r="W69" t="n">
        <v>0.42575</v>
      </c>
      <c r="X69" t="n">
        <v>0.50878</v>
      </c>
      <c r="Y69" t="n">
        <v>-0.082606</v>
      </c>
      <c r="Z69" t="n">
        <v>-0.31309</v>
      </c>
    </row>
    <row r="70">
      <c r="A70" t="inlineStr">
        <is>
          <t>following</t>
        </is>
      </c>
      <c r="B70" t="n">
        <v>0.0002795</v>
      </c>
      <c r="C70" t="n">
        <v>1.3836</v>
      </c>
      <c r="D70" t="n">
        <v>-0.37921</v>
      </c>
      <c r="E70" t="n">
        <v>-0.29741</v>
      </c>
      <c r="F70" t="n">
        <v>0.23421</v>
      </c>
      <c r="G70" t="n">
        <v>-0.86315</v>
      </c>
      <c r="H70" t="n">
        <v>1.049</v>
      </c>
      <c r="I70" t="n">
        <v>0.06558</v>
      </c>
      <c r="J70" t="n">
        <v>-1.2956</v>
      </c>
      <c r="K70" t="n">
        <v>0.44363</v>
      </c>
      <c r="L70" t="n">
        <v>-0.08086599999999999</v>
      </c>
      <c r="M70" t="n">
        <v>0.6027400000000001</v>
      </c>
      <c r="N70" t="n">
        <v>-3.4263</v>
      </c>
      <c r="O70" t="n">
        <v>-0.19661</v>
      </c>
      <c r="P70" t="n">
        <v>-0.23726</v>
      </c>
      <c r="Q70" t="n">
        <v>-0.095734</v>
      </c>
      <c r="R70" t="n">
        <v>-0.37469</v>
      </c>
      <c r="S70" t="n">
        <v>-1.0815</v>
      </c>
      <c r="T70" t="n">
        <v>-0.68168</v>
      </c>
      <c r="U70" t="n">
        <v>-0.85232</v>
      </c>
      <c r="V70" t="n">
        <v>-0.35603</v>
      </c>
      <c r="W70" t="n">
        <v>-0.91089</v>
      </c>
      <c r="X70" t="n">
        <v>-0.3529</v>
      </c>
      <c r="Y70" t="n">
        <v>-0.094251</v>
      </c>
      <c r="Z70" t="n">
        <v>-1.2476</v>
      </c>
    </row>
    <row r="71">
      <c r="A71" t="inlineStr">
        <is>
          <t>city</t>
        </is>
      </c>
      <c r="B71" t="n">
        <v>-0.47779</v>
      </c>
      <c r="C71" t="n">
        <v>0.19399</v>
      </c>
      <c r="D71" t="n">
        <v>-0.069769</v>
      </c>
      <c r="E71" t="n">
        <v>-1.1541</v>
      </c>
      <c r="F71" t="n">
        <v>-1.0235</v>
      </c>
      <c r="G71" t="n">
        <v>0.63817</v>
      </c>
      <c r="H71" t="n">
        <v>0.35973</v>
      </c>
      <c r="I71" t="n">
        <v>0.7739</v>
      </c>
      <c r="J71" t="n">
        <v>0.85665</v>
      </c>
      <c r="K71" t="n">
        <v>0.053793</v>
      </c>
      <c r="L71" t="n">
        <v>0.42562</v>
      </c>
      <c r="M71" t="n">
        <v>-0.12539</v>
      </c>
      <c r="N71" t="n">
        <v>-4.1404</v>
      </c>
      <c r="O71" t="n">
        <v>1.0216</v>
      </c>
      <c r="P71" t="n">
        <v>1.0751</v>
      </c>
      <c r="Q71" t="n">
        <v>-0.44911</v>
      </c>
      <c r="R71" t="n">
        <v>-0.21962</v>
      </c>
      <c r="S71" t="n">
        <v>-0.539</v>
      </c>
      <c r="T71" t="n">
        <v>0.012085</v>
      </c>
      <c r="U71" t="n">
        <v>0.096717</v>
      </c>
      <c r="V71" t="n">
        <v>-0.95972</v>
      </c>
      <c r="W71" t="n">
        <v>-0.20216</v>
      </c>
      <c r="X71" t="n">
        <v>-0.29058</v>
      </c>
      <c r="Y71" t="n">
        <v>-1.4314</v>
      </c>
      <c r="Z71" t="n">
        <v>0.50032</v>
      </c>
    </row>
    <row r="72">
      <c r="A72" t="inlineStr">
        <is>
          <t>reason</t>
        </is>
      </c>
      <c r="B72" t="n">
        <v>0.43525</v>
      </c>
      <c r="C72" t="n">
        <v>0.41565</v>
      </c>
      <c r="D72" t="n">
        <v>-0.0049016</v>
      </c>
      <c r="E72" t="n">
        <v>0.33494</v>
      </c>
      <c r="F72" t="n">
        <v>-0.093569</v>
      </c>
      <c r="G72" t="n">
        <v>0.0231</v>
      </c>
      <c r="H72" t="n">
        <v>1.8699</v>
      </c>
      <c r="I72" t="n">
        <v>-0.57324</v>
      </c>
      <c r="J72" t="n">
        <v>-0.61937</v>
      </c>
      <c r="K72" t="n">
        <v>0.11542</v>
      </c>
      <c r="L72" t="n">
        <v>-0.90317</v>
      </c>
      <c r="M72" t="n">
        <v>0.59846</v>
      </c>
      <c r="N72" t="n">
        <v>-4.3689</v>
      </c>
      <c r="O72" t="n">
        <v>0.15006</v>
      </c>
      <c r="P72" t="n">
        <v>0.03712</v>
      </c>
      <c r="Q72" t="n">
        <v>0.52517</v>
      </c>
      <c r="R72" t="n">
        <v>0.052408</v>
      </c>
      <c r="S72" t="n">
        <v>-0.22282</v>
      </c>
      <c r="T72" t="n">
        <v>0.57383</v>
      </c>
      <c r="U72" t="n">
        <v>-0.55142</v>
      </c>
      <c r="V72" t="n">
        <v>0.65294</v>
      </c>
      <c r="W72" t="n">
        <v>0.43788</v>
      </c>
      <c r="X72" t="n">
        <v>0.37033</v>
      </c>
      <c r="Y72" t="n">
        <v>0.12756</v>
      </c>
      <c r="Z72" t="n">
        <v>-0.7391799999999999</v>
      </c>
    </row>
    <row r="73">
      <c r="A73" t="inlineStr">
        <is>
          <t>others</t>
        </is>
      </c>
      <c r="B73" t="n">
        <v>-0.6813900000000001</v>
      </c>
      <c r="C73" t="n">
        <v>0.30709</v>
      </c>
      <c r="D73" t="n">
        <v>-0.31248</v>
      </c>
      <c r="E73" t="n">
        <v>0.62341</v>
      </c>
      <c r="F73" t="n">
        <v>-0.65668</v>
      </c>
      <c r="G73" t="n">
        <v>0.37172</v>
      </c>
      <c r="H73" t="n">
        <v>0.57474</v>
      </c>
      <c r="I73" t="n">
        <v>-0.78384</v>
      </c>
      <c r="J73" t="n">
        <v>0.48395</v>
      </c>
      <c r="K73" t="n">
        <v>0.6425999999999999</v>
      </c>
      <c r="L73" t="n">
        <v>-0.93144</v>
      </c>
      <c r="M73" t="n">
        <v>0.17376</v>
      </c>
      <c r="N73" t="n">
        <v>-4.1585</v>
      </c>
      <c r="O73" t="n">
        <v>0.55153</v>
      </c>
      <c r="P73" t="n">
        <v>-0.41908</v>
      </c>
      <c r="Q73" t="n">
        <v>-0.36601</v>
      </c>
      <c r="R73" t="n">
        <v>-0.9385599999999999</v>
      </c>
      <c r="S73" t="n">
        <v>0.020714</v>
      </c>
      <c r="T73" t="n">
        <v>0.8258</v>
      </c>
      <c r="U73" t="n">
        <v>-1.0031</v>
      </c>
      <c r="V73" t="n">
        <v>0.18399</v>
      </c>
      <c r="W73" t="n">
        <v>-0.84823</v>
      </c>
      <c r="X73" t="n">
        <v>-1.3379</v>
      </c>
      <c r="Y73" t="n">
        <v>-0.62645</v>
      </c>
      <c r="Z73" t="n">
        <v>-0.14321</v>
      </c>
    </row>
    <row r="74">
      <c r="A74" t="inlineStr">
        <is>
          <t>followback</t>
        </is>
      </c>
      <c r="B74" t="n">
        <v>0.3978</v>
      </c>
      <c r="C74" t="n">
        <v>0.8438</v>
      </c>
      <c r="D74" t="n">
        <v>-1.2481</v>
      </c>
      <c r="E74" t="n">
        <v>-1.1352</v>
      </c>
      <c r="F74" t="n">
        <v>0.052795</v>
      </c>
      <c r="G74" t="n">
        <v>-1.1779</v>
      </c>
      <c r="H74" t="n">
        <v>0.21848</v>
      </c>
      <c r="I74" t="n">
        <v>1.715</v>
      </c>
      <c r="J74" t="n">
        <v>-1.8464</v>
      </c>
      <c r="K74" t="n">
        <v>0.34253</v>
      </c>
      <c r="L74" t="n">
        <v>-0.29514</v>
      </c>
      <c r="M74" t="n">
        <v>-0.0032596</v>
      </c>
      <c r="N74" t="n">
        <v>-1.5478</v>
      </c>
      <c r="O74" t="n">
        <v>-0.95187</v>
      </c>
      <c r="P74" t="n">
        <v>-1.1135</v>
      </c>
      <c r="Q74" t="n">
        <v>-0.3357</v>
      </c>
      <c r="R74" t="n">
        <v>0.24764</v>
      </c>
      <c r="S74" t="n">
        <v>-1.4149</v>
      </c>
      <c r="T74" t="n">
        <v>-0.70194</v>
      </c>
      <c r="U74" t="n">
        <v>0.07950599999999999</v>
      </c>
      <c r="V74" t="n">
        <v>-0.4259</v>
      </c>
      <c r="W74" t="n">
        <v>-2.1583</v>
      </c>
      <c r="X74" t="n">
        <v>-0.15854</v>
      </c>
      <c r="Y74" t="n">
        <v>1.1291</v>
      </c>
      <c r="Z74" t="n">
        <v>-0.33922</v>
      </c>
    </row>
    <row r="75">
      <c r="A75" t="inlineStr">
        <is>
          <t>early</t>
        </is>
      </c>
      <c r="B75" t="n">
        <v>-0.4943</v>
      </c>
      <c r="C75" t="n">
        <v>1.4358</v>
      </c>
      <c r="D75" t="n">
        <v>0.5366</v>
      </c>
      <c r="E75" t="n">
        <v>-0.50304</v>
      </c>
      <c r="F75" t="n">
        <v>0.36904</v>
      </c>
      <c r="G75" t="n">
        <v>0.41312</v>
      </c>
      <c r="H75" t="n">
        <v>1.5158</v>
      </c>
      <c r="I75" t="n">
        <v>-0.96094</v>
      </c>
      <c r="J75" t="n">
        <v>-0.22152</v>
      </c>
      <c r="K75" t="n">
        <v>-0.040996</v>
      </c>
      <c r="L75" t="n">
        <v>-0.95084</v>
      </c>
      <c r="M75" t="n">
        <v>0.37081</v>
      </c>
      <c r="N75" t="n">
        <v>-4.0444</v>
      </c>
      <c r="O75" t="n">
        <v>1.0315</v>
      </c>
      <c r="P75" t="n">
        <v>0.99579</v>
      </c>
      <c r="Q75" t="n">
        <v>-0.50991</v>
      </c>
      <c r="R75" t="n">
        <v>0.51453</v>
      </c>
      <c r="S75" t="n">
        <v>-0.53012</v>
      </c>
      <c r="T75" t="n">
        <v>-0.84289</v>
      </c>
      <c r="U75" t="n">
        <v>-0.81962</v>
      </c>
      <c r="V75" t="n">
        <v>-0.48368</v>
      </c>
      <c r="W75" t="n">
        <v>-0.21304</v>
      </c>
      <c r="X75" t="n">
        <v>0.65785</v>
      </c>
      <c r="Y75" t="n">
        <v>0.47714</v>
      </c>
      <c r="Z75" t="n">
        <v>0.3871</v>
      </c>
    </row>
    <row r="76">
      <c r="A76" t="inlineStr">
        <is>
          <t>tl</t>
        </is>
      </c>
      <c r="B76" t="n">
        <v>0.96366</v>
      </c>
      <c r="C76" t="n">
        <v>0.53984</v>
      </c>
      <c r="D76" t="n">
        <v>0.28983</v>
      </c>
      <c r="E76" t="n">
        <v>-0.204</v>
      </c>
      <c r="F76" t="n">
        <v>0.89558</v>
      </c>
      <c r="G76" t="n">
        <v>0.57996</v>
      </c>
      <c r="H76" t="n">
        <v>0.13911</v>
      </c>
      <c r="I76" t="n">
        <v>1.3295</v>
      </c>
      <c r="J76" t="n">
        <v>-0.39567</v>
      </c>
      <c r="K76" t="n">
        <v>1.1474</v>
      </c>
      <c r="L76" t="n">
        <v>-0.81565</v>
      </c>
      <c r="M76" t="n">
        <v>-0.032988</v>
      </c>
      <c r="N76" t="n">
        <v>-2.3704</v>
      </c>
      <c r="O76" t="n">
        <v>-0.48182</v>
      </c>
      <c r="P76" t="n">
        <v>-0.7895</v>
      </c>
      <c r="Q76" t="n">
        <v>1.0276</v>
      </c>
      <c r="R76" t="n">
        <v>-0.46481</v>
      </c>
      <c r="S76" t="n">
        <v>-0.69115</v>
      </c>
      <c r="T76" t="n">
        <v>-1.667</v>
      </c>
      <c r="U76" t="n">
        <v>-0.069257</v>
      </c>
      <c r="V76" t="n">
        <v>0.17974</v>
      </c>
      <c r="W76" t="n">
        <v>-0.30401</v>
      </c>
      <c r="X76" t="n">
        <v>0.21371</v>
      </c>
      <c r="Y76" t="n">
        <v>0.36128</v>
      </c>
      <c r="Z76" t="n">
        <v>-0.15262</v>
      </c>
    </row>
    <row r="77">
      <c r="A77" t="inlineStr">
        <is>
          <t>relationship</t>
        </is>
      </c>
      <c r="B77" t="n">
        <v>-0.39927</v>
      </c>
      <c r="C77" t="n">
        <v>0.66388</v>
      </c>
      <c r="D77" t="n">
        <v>-0.47117</v>
      </c>
      <c r="E77" t="n">
        <v>0.8663999999999999</v>
      </c>
      <c r="F77" t="n">
        <v>0.84573</v>
      </c>
      <c r="G77" t="n">
        <v>0.37485</v>
      </c>
      <c r="H77" t="n">
        <v>1.5294</v>
      </c>
      <c r="I77" t="n">
        <v>-0.070059</v>
      </c>
      <c r="J77" t="n">
        <v>-0.1916</v>
      </c>
      <c r="K77" t="n">
        <v>0.00083079</v>
      </c>
      <c r="L77" t="n">
        <v>-1.0933</v>
      </c>
      <c r="M77" t="n">
        <v>0.5399</v>
      </c>
      <c r="N77" t="n">
        <v>-4.1536</v>
      </c>
      <c r="O77" t="n">
        <v>0.64795</v>
      </c>
      <c r="P77" t="n">
        <v>-0.30818</v>
      </c>
      <c r="Q77" t="n">
        <v>1.5639</v>
      </c>
      <c r="R77" t="n">
        <v>-0.47233</v>
      </c>
      <c r="S77" t="n">
        <v>-0.66426</v>
      </c>
      <c r="T77" t="n">
        <v>0.95186</v>
      </c>
      <c r="U77" t="n">
        <v>-0.54655</v>
      </c>
      <c r="V77" t="n">
        <v>0.55923</v>
      </c>
      <c r="W77" t="n">
        <v>0.48209</v>
      </c>
      <c r="X77" t="n">
        <v>-0.79495</v>
      </c>
      <c r="Y77" t="n">
        <v>-0.12258</v>
      </c>
      <c r="Z77" t="n">
        <v>-1.6263</v>
      </c>
    </row>
    <row r="78">
      <c r="A78" t="inlineStr">
        <is>
          <t>unfollowers</t>
        </is>
      </c>
      <c r="B78" t="n">
        <v>1.7786</v>
      </c>
      <c r="C78" t="n">
        <v>1.212</v>
      </c>
      <c r="D78" t="n">
        <v>-0.54426</v>
      </c>
      <c r="E78" t="n">
        <v>-0.72061</v>
      </c>
      <c r="F78" t="n">
        <v>1.1047</v>
      </c>
      <c r="G78" t="n">
        <v>-1.5166</v>
      </c>
      <c r="H78" t="n">
        <v>0.99957</v>
      </c>
      <c r="I78" t="n">
        <v>-1.0071</v>
      </c>
      <c r="J78" t="n">
        <v>-1.4551</v>
      </c>
      <c r="K78" t="n">
        <v>0.51134</v>
      </c>
      <c r="L78" t="n">
        <v>0.53151</v>
      </c>
      <c r="M78" t="n">
        <v>-0.16902</v>
      </c>
      <c r="N78" t="n">
        <v>-1.4278</v>
      </c>
      <c r="O78" t="n">
        <v>0.048445</v>
      </c>
      <c r="P78" t="n">
        <v>0.17006</v>
      </c>
      <c r="Q78" t="n">
        <v>0.67377</v>
      </c>
      <c r="R78" t="n">
        <v>0.48524</v>
      </c>
      <c r="S78" t="n">
        <v>-0.6958800000000001</v>
      </c>
      <c r="T78" t="n">
        <v>-0.09841800000000001</v>
      </c>
      <c r="U78" t="n">
        <v>0.020879</v>
      </c>
      <c r="V78" t="n">
        <v>-0.1401</v>
      </c>
      <c r="W78" t="n">
        <v>-1.7115</v>
      </c>
      <c r="X78" t="n">
        <v>-0.23638</v>
      </c>
      <c r="Y78" t="n">
        <v>-0.56809</v>
      </c>
      <c r="Z78" t="n">
        <v>-0.70356</v>
      </c>
    </row>
    <row r="79">
      <c r="A79" t="inlineStr">
        <is>
          <t>found</t>
        </is>
      </c>
      <c r="B79" t="n">
        <v>-0.37</v>
      </c>
      <c r="C79" t="n">
        <v>-0.031164</v>
      </c>
      <c r="D79" t="n">
        <v>0.85764</v>
      </c>
      <c r="E79" t="n">
        <v>0.038775</v>
      </c>
      <c r="F79" t="n">
        <v>-0.11446</v>
      </c>
      <c r="G79" t="n">
        <v>-0.61154</v>
      </c>
      <c r="H79" t="n">
        <v>1.2447</v>
      </c>
      <c r="I79" t="n">
        <v>-0.58161</v>
      </c>
      <c r="J79" t="n">
        <v>-0.54986</v>
      </c>
      <c r="K79" t="n">
        <v>0.46104</v>
      </c>
      <c r="L79" t="n">
        <v>0.88408</v>
      </c>
      <c r="M79" t="n">
        <v>0.43118</v>
      </c>
      <c r="N79" t="n">
        <v>-4.4458</v>
      </c>
      <c r="O79" t="n">
        <v>-0.32534</v>
      </c>
      <c r="P79" t="n">
        <v>-0.059401</v>
      </c>
      <c r="Q79" t="n">
        <v>-0.11956</v>
      </c>
      <c r="R79" t="n">
        <v>1.4118</v>
      </c>
      <c r="S79" t="n">
        <v>0.66232</v>
      </c>
      <c r="T79" t="n">
        <v>0.19906</v>
      </c>
      <c r="U79" t="n">
        <v>-0.69259</v>
      </c>
      <c r="V79" t="n">
        <v>0.34827</v>
      </c>
      <c r="W79" t="n">
        <v>-0.2274</v>
      </c>
      <c r="X79" t="n">
        <v>-0.10779</v>
      </c>
      <c r="Y79" t="n">
        <v>-0.33054</v>
      </c>
      <c r="Z79" t="n">
        <v>-0.098667</v>
      </c>
    </row>
    <row r="80">
      <c r="A80" t="inlineStr">
        <is>
          <t>season</t>
        </is>
      </c>
      <c r="B80" t="n">
        <v>0.34853</v>
      </c>
      <c r="C80" t="n">
        <v>0.58149</v>
      </c>
      <c r="D80" t="n">
        <v>0.36469</v>
      </c>
      <c r="E80" t="n">
        <v>-1.1334</v>
      </c>
      <c r="F80" t="n">
        <v>-0.31172</v>
      </c>
      <c r="G80" t="n">
        <v>0.20243</v>
      </c>
      <c r="H80" t="n">
        <v>1.7893</v>
      </c>
      <c r="I80" t="n">
        <v>-0.15265</v>
      </c>
      <c r="J80" t="n">
        <v>-0.38154</v>
      </c>
      <c r="K80" t="n">
        <v>-1.1523</v>
      </c>
      <c r="L80" t="n">
        <v>0.26419</v>
      </c>
      <c r="M80" t="n">
        <v>0.95886</v>
      </c>
      <c r="N80" t="n">
        <v>-3.8735</v>
      </c>
      <c r="O80" t="n">
        <v>1.2624</v>
      </c>
      <c r="P80" t="n">
        <v>0.93331</v>
      </c>
      <c r="Q80" t="n">
        <v>-0.29367</v>
      </c>
      <c r="R80" t="n">
        <v>-0.58902</v>
      </c>
      <c r="S80" t="n">
        <v>-0.72573</v>
      </c>
      <c r="T80" t="n">
        <v>-0.54558</v>
      </c>
      <c r="U80" t="n">
        <v>0.20116</v>
      </c>
      <c r="V80" t="n">
        <v>-1.7377</v>
      </c>
      <c r="W80" t="n">
        <v>0.66936</v>
      </c>
      <c r="X80" t="n">
        <v>0.39875</v>
      </c>
      <c r="Y80" t="n">
        <v>-0.12239</v>
      </c>
      <c r="Z80" t="n">
        <v>0.24632</v>
      </c>
    </row>
    <row r="81">
      <c r="A81" t="inlineStr">
        <is>
          <t>boa</t>
        </is>
      </c>
      <c r="B81" t="n">
        <v>0.53238</v>
      </c>
      <c r="C81" t="n">
        <v>-0.59473</v>
      </c>
      <c r="D81" t="n">
        <v>0.86688</v>
      </c>
      <c r="E81" t="n">
        <v>-0.39784</v>
      </c>
      <c r="F81" t="n">
        <v>0.44804</v>
      </c>
      <c r="G81" t="n">
        <v>0.26459</v>
      </c>
      <c r="H81" t="n">
        <v>0.64058</v>
      </c>
      <c r="I81" t="n">
        <v>0.65221</v>
      </c>
      <c r="J81" t="n">
        <v>0.72893</v>
      </c>
      <c r="K81" t="n">
        <v>-1.471</v>
      </c>
      <c r="L81" t="n">
        <v>-2.2056</v>
      </c>
      <c r="M81" t="n">
        <v>-2.3393</v>
      </c>
      <c r="N81" t="n">
        <v>-1.4621</v>
      </c>
      <c r="O81" t="n">
        <v>-0.47586</v>
      </c>
      <c r="P81" t="n">
        <v>-0.36827</v>
      </c>
      <c r="Q81" t="n">
        <v>-1.2315</v>
      </c>
      <c r="R81" t="n">
        <v>-1.4995</v>
      </c>
      <c r="S81" t="n">
        <v>-0.30411</v>
      </c>
      <c r="T81" t="n">
        <v>-1.794</v>
      </c>
      <c r="U81" t="n">
        <v>-0.28414</v>
      </c>
      <c r="V81" t="n">
        <v>0.048677</v>
      </c>
      <c r="W81" t="n">
        <v>0.21054</v>
      </c>
      <c r="X81" t="n">
        <v>-0.6269</v>
      </c>
      <c r="Y81" t="n">
        <v>1.3211</v>
      </c>
      <c r="Z81" t="n">
        <v>0.5155999999999999</v>
      </c>
    </row>
    <row r="82">
      <c r="A82" t="inlineStr">
        <is>
          <t>chance</t>
        </is>
      </c>
      <c r="B82" t="n">
        <v>0.36328</v>
      </c>
      <c r="C82" t="n">
        <v>0.1269</v>
      </c>
      <c r="D82" t="n">
        <v>-0.64457</v>
      </c>
      <c r="E82" t="n">
        <v>0.15719</v>
      </c>
      <c r="F82" t="n">
        <v>-0.1903</v>
      </c>
      <c r="G82" t="n">
        <v>0.19015</v>
      </c>
      <c r="H82" t="n">
        <v>0.7380100000000001</v>
      </c>
      <c r="I82" t="n">
        <v>-0.26004</v>
      </c>
      <c r="J82" t="n">
        <v>-0.29243</v>
      </c>
      <c r="K82" t="n">
        <v>-1.5073</v>
      </c>
      <c r="L82" t="n">
        <v>0.18171</v>
      </c>
      <c r="M82" t="n">
        <v>-0.89314</v>
      </c>
      <c r="N82" t="n">
        <v>-3.8858</v>
      </c>
      <c r="O82" t="n">
        <v>0.57362</v>
      </c>
      <c r="P82" t="n">
        <v>-0.26139</v>
      </c>
      <c r="Q82" t="n">
        <v>0.15957</v>
      </c>
      <c r="R82" t="n">
        <v>-0.43473</v>
      </c>
      <c r="S82" t="n">
        <v>-0.35002</v>
      </c>
      <c r="T82" t="n">
        <v>-1.3865</v>
      </c>
      <c r="U82" t="n">
        <v>-0.50309</v>
      </c>
      <c r="V82" t="n">
        <v>-0.77255</v>
      </c>
      <c r="W82" t="n">
        <v>-0.24452</v>
      </c>
      <c r="X82" t="n">
        <v>0.38115</v>
      </c>
      <c r="Y82" t="n">
        <v>0.66513</v>
      </c>
      <c r="Z82" t="n">
        <v>-0.87657</v>
      </c>
    </row>
    <row r="83">
      <c r="A83" t="inlineStr">
        <is>
          <t>beat</t>
        </is>
      </c>
      <c r="B83" t="n">
        <v>0.34217</v>
      </c>
      <c r="C83" t="n">
        <v>0.97395</v>
      </c>
      <c r="D83" t="n">
        <v>0.12035</v>
      </c>
      <c r="E83" t="n">
        <v>-0.46513</v>
      </c>
      <c r="F83" t="n">
        <v>-0.8971</v>
      </c>
      <c r="G83" t="n">
        <v>0.41443</v>
      </c>
      <c r="H83" t="n">
        <v>0.69614</v>
      </c>
      <c r="I83" t="n">
        <v>0.42862</v>
      </c>
      <c r="J83" t="n">
        <v>0.09994500000000001</v>
      </c>
      <c r="K83" t="n">
        <v>-0.54373</v>
      </c>
      <c r="L83" t="n">
        <v>-0.20615</v>
      </c>
      <c r="M83" t="n">
        <v>0.7045</v>
      </c>
      <c r="N83" t="n">
        <v>-4.2236</v>
      </c>
      <c r="O83" t="n">
        <v>-0.10801</v>
      </c>
      <c r="P83" t="n">
        <v>0.54096</v>
      </c>
      <c r="Q83" t="n">
        <v>-0.31654</v>
      </c>
      <c r="R83" t="n">
        <v>-0.020132</v>
      </c>
      <c r="S83" t="n">
        <v>-0.85553</v>
      </c>
      <c r="T83" t="n">
        <v>-0.10074</v>
      </c>
      <c r="U83" t="n">
        <v>0.20079</v>
      </c>
      <c r="V83" t="n">
        <v>-0.28642</v>
      </c>
      <c r="W83" t="n">
        <v>0.77315</v>
      </c>
      <c r="X83" t="n">
        <v>1.2873</v>
      </c>
      <c r="Y83" t="n">
        <v>-0.97314</v>
      </c>
      <c r="Z83" t="n">
        <v>0.50418</v>
      </c>
    </row>
    <row r="84">
      <c r="A84" t="inlineStr">
        <is>
          <t>follower</t>
        </is>
      </c>
      <c r="B84" t="n">
        <v>0.39501</v>
      </c>
      <c r="C84" t="n">
        <v>1.1017</v>
      </c>
      <c r="D84" t="n">
        <v>-0.64256</v>
      </c>
      <c r="E84" t="n">
        <v>-1.1657</v>
      </c>
      <c r="F84" t="n">
        <v>1.6022</v>
      </c>
      <c r="G84" t="n">
        <v>-0.3429</v>
      </c>
      <c r="H84" t="n">
        <v>0.1693</v>
      </c>
      <c r="I84" t="n">
        <v>0.72666</v>
      </c>
      <c r="J84" t="n">
        <v>-1.1074</v>
      </c>
      <c r="K84" t="n">
        <v>0.86849</v>
      </c>
      <c r="L84" t="n">
        <v>0.6174500000000001</v>
      </c>
      <c r="M84" t="n">
        <v>0.066188</v>
      </c>
      <c r="N84" t="n">
        <v>-2.1503</v>
      </c>
      <c r="O84" t="n">
        <v>-0.39153</v>
      </c>
      <c r="P84" t="n">
        <v>-1.5102</v>
      </c>
      <c r="Q84" t="n">
        <v>0.73976</v>
      </c>
      <c r="R84" t="n">
        <v>0.36556</v>
      </c>
      <c r="S84" t="n">
        <v>-1.3507</v>
      </c>
      <c r="T84" t="n">
        <v>-1.3453</v>
      </c>
      <c r="U84" t="n">
        <v>-0.50414</v>
      </c>
      <c r="V84" t="n">
        <v>-0.58507</v>
      </c>
      <c r="W84" t="n">
        <v>-0.9704</v>
      </c>
      <c r="X84" t="n">
        <v>-0.39387</v>
      </c>
      <c r="Y84" t="n">
        <v>0.42582</v>
      </c>
      <c r="Z84" t="n">
        <v>-1.0679</v>
      </c>
    </row>
    <row r="85">
      <c r="A85" t="inlineStr">
        <is>
          <t>wit</t>
        </is>
      </c>
      <c r="B85" t="n">
        <v>-0.36857</v>
      </c>
      <c r="C85" t="n">
        <v>1.9883</v>
      </c>
      <c r="D85" t="n">
        <v>0.62588</v>
      </c>
      <c r="E85" t="n">
        <v>0.6126</v>
      </c>
      <c r="F85" t="n">
        <v>0.21172</v>
      </c>
      <c r="G85" t="n">
        <v>0.87087</v>
      </c>
      <c r="H85" t="n">
        <v>-0.43169</v>
      </c>
      <c r="I85" t="n">
        <v>-0.1802</v>
      </c>
      <c r="J85" t="n">
        <v>-0.041444</v>
      </c>
      <c r="K85" t="n">
        <v>0.56349</v>
      </c>
      <c r="L85" t="n">
        <v>-1.6666</v>
      </c>
      <c r="M85" t="n">
        <v>1.0013</v>
      </c>
      <c r="N85" t="n">
        <v>-4.6617</v>
      </c>
      <c r="O85" t="n">
        <v>-0.49561</v>
      </c>
      <c r="P85" t="n">
        <v>-0.36459</v>
      </c>
      <c r="Q85" t="n">
        <v>0.39919</v>
      </c>
      <c r="R85" t="n">
        <v>0.78771</v>
      </c>
      <c r="S85" t="n">
        <v>-0.90378</v>
      </c>
      <c r="T85" t="n">
        <v>-0.056799</v>
      </c>
      <c r="U85" t="n">
        <v>1.3391</v>
      </c>
      <c r="V85" t="n">
        <v>0.29909</v>
      </c>
      <c r="W85" t="n">
        <v>0.48888</v>
      </c>
      <c r="X85" t="n">
        <v>0.99965</v>
      </c>
      <c r="Y85" t="n">
        <v>-0.07306699999999999</v>
      </c>
      <c r="Z85" t="n">
        <v>0.75093</v>
      </c>
    </row>
    <row r="86">
      <c r="A86" t="inlineStr">
        <is>
          <t>fact</t>
        </is>
      </c>
      <c r="B86" t="n">
        <v>0.30673</v>
      </c>
      <c r="C86" t="n">
        <v>0.22631</v>
      </c>
      <c r="D86" t="n">
        <v>0.11983</v>
      </c>
      <c r="E86" t="n">
        <v>0.20555</v>
      </c>
      <c r="F86" t="n">
        <v>-0.15293</v>
      </c>
      <c r="G86" t="n">
        <v>-0.18333</v>
      </c>
      <c r="H86" t="n">
        <v>1.6975</v>
      </c>
      <c r="I86" t="n">
        <v>0.3638</v>
      </c>
      <c r="J86" t="n">
        <v>-0.35856</v>
      </c>
      <c r="K86" t="n">
        <v>-0.023718</v>
      </c>
      <c r="L86" t="n">
        <v>0.024788</v>
      </c>
      <c r="M86" t="n">
        <v>1.0762</v>
      </c>
      <c r="N86" t="n">
        <v>-3.6222</v>
      </c>
      <c r="O86" t="n">
        <v>-0.12409</v>
      </c>
      <c r="P86" t="n">
        <v>-0.10876</v>
      </c>
      <c r="Q86" t="n">
        <v>0.35018</v>
      </c>
      <c r="R86" t="n">
        <v>-0.071784</v>
      </c>
      <c r="S86" t="n">
        <v>-0.3198</v>
      </c>
      <c r="T86" t="n">
        <v>-0.0031859</v>
      </c>
      <c r="U86" t="n">
        <v>-0.22287</v>
      </c>
      <c r="V86" t="n">
        <v>-0.029263</v>
      </c>
      <c r="W86" t="n">
        <v>0.60215</v>
      </c>
      <c r="X86" t="n">
        <v>-0.98001</v>
      </c>
      <c r="Y86" t="n">
        <v>-0.046023</v>
      </c>
      <c r="Z86" t="n">
        <v>-0.98315</v>
      </c>
    </row>
    <row r="87">
      <c r="A87" t="inlineStr">
        <is>
          <t>brother</t>
        </is>
      </c>
      <c r="B87" t="n">
        <v>-0.74632</v>
      </c>
      <c r="C87" t="n">
        <v>0.67652</v>
      </c>
      <c r="D87" t="n">
        <v>0.95797</v>
      </c>
      <c r="E87" t="n">
        <v>0.14361</v>
      </c>
      <c r="F87" t="n">
        <v>0.02808</v>
      </c>
      <c r="G87" t="n">
        <v>-0.5111599999999999</v>
      </c>
      <c r="H87" t="n">
        <v>1.0101</v>
      </c>
      <c r="I87" t="n">
        <v>0.65478</v>
      </c>
      <c r="J87" t="n">
        <v>-0.60427</v>
      </c>
      <c r="K87" t="n">
        <v>-0.36362</v>
      </c>
      <c r="L87" t="n">
        <v>-0.68061</v>
      </c>
      <c r="M87" t="n">
        <v>-0.31691</v>
      </c>
      <c r="N87" t="n">
        <v>-4.0293</v>
      </c>
      <c r="O87" t="n">
        <v>-0.73709</v>
      </c>
      <c r="P87" t="n">
        <v>0.33912</v>
      </c>
      <c r="Q87" t="n">
        <v>-0.54796</v>
      </c>
      <c r="R87" t="n">
        <v>0.38303</v>
      </c>
      <c r="S87" t="n">
        <v>-0.69526</v>
      </c>
      <c r="T87" t="n">
        <v>-0.32052</v>
      </c>
      <c r="U87" t="n">
        <v>-0.16578</v>
      </c>
      <c r="V87" t="n">
        <v>0.6509200000000001</v>
      </c>
      <c r="W87" t="n">
        <v>0.6075</v>
      </c>
      <c r="X87" t="n">
        <v>-0.11483</v>
      </c>
      <c r="Y87" t="n">
        <v>-0.10159</v>
      </c>
      <c r="Z87" t="n">
        <v>-0.32912</v>
      </c>
    </row>
    <row r="88">
      <c r="A88" t="inlineStr">
        <is>
          <t>peoples</t>
        </is>
      </c>
      <c r="B88" t="n">
        <v>1.33</v>
      </c>
      <c r="C88" t="n">
        <v>0.3757</v>
      </c>
      <c r="D88" t="n">
        <v>0.38365</v>
      </c>
      <c r="E88" t="n">
        <v>0.35385</v>
      </c>
      <c r="F88" t="n">
        <v>-0.030818</v>
      </c>
      <c r="G88" t="n">
        <v>-1.0787</v>
      </c>
      <c r="H88" t="n">
        <v>1.6127</v>
      </c>
      <c r="I88" t="n">
        <v>0.22355</v>
      </c>
      <c r="J88" t="n">
        <v>-1.3829</v>
      </c>
      <c r="K88" t="n">
        <v>-1.5167</v>
      </c>
      <c r="L88" t="n">
        <v>-0.71385</v>
      </c>
      <c r="M88" t="n">
        <v>-0.19114</v>
      </c>
      <c r="N88" t="n">
        <v>-3.0008</v>
      </c>
      <c r="O88" t="n">
        <v>-0.15458</v>
      </c>
      <c r="P88" t="n">
        <v>-1.4638</v>
      </c>
      <c r="Q88" t="n">
        <v>-0.1163</v>
      </c>
      <c r="R88" t="n">
        <v>-2.3221</v>
      </c>
      <c r="S88" t="n">
        <v>-1.2228</v>
      </c>
      <c r="T88" t="n">
        <v>0.35355</v>
      </c>
      <c r="U88" t="n">
        <v>0.53091</v>
      </c>
      <c r="V88" t="n">
        <v>-1.1179</v>
      </c>
      <c r="W88" t="n">
        <v>1.2255</v>
      </c>
      <c r="X88" t="n">
        <v>0.023098</v>
      </c>
      <c r="Y88" t="n">
        <v>-0.90839</v>
      </c>
      <c r="Z88" t="n">
        <v>-0.72392</v>
      </c>
    </row>
    <row r="89">
      <c r="A89" t="inlineStr">
        <is>
          <t>fin</t>
        </is>
      </c>
      <c r="B89" t="n">
        <v>0.53892</v>
      </c>
      <c r="C89" t="n">
        <v>0.081146</v>
      </c>
      <c r="D89" t="n">
        <v>-0.79432</v>
      </c>
      <c r="E89" t="n">
        <v>0.35609</v>
      </c>
      <c r="F89" t="n">
        <v>0.23038</v>
      </c>
      <c r="G89" t="n">
        <v>0.53213</v>
      </c>
      <c r="H89" t="n">
        <v>-0.38549</v>
      </c>
      <c r="I89" t="n">
        <v>2.0766</v>
      </c>
      <c r="J89" t="n">
        <v>-0.95301</v>
      </c>
      <c r="K89" t="n">
        <v>-1.1792</v>
      </c>
      <c r="L89" t="n">
        <v>0.44588</v>
      </c>
      <c r="M89" t="n">
        <v>-1.9231</v>
      </c>
      <c r="N89" t="n">
        <v>-1.8805</v>
      </c>
      <c r="O89" t="n">
        <v>1.1764</v>
      </c>
      <c r="P89" t="n">
        <v>1.2859</v>
      </c>
      <c r="Q89" t="n">
        <v>0.78279</v>
      </c>
      <c r="R89" t="n">
        <v>0.57756</v>
      </c>
      <c r="S89" t="n">
        <v>0.71894</v>
      </c>
      <c r="T89" t="n">
        <v>-1.6716</v>
      </c>
      <c r="U89" t="n">
        <v>0.34897</v>
      </c>
      <c r="V89" t="n">
        <v>0.17215</v>
      </c>
      <c r="W89" t="n">
        <v>-0.81285</v>
      </c>
      <c r="X89" t="n">
        <v>0.40706</v>
      </c>
      <c r="Y89" t="n">
        <v>0.44306</v>
      </c>
      <c r="Z89" t="n">
        <v>1.2715</v>
      </c>
    </row>
    <row r="90">
      <c r="A90" t="inlineStr">
        <is>
          <t>hour</t>
        </is>
      </c>
      <c r="B90" t="n">
        <v>-0.30289</v>
      </c>
      <c r="C90" t="n">
        <v>1.031</v>
      </c>
      <c r="D90" t="n">
        <v>0.84472</v>
      </c>
      <c r="E90" t="n">
        <v>-0.35299</v>
      </c>
      <c r="F90" t="n">
        <v>0.24867</v>
      </c>
      <c r="G90" t="n">
        <v>0.13889</v>
      </c>
      <c r="H90" t="n">
        <v>1.8252</v>
      </c>
      <c r="I90" t="n">
        <v>-0.9867</v>
      </c>
      <c r="J90" t="n">
        <v>-0.17896</v>
      </c>
      <c r="K90" t="n">
        <v>0.23689</v>
      </c>
      <c r="L90" t="n">
        <v>-0.34525</v>
      </c>
      <c r="M90" t="n">
        <v>0.11497</v>
      </c>
      <c r="N90" t="n">
        <v>-3.7992</v>
      </c>
      <c r="O90" t="n">
        <v>0.9557</v>
      </c>
      <c r="P90" t="n">
        <v>0.82704</v>
      </c>
      <c r="Q90" t="n">
        <v>-0.073023</v>
      </c>
      <c r="R90" t="n">
        <v>0.37106</v>
      </c>
      <c r="S90" t="n">
        <v>-0.33656</v>
      </c>
      <c r="T90" t="n">
        <v>-0.92735</v>
      </c>
      <c r="U90" t="n">
        <v>-0.76762</v>
      </c>
      <c r="V90" t="n">
        <v>-0.94524</v>
      </c>
      <c r="W90" t="n">
        <v>-0.58192</v>
      </c>
      <c r="X90" t="n">
        <v>0.49053</v>
      </c>
      <c r="Y90" t="n">
        <v>0.3925</v>
      </c>
      <c r="Z90" t="n">
        <v>0.15834</v>
      </c>
    </row>
    <row r="91">
      <c r="A91" t="inlineStr">
        <is>
          <t>thirsty</t>
        </is>
      </c>
      <c r="B91" t="n">
        <v>-0.24921</v>
      </c>
      <c r="C91" t="n">
        <v>1.8432</v>
      </c>
      <c r="D91" t="n">
        <v>-1.0863</v>
      </c>
      <c r="E91" t="n">
        <v>-0.178</v>
      </c>
      <c r="F91" t="n">
        <v>0.69776</v>
      </c>
      <c r="G91" t="n">
        <v>0.37695</v>
      </c>
      <c r="H91" t="n">
        <v>0.8749400000000001</v>
      </c>
      <c r="I91" t="n">
        <v>-0.7932900000000001</v>
      </c>
      <c r="J91" t="n">
        <v>-2.606</v>
      </c>
      <c r="K91" t="n">
        <v>0.52896</v>
      </c>
      <c r="L91" t="n">
        <v>-0.81132</v>
      </c>
      <c r="M91" t="n">
        <v>-0.17941</v>
      </c>
      <c r="N91" t="n">
        <v>-2.5384</v>
      </c>
      <c r="O91" t="n">
        <v>-1.1536</v>
      </c>
      <c r="P91" t="n">
        <v>-1.0137</v>
      </c>
      <c r="Q91" t="n">
        <v>0.086021</v>
      </c>
      <c r="R91" t="n">
        <v>-0.59449</v>
      </c>
      <c r="S91" t="n">
        <v>-1.8137</v>
      </c>
      <c r="T91" t="n">
        <v>0.38174</v>
      </c>
      <c r="U91" t="n">
        <v>0.059993</v>
      </c>
      <c r="V91" t="n">
        <v>0.91171</v>
      </c>
      <c r="W91" t="n">
        <v>0.22987</v>
      </c>
      <c r="X91" t="n">
        <v>0.59753</v>
      </c>
      <c r="Y91" t="n">
        <v>-0.18382</v>
      </c>
      <c r="Z91" t="n">
        <v>0.42743</v>
      </c>
    </row>
    <row r="92">
      <c r="A92" t="inlineStr">
        <is>
          <t>fight</t>
        </is>
      </c>
      <c r="B92" t="n">
        <v>0.177</v>
      </c>
      <c r="C92" t="n">
        <v>1.0612</v>
      </c>
      <c r="D92" t="n">
        <v>-0.37532</v>
      </c>
      <c r="E92" t="n">
        <v>0.37692</v>
      </c>
      <c r="F92" t="n">
        <v>-0.38193</v>
      </c>
      <c r="G92" t="n">
        <v>-0.035887</v>
      </c>
      <c r="H92" t="n">
        <v>1.1323</v>
      </c>
      <c r="I92" t="n">
        <v>-0.12143</v>
      </c>
      <c r="J92" t="n">
        <v>0.21336</v>
      </c>
      <c r="K92" t="n">
        <v>0.017709</v>
      </c>
      <c r="L92" t="n">
        <v>-0.39995</v>
      </c>
      <c r="M92" t="n">
        <v>0.71165</v>
      </c>
      <c r="N92" t="n">
        <v>-4.0861</v>
      </c>
      <c r="O92" t="n">
        <v>0.26918</v>
      </c>
      <c r="P92" t="n">
        <v>0.16057</v>
      </c>
      <c r="Q92" t="n">
        <v>0.11511</v>
      </c>
      <c r="R92" t="n">
        <v>-0.51632</v>
      </c>
      <c r="S92" t="n">
        <v>-0.73059</v>
      </c>
      <c r="T92" t="n">
        <v>0.065623</v>
      </c>
      <c r="U92" t="n">
        <v>-0.76326</v>
      </c>
      <c r="V92" t="n">
        <v>0.021604</v>
      </c>
      <c r="W92" t="n">
        <v>1.2975</v>
      </c>
      <c r="X92" t="n">
        <v>0.48221</v>
      </c>
      <c r="Y92" t="n">
        <v>-0.74395</v>
      </c>
      <c r="Z92" t="n">
        <v>0.38602</v>
      </c>
    </row>
    <row r="93">
      <c r="A93" t="inlineStr">
        <is>
          <t>heard</t>
        </is>
      </c>
      <c r="B93" t="n">
        <v>0.287</v>
      </c>
      <c r="C93" t="n">
        <v>1.1403</v>
      </c>
      <c r="D93" t="n">
        <v>1.0746</v>
      </c>
      <c r="E93" t="n">
        <v>0.036523</v>
      </c>
      <c r="F93" t="n">
        <v>-0.45213</v>
      </c>
      <c r="G93" t="n">
        <v>-0.32689</v>
      </c>
      <c r="H93" t="n">
        <v>1.6444</v>
      </c>
      <c r="I93" t="n">
        <v>-0.21533</v>
      </c>
      <c r="J93" t="n">
        <v>-0.54148</v>
      </c>
      <c r="K93" t="n">
        <v>-0.16618</v>
      </c>
      <c r="L93" t="n">
        <v>-0.21257</v>
      </c>
      <c r="M93" t="n">
        <v>1.2581</v>
      </c>
      <c r="N93" t="n">
        <v>-4.2278</v>
      </c>
      <c r="O93" t="n">
        <v>0.048264</v>
      </c>
      <c r="P93" t="n">
        <v>0.24089</v>
      </c>
      <c r="Q93" t="n">
        <v>0.50207</v>
      </c>
      <c r="R93" t="n">
        <v>0.83236</v>
      </c>
      <c r="S93" t="n">
        <v>0.23397</v>
      </c>
      <c r="T93" t="n">
        <v>-0.12121</v>
      </c>
      <c r="U93" t="n">
        <v>-0.15136</v>
      </c>
      <c r="V93" t="n">
        <v>0.99586</v>
      </c>
      <c r="W93" t="n">
        <v>0.36068</v>
      </c>
      <c r="X93" t="n">
        <v>0.32045</v>
      </c>
      <c r="Y93" t="n">
        <v>-0.26932</v>
      </c>
      <c r="Z93" t="n">
        <v>0.1661</v>
      </c>
    </row>
    <row r="94">
      <c r="A94" t="inlineStr">
        <is>
          <t>easy</t>
        </is>
      </c>
      <c r="B94" t="n">
        <v>0.083593</v>
      </c>
      <c r="C94" t="n">
        <v>0.39824</v>
      </c>
      <c r="D94" t="n">
        <v>-0.90454</v>
      </c>
      <c r="E94" t="n">
        <v>-0.0050385</v>
      </c>
      <c r="F94" t="n">
        <v>0.46496</v>
      </c>
      <c r="G94" t="n">
        <v>0.85628</v>
      </c>
      <c r="H94" t="n">
        <v>1.2439</v>
      </c>
      <c r="I94" t="n">
        <v>-0.90065</v>
      </c>
      <c r="J94" t="n">
        <v>0.20512</v>
      </c>
      <c r="K94" t="n">
        <v>-0.3293</v>
      </c>
      <c r="L94" t="n">
        <v>-0.52603</v>
      </c>
      <c r="M94" t="n">
        <v>0.35712</v>
      </c>
      <c r="N94" t="n">
        <v>-3.9871</v>
      </c>
      <c r="O94" t="n">
        <v>-0.41013</v>
      </c>
      <c r="P94" t="n">
        <v>0.17871</v>
      </c>
      <c r="Q94" t="n">
        <v>0.15792</v>
      </c>
      <c r="R94" t="n">
        <v>0.34955</v>
      </c>
      <c r="S94" t="n">
        <v>-0.5233100000000001</v>
      </c>
      <c r="T94" t="n">
        <v>0.14172</v>
      </c>
      <c r="U94" t="n">
        <v>-0.50487</v>
      </c>
      <c r="V94" t="n">
        <v>-0.33821</v>
      </c>
      <c r="W94" t="n">
        <v>-0.21751</v>
      </c>
      <c r="X94" t="n">
        <v>-0.072673</v>
      </c>
      <c r="Y94" t="n">
        <v>0.8414700000000001</v>
      </c>
      <c r="Z94" t="n">
        <v>-0.22719</v>
      </c>
    </row>
    <row r="95">
      <c r="A95" t="inlineStr">
        <is>
          <t>least</t>
        </is>
      </c>
      <c r="B95" t="n">
        <v>0.49457</v>
      </c>
      <c r="C95" t="n">
        <v>0.26938</v>
      </c>
      <c r="D95" t="n">
        <v>0.28072</v>
      </c>
      <c r="E95" t="n">
        <v>-0.4518</v>
      </c>
      <c r="F95" t="n">
        <v>-0.63633</v>
      </c>
      <c r="G95" t="n">
        <v>0.21695</v>
      </c>
      <c r="H95" t="n">
        <v>1.386</v>
      </c>
      <c r="I95" t="n">
        <v>-0.55261</v>
      </c>
      <c r="J95" t="n">
        <v>-0.60492</v>
      </c>
      <c r="K95" t="n">
        <v>0.37937</v>
      </c>
      <c r="L95" t="n">
        <v>-0.0066543</v>
      </c>
      <c r="M95" t="n">
        <v>0.33671</v>
      </c>
      <c r="N95" t="n">
        <v>-4.3253</v>
      </c>
      <c r="O95" t="n">
        <v>0.74009</v>
      </c>
      <c r="P95" t="n">
        <v>0.37801</v>
      </c>
      <c r="Q95" t="n">
        <v>0.10061</v>
      </c>
      <c r="R95" t="n">
        <v>0.87957</v>
      </c>
      <c r="S95" t="n">
        <v>-0.6611</v>
      </c>
      <c r="T95" t="n">
        <v>0.1237</v>
      </c>
      <c r="U95" t="n">
        <v>-0.93558</v>
      </c>
      <c r="V95" t="n">
        <v>0.11349</v>
      </c>
      <c r="W95" t="n">
        <v>0.44064</v>
      </c>
      <c r="X95" t="n">
        <v>-0.14545</v>
      </c>
      <c r="Y95" t="n">
        <v>0.015325</v>
      </c>
      <c r="Z95" t="n">
        <v>-0.86836</v>
      </c>
    </row>
    <row r="96">
      <c r="A96" t="inlineStr">
        <is>
          <t>business</t>
        </is>
      </c>
      <c r="B96" t="n">
        <v>0.07750700000000001</v>
      </c>
      <c r="C96" t="n">
        <v>0.80513</v>
      </c>
      <c r="D96" t="n">
        <v>-1.1954</v>
      </c>
      <c r="E96" t="n">
        <v>-0.78154</v>
      </c>
      <c r="F96" t="n">
        <v>1.3877</v>
      </c>
      <c r="G96" t="n">
        <v>-0.018525</v>
      </c>
      <c r="H96" t="n">
        <v>0.49208</v>
      </c>
      <c r="I96" t="n">
        <v>-0.9817900000000001</v>
      </c>
      <c r="J96" t="n">
        <v>1.0274</v>
      </c>
      <c r="K96" t="n">
        <v>-0.063191</v>
      </c>
      <c r="L96" t="n">
        <v>-0.44426</v>
      </c>
      <c r="M96" t="n">
        <v>0.055979</v>
      </c>
      <c r="N96" t="n">
        <v>-4.6939</v>
      </c>
      <c r="O96" t="n">
        <v>0.034159</v>
      </c>
      <c r="P96" t="n">
        <v>0.5545099999999999</v>
      </c>
      <c r="Q96" t="n">
        <v>-0.48754</v>
      </c>
      <c r="R96" t="n">
        <v>0.28644</v>
      </c>
      <c r="S96" t="n">
        <v>-0.059675</v>
      </c>
      <c r="T96" t="n">
        <v>0.11087</v>
      </c>
      <c r="U96" t="n">
        <v>0.00047241</v>
      </c>
      <c r="V96" t="n">
        <v>0.067165</v>
      </c>
      <c r="W96" t="n">
        <v>-1.4893</v>
      </c>
      <c r="X96" t="n">
        <v>-0.86799</v>
      </c>
      <c r="Y96" t="n">
        <v>-0.43494</v>
      </c>
      <c r="Z96" t="n">
        <v>-0.45832</v>
      </c>
    </row>
    <row r="97">
      <c r="A97" t="inlineStr">
        <is>
          <t>wear</t>
        </is>
      </c>
      <c r="B97" t="n">
        <v>-0.41459</v>
      </c>
      <c r="C97" t="n">
        <v>-0.66893</v>
      </c>
      <c r="D97" t="n">
        <v>0.072897</v>
      </c>
      <c r="E97" t="n">
        <v>-1.2837</v>
      </c>
      <c r="F97" t="n">
        <v>-0.34257</v>
      </c>
      <c r="G97" t="n">
        <v>0.46651</v>
      </c>
      <c r="H97" t="n">
        <v>0.58579</v>
      </c>
      <c r="I97" t="n">
        <v>-1.2067</v>
      </c>
      <c r="J97" t="n">
        <v>-0.25414</v>
      </c>
      <c r="K97" t="n">
        <v>0.084992</v>
      </c>
      <c r="L97" t="n">
        <v>-0.042549</v>
      </c>
      <c r="M97" t="n">
        <v>-0.54822</v>
      </c>
      <c r="N97" t="n">
        <v>-4.8801</v>
      </c>
      <c r="O97" t="n">
        <v>-0.90711</v>
      </c>
      <c r="P97" t="n">
        <v>-1.3202</v>
      </c>
      <c r="Q97" t="n">
        <v>0.71405</v>
      </c>
      <c r="R97" t="n">
        <v>0.58172</v>
      </c>
      <c r="S97" t="n">
        <v>-1.7746</v>
      </c>
      <c r="T97" t="n">
        <v>0.27132</v>
      </c>
      <c r="U97" t="n">
        <v>0.44514</v>
      </c>
      <c r="V97" t="n">
        <v>-0.51733</v>
      </c>
      <c r="W97" t="n">
        <v>1.1868</v>
      </c>
      <c r="X97" t="n">
        <v>0.74156</v>
      </c>
      <c r="Y97" t="n">
        <v>0.12872</v>
      </c>
      <c r="Z97" t="n">
        <v>-0.76915</v>
      </c>
    </row>
    <row r="98">
      <c r="A98" t="inlineStr">
        <is>
          <t>:o</t>
        </is>
      </c>
      <c r="B98" t="n">
        <v>0.62422</v>
      </c>
      <c r="C98" t="n">
        <v>-0.27107</v>
      </c>
      <c r="D98" t="n">
        <v>0.08211</v>
      </c>
      <c r="E98" t="n">
        <v>0.005107</v>
      </c>
      <c r="F98" t="n">
        <v>-0.14493</v>
      </c>
      <c r="G98" t="n">
        <v>0.079775</v>
      </c>
      <c r="H98" t="n">
        <v>0.57948</v>
      </c>
      <c r="I98" t="n">
        <v>2.0657</v>
      </c>
      <c r="J98" t="n">
        <v>-0.50427</v>
      </c>
      <c r="K98" t="n">
        <v>0.8073</v>
      </c>
      <c r="L98" t="n">
        <v>-0.38127</v>
      </c>
      <c r="M98" t="n">
        <v>-0.45634</v>
      </c>
      <c r="N98" t="n">
        <v>-2.0888</v>
      </c>
      <c r="O98" t="n">
        <v>-0.5461</v>
      </c>
      <c r="P98" t="n">
        <v>1.2103</v>
      </c>
      <c r="Q98" t="n">
        <v>0.11439</v>
      </c>
      <c r="R98" t="n">
        <v>0.1597</v>
      </c>
      <c r="S98" t="n">
        <v>-0.19857</v>
      </c>
      <c r="T98" t="n">
        <v>-1.158</v>
      </c>
      <c r="U98" t="n">
        <v>0.27436</v>
      </c>
      <c r="V98" t="n">
        <v>0.42921</v>
      </c>
      <c r="W98" t="n">
        <v>0.32346</v>
      </c>
      <c r="X98" t="n">
        <v>0.070645</v>
      </c>
      <c r="Y98" t="n">
        <v>1.5051</v>
      </c>
      <c r="Z98" t="n">
        <v>0.18091</v>
      </c>
    </row>
    <row r="99">
      <c r="A99" t="inlineStr">
        <is>
          <t>football</t>
        </is>
      </c>
      <c r="B99" t="n">
        <v>0.36491</v>
      </c>
      <c r="C99" t="n">
        <v>0.46657</v>
      </c>
      <c r="D99" t="n">
        <v>-0.64874</v>
      </c>
      <c r="E99" t="n">
        <v>-1.6317</v>
      </c>
      <c r="F99" t="n">
        <v>-0.10499</v>
      </c>
      <c r="G99" t="n">
        <v>0.29539</v>
      </c>
      <c r="H99" t="n">
        <v>1.102</v>
      </c>
      <c r="I99" t="n">
        <v>-0.37133</v>
      </c>
      <c r="J99" t="n">
        <v>-0.37283</v>
      </c>
      <c r="K99" t="n">
        <v>-0.80927</v>
      </c>
      <c r="L99" t="n">
        <v>0.18891</v>
      </c>
      <c r="M99" t="n">
        <v>0.31195</v>
      </c>
      <c r="N99" t="n">
        <v>-4.1618</v>
      </c>
      <c r="O99" t="n">
        <v>0.65512</v>
      </c>
      <c r="P99" t="n">
        <v>1.4357</v>
      </c>
      <c r="Q99" t="n">
        <v>-0.0057378</v>
      </c>
      <c r="R99" t="n">
        <v>-0.3075</v>
      </c>
      <c r="S99" t="n">
        <v>-1.2917</v>
      </c>
      <c r="T99" t="n">
        <v>-0.39751</v>
      </c>
      <c r="U99" t="n">
        <v>0.65063</v>
      </c>
      <c r="V99" t="n">
        <v>-0.83692</v>
      </c>
      <c r="W99" t="n">
        <v>0.68736</v>
      </c>
      <c r="X99" t="n">
        <v>0.19409</v>
      </c>
      <c r="Y99" t="n">
        <v>-1.3879</v>
      </c>
      <c r="Z99" t="n">
        <v>-0.06428200000000001</v>
      </c>
    </row>
    <row r="100">
      <c r="A100" t="inlineStr">
        <is>
          <t>learn</t>
        </is>
      </c>
      <c r="B100" t="n">
        <v>0.58035</v>
      </c>
      <c r="C100" t="n">
        <v>0.82394</v>
      </c>
      <c r="D100" t="n">
        <v>-0.95395</v>
      </c>
      <c r="E100" t="n">
        <v>0.19333</v>
      </c>
      <c r="F100" t="n">
        <v>-0.050342</v>
      </c>
      <c r="G100" t="n">
        <v>-0.20565</v>
      </c>
      <c r="H100" t="n">
        <v>1.5672</v>
      </c>
      <c r="I100" t="n">
        <v>-1.0476</v>
      </c>
      <c r="J100" t="n">
        <v>0.8112</v>
      </c>
      <c r="K100" t="n">
        <v>-0.58665</v>
      </c>
      <c r="L100" t="n">
        <v>-0.94024</v>
      </c>
      <c r="M100" t="n">
        <v>0.38921</v>
      </c>
      <c r="N100" t="n">
        <v>-4.6877</v>
      </c>
      <c r="O100" t="n">
        <v>-0.3566</v>
      </c>
      <c r="P100" t="n">
        <v>-0.21882</v>
      </c>
      <c r="Q100" t="n">
        <v>0.362</v>
      </c>
      <c r="R100" t="n">
        <v>0.21614</v>
      </c>
      <c r="S100" t="n">
        <v>-0.39527</v>
      </c>
      <c r="T100" t="n">
        <v>0.85753</v>
      </c>
      <c r="U100" t="n">
        <v>-1.0633</v>
      </c>
      <c r="V100" t="n">
        <v>-0.018846</v>
      </c>
      <c r="W100" t="n">
        <v>-0.20455</v>
      </c>
      <c r="X100" t="n">
        <v>-0.65078</v>
      </c>
      <c r="Y100" t="n">
        <v>0.39326</v>
      </c>
      <c r="Z100" t="n">
        <v>0.076964</v>
      </c>
    </row>
    <row r="101">
      <c r="A101" t="inlineStr">
        <is>
          <t>knew</t>
        </is>
      </c>
      <c r="B101" t="n">
        <v>0.28602</v>
      </c>
      <c r="C101" t="n">
        <v>0.87077</v>
      </c>
      <c r="D101" t="n">
        <v>0.90741</v>
      </c>
      <c r="E101" t="n">
        <v>-0.093098</v>
      </c>
      <c r="F101" t="n">
        <v>-0.75814</v>
      </c>
      <c r="G101" t="n">
        <v>-0.37049</v>
      </c>
      <c r="H101" t="n">
        <v>1.3324</v>
      </c>
      <c r="I101" t="n">
        <v>-0.3301</v>
      </c>
      <c r="J101" t="n">
        <v>-0.888</v>
      </c>
      <c r="K101" t="n">
        <v>-0.095141</v>
      </c>
      <c r="L101" t="n">
        <v>-0.34275</v>
      </c>
      <c r="M101" t="n">
        <v>0.93087</v>
      </c>
      <c r="N101" t="n">
        <v>-4.4412</v>
      </c>
      <c r="O101" t="n">
        <v>-0.3078</v>
      </c>
      <c r="P101" t="n">
        <v>0.21559</v>
      </c>
      <c r="Q101" t="n">
        <v>0.31001</v>
      </c>
      <c r="R101" t="n">
        <v>0.8308</v>
      </c>
      <c r="S101" t="n">
        <v>0.15952</v>
      </c>
      <c r="T101" t="n">
        <v>0.34923</v>
      </c>
      <c r="U101" t="n">
        <v>-0.396</v>
      </c>
      <c r="V101" t="n">
        <v>1.2716</v>
      </c>
      <c r="W101" t="n">
        <v>0.78887</v>
      </c>
      <c r="X101" t="n">
        <v>-0.011822</v>
      </c>
      <c r="Y101" t="n">
        <v>0.19585</v>
      </c>
      <c r="Z101" t="n">
        <v>-0.37148</v>
      </c>
    </row>
    <row r="102">
      <c r="A102" t="inlineStr">
        <is>
          <t>worth</t>
        </is>
      </c>
      <c r="B102" t="n">
        <v>-0.26559</v>
      </c>
      <c r="C102" t="n">
        <v>1.0267</v>
      </c>
      <c r="D102" t="n">
        <v>-0.21582</v>
      </c>
      <c r="E102" t="n">
        <v>-0.17478</v>
      </c>
      <c r="F102" t="n">
        <v>-0.061777</v>
      </c>
      <c r="G102" t="n">
        <v>0.28052</v>
      </c>
      <c r="H102" t="n">
        <v>0.73311</v>
      </c>
      <c r="I102" t="n">
        <v>-1.3842</v>
      </c>
      <c r="J102" t="n">
        <v>-0.84804</v>
      </c>
      <c r="K102" t="n">
        <v>0.13089</v>
      </c>
      <c r="L102" t="n">
        <v>0.15464</v>
      </c>
      <c r="M102" t="n">
        <v>0.45867</v>
      </c>
      <c r="N102" t="n">
        <v>-4.3862</v>
      </c>
      <c r="O102" t="n">
        <v>0.19371</v>
      </c>
      <c r="P102" t="n">
        <v>0.060209</v>
      </c>
      <c r="Q102" t="n">
        <v>0.18071</v>
      </c>
      <c r="R102" t="n">
        <v>-0.1115</v>
      </c>
      <c r="S102" t="n">
        <v>-0.039883</v>
      </c>
      <c r="T102" t="n">
        <v>0.21777</v>
      </c>
      <c r="U102" t="n">
        <v>-0.64575</v>
      </c>
      <c r="V102" t="n">
        <v>-0.65452</v>
      </c>
      <c r="W102" t="n">
        <v>-0.39837</v>
      </c>
      <c r="X102" t="n">
        <v>-0.18885</v>
      </c>
      <c r="Y102" t="n">
        <v>1.1001</v>
      </c>
      <c r="Z102" t="n">
        <v>-0.68782</v>
      </c>
    </row>
    <row r="103">
      <c r="A103" t="inlineStr">
        <is>
          <t>weather</t>
        </is>
      </c>
      <c r="B103" t="n">
        <v>-0.86476</v>
      </c>
      <c r="C103" t="n">
        <v>-0.6975</v>
      </c>
      <c r="D103" t="n">
        <v>-0.69574</v>
      </c>
      <c r="E103" t="n">
        <v>-1.2633</v>
      </c>
      <c r="F103" t="n">
        <v>-0.19891</v>
      </c>
      <c r="G103" t="n">
        <v>1.0855</v>
      </c>
      <c r="H103" t="n">
        <v>1.8611</v>
      </c>
      <c r="I103" t="n">
        <v>-1.1699</v>
      </c>
      <c r="J103" t="n">
        <v>0.14969</v>
      </c>
      <c r="K103" t="n">
        <v>0.4091</v>
      </c>
      <c r="L103" t="n">
        <v>-0.93497</v>
      </c>
      <c r="M103" t="n">
        <v>0.25987</v>
      </c>
      <c r="N103" t="n">
        <v>-3.6783</v>
      </c>
      <c r="O103" t="n">
        <v>1.2144</v>
      </c>
      <c r="P103" t="n">
        <v>1.5095</v>
      </c>
      <c r="Q103" t="n">
        <v>-0.38407</v>
      </c>
      <c r="R103" t="n">
        <v>0.19425</v>
      </c>
      <c r="S103" t="n">
        <v>-0.095738</v>
      </c>
      <c r="T103" t="n">
        <v>-0.18508</v>
      </c>
      <c r="U103" t="n">
        <v>0.48539</v>
      </c>
      <c r="V103" t="n">
        <v>-0.045575</v>
      </c>
      <c r="W103" t="n">
        <v>-0.71927</v>
      </c>
      <c r="X103" t="n">
        <v>1.2073</v>
      </c>
      <c r="Y103" t="n">
        <v>0.026715</v>
      </c>
      <c r="Z103" t="n">
        <v>0.090112</v>
      </c>
    </row>
    <row r="104">
      <c r="A104" t="inlineStr">
        <is>
          <t>sounds</t>
        </is>
      </c>
      <c r="B104" t="n">
        <v>-0.48018</v>
      </c>
      <c r="C104" t="n">
        <v>-0.4813</v>
      </c>
      <c r="D104" t="n">
        <v>0.42723</v>
      </c>
      <c r="E104" t="n">
        <v>-0.16453</v>
      </c>
      <c r="F104" t="n">
        <v>0.16706</v>
      </c>
      <c r="G104" t="n">
        <v>0.79156</v>
      </c>
      <c r="H104" t="n">
        <v>2.2335</v>
      </c>
      <c r="I104" t="n">
        <v>-0.62469</v>
      </c>
      <c r="J104" t="n">
        <v>-0.46821</v>
      </c>
      <c r="K104" t="n">
        <v>-0.25475</v>
      </c>
      <c r="L104" t="n">
        <v>-0.17126</v>
      </c>
      <c r="M104" t="n">
        <v>0.89762</v>
      </c>
      <c r="N104" t="n">
        <v>-3.6204</v>
      </c>
      <c r="O104" t="n">
        <v>-0.66844</v>
      </c>
      <c r="P104" t="n">
        <v>1.1453</v>
      </c>
      <c r="Q104" t="n">
        <v>0.10699</v>
      </c>
      <c r="R104" t="n">
        <v>0.81768</v>
      </c>
      <c r="S104" t="n">
        <v>-0.047433</v>
      </c>
      <c r="T104" t="n">
        <v>-0.14116</v>
      </c>
      <c r="U104" t="n">
        <v>0.20972</v>
      </c>
      <c r="V104" t="n">
        <v>0.40326</v>
      </c>
      <c r="W104" t="n">
        <v>0.23082</v>
      </c>
      <c r="X104" t="n">
        <v>-0.069262</v>
      </c>
      <c r="Y104" t="n">
        <v>0.48581</v>
      </c>
      <c r="Z104" t="n">
        <v>0.73323</v>
      </c>
    </row>
    <row r="105">
      <c r="A105" t="inlineStr">
        <is>
          <t>fire</t>
        </is>
      </c>
      <c r="B105" t="n">
        <v>-0.32758</v>
      </c>
      <c r="C105" t="n">
        <v>0.14634</v>
      </c>
      <c r="D105" t="n">
        <v>0.49409</v>
      </c>
      <c r="E105" t="n">
        <v>0.34161</v>
      </c>
      <c r="F105" t="n">
        <v>-0.34152</v>
      </c>
      <c r="G105" t="n">
        <v>0.11638</v>
      </c>
      <c r="H105" t="n">
        <v>0.97545</v>
      </c>
      <c r="I105" t="n">
        <v>-0.11533</v>
      </c>
      <c r="J105" t="n">
        <v>0.62231</v>
      </c>
      <c r="K105" t="n">
        <v>0.09915499999999999</v>
      </c>
      <c r="L105" t="n">
        <v>0.71008</v>
      </c>
      <c r="M105" t="n">
        <v>0.29468</v>
      </c>
      <c r="N105" t="n">
        <v>-3.9224</v>
      </c>
      <c r="O105" t="n">
        <v>0.22058</v>
      </c>
      <c r="P105" t="n">
        <v>0.61609</v>
      </c>
      <c r="Q105" t="n">
        <v>-0.096445</v>
      </c>
      <c r="R105" t="n">
        <v>0.082702</v>
      </c>
      <c r="S105" t="n">
        <v>0.20262</v>
      </c>
      <c r="T105" t="n">
        <v>0.14968</v>
      </c>
      <c r="U105" t="n">
        <v>-0.30828</v>
      </c>
      <c r="V105" t="n">
        <v>-0.35875</v>
      </c>
      <c r="W105" t="n">
        <v>-0.29814</v>
      </c>
      <c r="X105" t="n">
        <v>1.0013</v>
      </c>
      <c r="Y105" t="n">
        <v>-0.74056</v>
      </c>
      <c r="Z105" t="n">
        <v>0.84518</v>
      </c>
    </row>
    <row r="106">
      <c r="A106" t="inlineStr">
        <is>
          <t>crying</t>
        </is>
      </c>
      <c r="B106" t="n">
        <v>-0.71141</v>
      </c>
      <c r="C106" t="n">
        <v>-0.031461</v>
      </c>
      <c r="D106" t="n">
        <v>1.4791</v>
      </c>
      <c r="E106" t="n">
        <v>0.28417</v>
      </c>
      <c r="F106" t="n">
        <v>-0.39213</v>
      </c>
      <c r="G106" t="n">
        <v>-0.42522</v>
      </c>
      <c r="H106" t="n">
        <v>2.1894</v>
      </c>
      <c r="I106" t="n">
        <v>-0.56323</v>
      </c>
      <c r="J106" t="n">
        <v>-1.3977</v>
      </c>
      <c r="K106" t="n">
        <v>0.63534</v>
      </c>
      <c r="L106" t="n">
        <v>-0.89835</v>
      </c>
      <c r="M106" t="n">
        <v>0.9655</v>
      </c>
      <c r="N106" t="n">
        <v>-3.4884</v>
      </c>
      <c r="O106" t="n">
        <v>-0.60573</v>
      </c>
      <c r="P106" t="n">
        <v>0.36111</v>
      </c>
      <c r="Q106" t="n">
        <v>0.6751200000000001</v>
      </c>
      <c r="R106" t="n">
        <v>-0.47096</v>
      </c>
      <c r="S106" t="n">
        <v>-0.036578</v>
      </c>
      <c r="T106" t="n">
        <v>-0.74852</v>
      </c>
      <c r="U106" t="n">
        <v>-1.1892</v>
      </c>
      <c r="V106" t="n">
        <v>0.4947</v>
      </c>
      <c r="W106" t="n">
        <v>0.81633</v>
      </c>
      <c r="X106" t="n">
        <v>0.6957</v>
      </c>
      <c r="Y106" t="n">
        <v>0.058964</v>
      </c>
      <c r="Z106" t="n">
        <v>-0.17137</v>
      </c>
    </row>
    <row r="107">
      <c r="A107" t="inlineStr">
        <is>
          <t>month</t>
        </is>
      </c>
      <c r="B107" t="n">
        <v>-0.33309</v>
      </c>
      <c r="C107" t="n">
        <v>1.3413</v>
      </c>
      <c r="D107" t="n">
        <v>0.28396</v>
      </c>
      <c r="E107" t="n">
        <v>-0.7477</v>
      </c>
      <c r="F107" t="n">
        <v>0.55314</v>
      </c>
      <c r="G107" t="n">
        <v>-0.57133</v>
      </c>
      <c r="H107" t="n">
        <v>1.2026</v>
      </c>
      <c r="I107" t="n">
        <v>-0.13058</v>
      </c>
      <c r="J107" t="n">
        <v>-0.12514</v>
      </c>
      <c r="K107" t="n">
        <v>0.27723</v>
      </c>
      <c r="L107" t="n">
        <v>0.0053992</v>
      </c>
      <c r="M107" t="n">
        <v>0.39273</v>
      </c>
      <c r="N107" t="n">
        <v>-3.6606</v>
      </c>
      <c r="O107" t="n">
        <v>1.5906</v>
      </c>
      <c r="P107" t="n">
        <v>-0.075937</v>
      </c>
      <c r="Q107" t="n">
        <v>-0.34245</v>
      </c>
      <c r="R107" t="n">
        <v>0.71415</v>
      </c>
      <c r="S107" t="n">
        <v>-0.66325</v>
      </c>
      <c r="T107" t="n">
        <v>-0.4484</v>
      </c>
      <c r="U107" t="n">
        <v>-0.39419</v>
      </c>
      <c r="V107" t="n">
        <v>-0.99257</v>
      </c>
      <c r="W107" t="n">
        <v>-0.076361</v>
      </c>
      <c r="X107" t="n">
        <v>-0.22238</v>
      </c>
      <c r="Y107" t="n">
        <v>0.96051</v>
      </c>
      <c r="Z107" t="n">
        <v>-0.12478</v>
      </c>
    </row>
    <row r="108">
      <c r="A108" t="inlineStr">
        <is>
          <t>sound</t>
        </is>
      </c>
      <c r="B108" t="n">
        <v>0.068259</v>
      </c>
      <c r="C108" t="n">
        <v>-0.34138</v>
      </c>
      <c r="D108" t="n">
        <v>0.5292</v>
      </c>
      <c r="E108" t="n">
        <v>0.046622</v>
      </c>
      <c r="F108" t="n">
        <v>0.52329</v>
      </c>
      <c r="G108" t="n">
        <v>0.91811</v>
      </c>
      <c r="H108" t="n">
        <v>1.7084</v>
      </c>
      <c r="I108" t="n">
        <v>0.050088</v>
      </c>
      <c r="J108" t="n">
        <v>0.62563</v>
      </c>
      <c r="K108" t="n">
        <v>-0.022857</v>
      </c>
      <c r="L108" t="n">
        <v>-0.54352</v>
      </c>
      <c r="M108" t="n">
        <v>0.98915</v>
      </c>
      <c r="N108" t="n">
        <v>-3.7053</v>
      </c>
      <c r="O108" t="n">
        <v>-0.6817299999999999</v>
      </c>
      <c r="P108" t="n">
        <v>0.24324</v>
      </c>
      <c r="Q108" t="n">
        <v>0.5263</v>
      </c>
      <c r="R108" t="n">
        <v>0.3938</v>
      </c>
      <c r="S108" t="n">
        <v>-0.035467</v>
      </c>
      <c r="T108" t="n">
        <v>0.14857</v>
      </c>
      <c r="U108" t="n">
        <v>0.00093236</v>
      </c>
      <c r="V108" t="n">
        <v>0.13215</v>
      </c>
      <c r="W108" t="n">
        <v>-0.097759</v>
      </c>
      <c r="X108" t="n">
        <v>0.16954</v>
      </c>
      <c r="Y108" t="n">
        <v>-0.18933</v>
      </c>
      <c r="Z108" t="n">
        <v>0.41131</v>
      </c>
    </row>
    <row r="109">
      <c r="A109" t="inlineStr">
        <is>
          <t>literally</t>
        </is>
      </c>
      <c r="B109" t="n">
        <v>-0.32707</v>
      </c>
      <c r="C109" t="n">
        <v>-0.081154</v>
      </c>
      <c r="D109" t="n">
        <v>1.1001</v>
      </c>
      <c r="E109" t="n">
        <v>-0.62844</v>
      </c>
      <c r="F109" t="n">
        <v>-0.42363</v>
      </c>
      <c r="G109" t="n">
        <v>0.045287</v>
      </c>
      <c r="H109" t="n">
        <v>2.1766</v>
      </c>
      <c r="I109" t="n">
        <v>-1.1968</v>
      </c>
      <c r="J109" t="n">
        <v>-1.1983</v>
      </c>
      <c r="K109" t="n">
        <v>0.45606</v>
      </c>
      <c r="L109" t="n">
        <v>0.22344</v>
      </c>
      <c r="M109" t="n">
        <v>0.4884</v>
      </c>
      <c r="N109" t="n">
        <v>-4.0508</v>
      </c>
      <c r="O109" t="n">
        <v>-0.48771</v>
      </c>
      <c r="P109" t="n">
        <v>0.39211</v>
      </c>
      <c r="Q109" t="n">
        <v>1.0889</v>
      </c>
      <c r="R109" t="n">
        <v>0.17266</v>
      </c>
      <c r="S109" t="n">
        <v>0.37751</v>
      </c>
      <c r="T109" t="n">
        <v>-0.16369</v>
      </c>
      <c r="U109" t="n">
        <v>-1.0868</v>
      </c>
      <c r="V109" t="n">
        <v>0.41764</v>
      </c>
      <c r="W109" t="n">
        <v>0.53695</v>
      </c>
      <c r="X109" t="n">
        <v>0.49898</v>
      </c>
      <c r="Y109" t="n">
        <v>0.26026</v>
      </c>
      <c r="Z109" t="n">
        <v>-0.23867</v>
      </c>
    </row>
    <row r="110">
      <c r="A110" t="inlineStr">
        <is>
          <t>whatever</t>
        </is>
      </c>
      <c r="B110" t="n">
        <v>0.10416</v>
      </c>
      <c r="C110" t="n">
        <v>0.37708</v>
      </c>
      <c r="D110" t="n">
        <v>-0.59571</v>
      </c>
      <c r="E110" t="n">
        <v>0.43044</v>
      </c>
      <c r="F110" t="n">
        <v>-0.45516</v>
      </c>
      <c r="G110" t="n">
        <v>-0.21648</v>
      </c>
      <c r="H110" t="n">
        <v>1.5967</v>
      </c>
      <c r="I110" t="n">
        <v>-0.40531</v>
      </c>
      <c r="J110" t="n">
        <v>-0.38382</v>
      </c>
      <c r="K110" t="n">
        <v>0.28217</v>
      </c>
      <c r="L110" t="n">
        <v>-0.77429</v>
      </c>
      <c r="M110" t="n">
        <v>0.38644</v>
      </c>
      <c r="N110" t="n">
        <v>-4.2098</v>
      </c>
      <c r="O110" t="n">
        <v>-0.4624</v>
      </c>
      <c r="P110" t="n">
        <v>0.70796</v>
      </c>
      <c r="Q110" t="n">
        <v>0.52114</v>
      </c>
      <c r="R110" t="n">
        <v>0.24497</v>
      </c>
      <c r="S110" t="n">
        <v>-0.65784</v>
      </c>
      <c r="T110" t="n">
        <v>0.38764</v>
      </c>
      <c r="U110" t="n">
        <v>-0.055783</v>
      </c>
      <c r="V110" t="n">
        <v>0.7152500000000001</v>
      </c>
      <c r="W110" t="n">
        <v>0.48897</v>
      </c>
      <c r="X110" t="n">
        <v>-0.07207</v>
      </c>
      <c r="Y110" t="n">
        <v>0.9235</v>
      </c>
      <c r="Z110" t="n">
        <v>-0.45282</v>
      </c>
    </row>
    <row r="111">
      <c r="A111" t="inlineStr">
        <is>
          <t>light</t>
        </is>
      </c>
      <c r="B111" t="n">
        <v>-0.88979</v>
      </c>
      <c r="C111" t="n">
        <v>-0.74363</v>
      </c>
      <c r="D111" t="n">
        <v>0.1855</v>
      </c>
      <c r="E111" t="n">
        <v>0.4798</v>
      </c>
      <c r="F111" t="n">
        <v>0.021047</v>
      </c>
      <c r="G111" t="n">
        <v>1.113</v>
      </c>
      <c r="H111" t="n">
        <v>0.8961</v>
      </c>
      <c r="I111" t="n">
        <v>-0.24408</v>
      </c>
      <c r="J111" t="n">
        <v>0.77952</v>
      </c>
      <c r="K111" t="n">
        <v>0.22079</v>
      </c>
      <c r="L111" t="n">
        <v>0.11942</v>
      </c>
      <c r="M111" t="n">
        <v>-0.046751</v>
      </c>
      <c r="N111" t="n">
        <v>-4.2026</v>
      </c>
      <c r="O111" t="n">
        <v>0.32559</v>
      </c>
      <c r="P111" t="n">
        <v>-0.23803</v>
      </c>
      <c r="Q111" t="n">
        <v>0.17227</v>
      </c>
      <c r="R111" t="n">
        <v>0.23866</v>
      </c>
      <c r="S111" t="n">
        <v>0.33187</v>
      </c>
      <c r="T111" t="n">
        <v>0.7146</v>
      </c>
      <c r="U111" t="n">
        <v>0.521</v>
      </c>
      <c r="V111" t="n">
        <v>-0.6886100000000001</v>
      </c>
      <c r="W111" t="n">
        <v>-0.26925</v>
      </c>
      <c r="X111" t="n">
        <v>0.99232</v>
      </c>
      <c r="Y111" t="n">
        <v>0.37772</v>
      </c>
      <c r="Z111" t="n">
        <v>-0.069561</v>
      </c>
    </row>
    <row r="112">
      <c r="A112" t="inlineStr">
        <is>
          <t>info</t>
        </is>
      </c>
      <c r="B112" t="n">
        <v>0.5271</v>
      </c>
      <c r="C112" t="n">
        <v>1.329</v>
      </c>
      <c r="D112" t="n">
        <v>-0.37225</v>
      </c>
      <c r="E112" t="n">
        <v>-0.8239</v>
      </c>
      <c r="F112" t="n">
        <v>0.68935</v>
      </c>
      <c r="G112" t="n">
        <v>-0.2847</v>
      </c>
      <c r="H112" t="n">
        <v>-0.081304</v>
      </c>
      <c r="I112" t="n">
        <v>1.5315</v>
      </c>
      <c r="J112" t="n">
        <v>0.48288</v>
      </c>
      <c r="K112" t="n">
        <v>0.27428</v>
      </c>
      <c r="L112" t="n">
        <v>0.74616</v>
      </c>
      <c r="M112" t="n">
        <v>-0.02645</v>
      </c>
      <c r="N112" t="n">
        <v>-2.7957</v>
      </c>
      <c r="O112" t="n">
        <v>0.2658</v>
      </c>
      <c r="P112" t="n">
        <v>0.11024</v>
      </c>
      <c r="Q112" t="n">
        <v>0.010884</v>
      </c>
      <c r="R112" t="n">
        <v>0.14398</v>
      </c>
      <c r="S112" t="n">
        <v>-0.37522</v>
      </c>
      <c r="T112" t="n">
        <v>-0.74435</v>
      </c>
      <c r="U112" t="n">
        <v>0.14349</v>
      </c>
      <c r="V112" t="n">
        <v>-1.1941</v>
      </c>
      <c r="W112" t="n">
        <v>-2.2784</v>
      </c>
      <c r="X112" t="n">
        <v>-1.3302</v>
      </c>
      <c r="Y112" t="n">
        <v>-0.0020095</v>
      </c>
      <c r="Z112" t="n">
        <v>-0.46547</v>
      </c>
    </row>
    <row r="113">
      <c r="A113" t="inlineStr">
        <is>
          <t>serious</t>
        </is>
      </c>
      <c r="B113" t="n">
        <v>0.39127</v>
      </c>
      <c r="C113" t="n">
        <v>0.67818</v>
      </c>
      <c r="D113" t="n">
        <v>-0.35924</v>
      </c>
      <c r="E113" t="n">
        <v>-0.19231</v>
      </c>
      <c r="F113" t="n">
        <v>0.6029</v>
      </c>
      <c r="G113" t="n">
        <v>1.1135</v>
      </c>
      <c r="H113" t="n">
        <v>1.4048</v>
      </c>
      <c r="I113" t="n">
        <v>-0.0033025</v>
      </c>
      <c r="J113" t="n">
        <v>0.16638</v>
      </c>
      <c r="K113" t="n">
        <v>0.5237000000000001</v>
      </c>
      <c r="L113" t="n">
        <v>-0.87116</v>
      </c>
      <c r="M113" t="n">
        <v>0.90984</v>
      </c>
      <c r="N113" t="n">
        <v>-3.4945</v>
      </c>
      <c r="O113" t="n">
        <v>-0.20573</v>
      </c>
      <c r="P113" t="n">
        <v>0.9821</v>
      </c>
      <c r="Q113" t="n">
        <v>0.63832</v>
      </c>
      <c r="R113" t="n">
        <v>0.57208</v>
      </c>
      <c r="S113" t="n">
        <v>-0.6294</v>
      </c>
      <c r="T113" t="n">
        <v>-0.42466</v>
      </c>
      <c r="U113" t="n">
        <v>-0.76455</v>
      </c>
      <c r="V113" t="n">
        <v>0.68349</v>
      </c>
      <c r="W113" t="n">
        <v>0.5344</v>
      </c>
      <c r="X113" t="n">
        <v>-0.16008</v>
      </c>
      <c r="Y113" t="n">
        <v>0.078071</v>
      </c>
      <c r="Z113" t="n">
        <v>-0.82467</v>
      </c>
    </row>
    <row r="114">
      <c r="A114" t="inlineStr">
        <is>
          <t>tout</t>
        </is>
      </c>
      <c r="B114" t="n">
        <v>0.77159</v>
      </c>
      <c r="C114" t="n">
        <v>-1.0981</v>
      </c>
      <c r="D114" t="n">
        <v>-2.2233</v>
      </c>
      <c r="E114" t="n">
        <v>1.328</v>
      </c>
      <c r="F114" t="n">
        <v>-0.6298</v>
      </c>
      <c r="G114" t="n">
        <v>0.3884</v>
      </c>
      <c r="H114" t="n">
        <v>-0.43416</v>
      </c>
      <c r="I114" t="n">
        <v>-0.081471</v>
      </c>
      <c r="J114" t="n">
        <v>0.18496</v>
      </c>
      <c r="K114" t="n">
        <v>-0.37828</v>
      </c>
      <c r="L114" t="n">
        <v>-0.19323</v>
      </c>
      <c r="M114" t="n">
        <v>-0.89706</v>
      </c>
      <c r="N114" t="n">
        <v>-2.0165</v>
      </c>
      <c r="O114" t="n">
        <v>0.39805</v>
      </c>
      <c r="P114" t="n">
        <v>0.7123</v>
      </c>
      <c r="Q114" t="n">
        <v>2.075</v>
      </c>
      <c r="R114" t="n">
        <v>-0.60737</v>
      </c>
      <c r="S114" t="n">
        <v>-0.5792</v>
      </c>
      <c r="T114" t="n">
        <v>-3.943</v>
      </c>
      <c r="U114" t="n">
        <v>1.5852</v>
      </c>
      <c r="V114" t="n">
        <v>0.2974</v>
      </c>
      <c r="W114" t="n">
        <v>-0.72704</v>
      </c>
      <c r="X114" t="n">
        <v>0.45263</v>
      </c>
      <c r="Y114" t="n">
        <v>-0.35568</v>
      </c>
      <c r="Z114" t="n">
        <v>-0.17361</v>
      </c>
    </row>
    <row r="115">
      <c r="A115" t="inlineStr">
        <is>
          <t>straight</t>
        </is>
      </c>
      <c r="B115" t="n">
        <v>-0.22002</v>
      </c>
      <c r="C115" t="n">
        <v>0.73513</v>
      </c>
      <c r="D115" t="n">
        <v>0.60993</v>
      </c>
      <c r="E115" t="n">
        <v>-0.51851</v>
      </c>
      <c r="F115" t="n">
        <v>0.33124</v>
      </c>
      <c r="G115" t="n">
        <v>1.0915</v>
      </c>
      <c r="H115" t="n">
        <v>0.7029</v>
      </c>
      <c r="I115" t="n">
        <v>-0.43426</v>
      </c>
      <c r="J115" t="n">
        <v>-0.10485</v>
      </c>
      <c r="K115" t="n">
        <v>0.58072</v>
      </c>
      <c r="L115" t="n">
        <v>-0.45032</v>
      </c>
      <c r="M115" t="n">
        <v>0.80309</v>
      </c>
      <c r="N115" t="n">
        <v>-4.0881</v>
      </c>
      <c r="O115" t="n">
        <v>-0.08470999999999999</v>
      </c>
      <c r="P115" t="n">
        <v>0.2072</v>
      </c>
      <c r="Q115" t="n">
        <v>0.18187</v>
      </c>
      <c r="R115" t="n">
        <v>0.40694</v>
      </c>
      <c r="S115" t="n">
        <v>-0.78695</v>
      </c>
      <c r="T115" t="n">
        <v>-0.092152</v>
      </c>
      <c r="U115" t="n">
        <v>-0.33699</v>
      </c>
      <c r="V115" t="n">
        <v>-0.031894</v>
      </c>
      <c r="W115" t="n">
        <v>0.93914</v>
      </c>
      <c r="X115" t="n">
        <v>0.9194099999999999</v>
      </c>
      <c r="Y115" t="n">
        <v>-0.39277</v>
      </c>
      <c r="Z115" t="n">
        <v>-0.23438</v>
      </c>
    </row>
    <row r="116">
      <c r="A116" t="inlineStr">
        <is>
          <t>eating</t>
        </is>
      </c>
      <c r="B116" t="n">
        <v>-0.93049</v>
      </c>
      <c r="C116" t="n">
        <v>0.5541</v>
      </c>
      <c r="D116" t="n">
        <v>0.9343</v>
      </c>
      <c r="E116" t="n">
        <v>1.0354</v>
      </c>
      <c r="F116" t="n">
        <v>0.05838</v>
      </c>
      <c r="G116" t="n">
        <v>1.1454</v>
      </c>
      <c r="H116" t="n">
        <v>1.55</v>
      </c>
      <c r="I116" t="n">
        <v>-2.108</v>
      </c>
      <c r="J116" t="n">
        <v>-0.54344</v>
      </c>
      <c r="K116" t="n">
        <v>0.81618</v>
      </c>
      <c r="L116" t="n">
        <v>0.27495</v>
      </c>
      <c r="M116" t="n">
        <v>-0.36006</v>
      </c>
      <c r="N116" t="n">
        <v>-3.6991</v>
      </c>
      <c r="O116" t="n">
        <v>-1.3369</v>
      </c>
      <c r="P116" t="n">
        <v>0.52501</v>
      </c>
      <c r="Q116" t="n">
        <v>-0.24255</v>
      </c>
      <c r="R116" t="n">
        <v>0.6562</v>
      </c>
      <c r="S116" t="n">
        <v>-0.76124</v>
      </c>
      <c r="T116" t="n">
        <v>-0.089258</v>
      </c>
      <c r="U116" t="n">
        <v>-0.65529</v>
      </c>
      <c r="V116" t="n">
        <v>-0.23448</v>
      </c>
      <c r="W116" t="n">
        <v>0.5255300000000001</v>
      </c>
      <c r="X116" t="n">
        <v>-0.55127</v>
      </c>
      <c r="Y116" t="n">
        <v>0.30052</v>
      </c>
      <c r="Z116" t="n">
        <v>0.93027</v>
      </c>
    </row>
    <row r="117">
      <c r="A117" t="inlineStr">
        <is>
          <t>mother</t>
        </is>
      </c>
      <c r="B117" t="n">
        <v>-1.1538</v>
      </c>
      <c r="C117" t="n">
        <v>0.35302</v>
      </c>
      <c r="D117" t="n">
        <v>0.42336</v>
      </c>
      <c r="E117" t="n">
        <v>0.6585</v>
      </c>
      <c r="F117" t="n">
        <v>0.41522</v>
      </c>
      <c r="G117" t="n">
        <v>-0.59161</v>
      </c>
      <c r="H117" t="n">
        <v>1.6598</v>
      </c>
      <c r="I117" t="n">
        <v>0.032121</v>
      </c>
      <c r="J117" t="n">
        <v>-0.42962</v>
      </c>
      <c r="K117" t="n">
        <v>0.18534</v>
      </c>
      <c r="L117" t="n">
        <v>-0.30366</v>
      </c>
      <c r="M117" t="n">
        <v>0.21844</v>
      </c>
      <c r="N117" t="n">
        <v>-3.8577</v>
      </c>
      <c r="O117" t="n">
        <v>0.24523</v>
      </c>
      <c r="P117" t="n">
        <v>-0.32361</v>
      </c>
      <c r="Q117" t="n">
        <v>-0.31029</v>
      </c>
      <c r="R117" t="n">
        <v>0.70883</v>
      </c>
      <c r="S117" t="n">
        <v>-0.083037</v>
      </c>
      <c r="T117" t="n">
        <v>-0.051809</v>
      </c>
      <c r="U117" t="n">
        <v>-0.053355</v>
      </c>
      <c r="V117" t="n">
        <v>0.99868</v>
      </c>
      <c r="W117" t="n">
        <v>0.8136100000000001</v>
      </c>
      <c r="X117" t="n">
        <v>-0.39237</v>
      </c>
      <c r="Y117" t="n">
        <v>-0.33642</v>
      </c>
      <c r="Z117" t="n">
        <v>-0.021506</v>
      </c>
    </row>
    <row r="118">
      <c r="A118" t="inlineStr">
        <is>
          <t>account</t>
        </is>
      </c>
      <c r="B118" t="n">
        <v>0.8481</v>
      </c>
      <c r="C118" t="n">
        <v>0.55402</v>
      </c>
      <c r="D118" t="n">
        <v>-0.017825</v>
      </c>
      <c r="E118" t="n">
        <v>-0.80085</v>
      </c>
      <c r="F118" t="n">
        <v>1.212</v>
      </c>
      <c r="G118" t="n">
        <v>-1.6228</v>
      </c>
      <c r="H118" t="n">
        <v>0.41016</v>
      </c>
      <c r="I118" t="n">
        <v>0.17205</v>
      </c>
      <c r="J118" t="n">
        <v>-0.6894</v>
      </c>
      <c r="K118" t="n">
        <v>0.71763</v>
      </c>
      <c r="L118" t="n">
        <v>0.1957</v>
      </c>
      <c r="M118" t="n">
        <v>0.47621</v>
      </c>
      <c r="N118" t="n">
        <v>-3.6408</v>
      </c>
      <c r="O118" t="n">
        <v>-0.7999000000000001</v>
      </c>
      <c r="P118" t="n">
        <v>0.089744</v>
      </c>
      <c r="Q118" t="n">
        <v>0.86771</v>
      </c>
      <c r="R118" t="n">
        <v>0.58954</v>
      </c>
      <c r="S118" t="n">
        <v>-0.17732</v>
      </c>
      <c r="T118" t="n">
        <v>-0.7581</v>
      </c>
      <c r="U118" t="n">
        <v>-0.54481</v>
      </c>
      <c r="V118" t="n">
        <v>-0.23411</v>
      </c>
      <c r="W118" t="n">
        <v>-1.0188</v>
      </c>
      <c r="X118" t="n">
        <v>-0.59961</v>
      </c>
      <c r="Y118" t="n">
        <v>0.33831</v>
      </c>
      <c r="Z118" t="n">
        <v>-1.571</v>
      </c>
    </row>
    <row r="119">
      <c r="A119" t="inlineStr">
        <is>
          <t>rather</t>
        </is>
      </c>
      <c r="B119" t="n">
        <v>-0.20807</v>
      </c>
      <c r="C119" t="n">
        <v>0.25656</v>
      </c>
      <c r="D119" t="n">
        <v>-0.70599</v>
      </c>
      <c r="E119" t="n">
        <v>0.023463</v>
      </c>
      <c r="F119" t="n">
        <v>-0.43903</v>
      </c>
      <c r="G119" t="n">
        <v>0.98385</v>
      </c>
      <c r="H119" t="n">
        <v>1.2676</v>
      </c>
      <c r="I119" t="n">
        <v>-1.3207</v>
      </c>
      <c r="J119" t="n">
        <v>-0.21223</v>
      </c>
      <c r="K119" t="n">
        <v>-0.39137</v>
      </c>
      <c r="L119" t="n">
        <v>-0.48635</v>
      </c>
      <c r="M119" t="n">
        <v>0.58485</v>
      </c>
      <c r="N119" t="n">
        <v>-4.4237</v>
      </c>
      <c r="O119" t="n">
        <v>-0.10583</v>
      </c>
      <c r="P119" t="n">
        <v>-0.22426</v>
      </c>
      <c r="Q119" t="n">
        <v>0.41168</v>
      </c>
      <c r="R119" t="n">
        <v>0.51778</v>
      </c>
      <c r="S119" t="n">
        <v>-0.45267</v>
      </c>
      <c r="T119" t="n">
        <v>0.45065</v>
      </c>
      <c r="U119" t="n">
        <v>-1.3642</v>
      </c>
      <c r="V119" t="n">
        <v>0.22667</v>
      </c>
      <c r="W119" t="n">
        <v>0.44571</v>
      </c>
      <c r="X119" t="n">
        <v>-0.17395</v>
      </c>
      <c r="Y119" t="n">
        <v>-0.03013</v>
      </c>
      <c r="Z119" t="n">
        <v>-0.5501200000000001</v>
      </c>
    </row>
    <row r="120">
      <c r="A120" t="inlineStr">
        <is>
          <t>type</t>
        </is>
      </c>
      <c r="B120" t="n">
        <v>0.44911</v>
      </c>
      <c r="C120" t="n">
        <v>-0.19895</v>
      </c>
      <c r="D120" t="n">
        <v>-0.47703</v>
      </c>
      <c r="E120" t="n">
        <v>0.21622</v>
      </c>
      <c r="F120" t="n">
        <v>0.83392</v>
      </c>
      <c r="G120" t="n">
        <v>0.71772</v>
      </c>
      <c r="H120" t="n">
        <v>1.0674</v>
      </c>
      <c r="I120" t="n">
        <v>-0.23235</v>
      </c>
      <c r="J120" t="n">
        <v>0.7977</v>
      </c>
      <c r="K120" t="n">
        <v>0.16973</v>
      </c>
      <c r="L120" t="n">
        <v>-0.42782</v>
      </c>
      <c r="M120" t="n">
        <v>0.6522</v>
      </c>
      <c r="N120" t="n">
        <v>-3.873</v>
      </c>
      <c r="O120" t="n">
        <v>-0.33917</v>
      </c>
      <c r="P120" t="n">
        <v>-0.17546</v>
      </c>
      <c r="Q120" t="n">
        <v>1.2659</v>
      </c>
      <c r="R120" t="n">
        <v>0.68699</v>
      </c>
      <c r="S120" t="n">
        <v>-0.3905</v>
      </c>
      <c r="T120" t="n">
        <v>-0.2384</v>
      </c>
      <c r="U120" t="n">
        <v>0.49339</v>
      </c>
      <c r="V120" t="n">
        <v>0.43594</v>
      </c>
      <c r="W120" t="n">
        <v>0.2894</v>
      </c>
      <c r="X120" t="n">
        <v>0.11263</v>
      </c>
      <c r="Y120" t="n">
        <v>0.08945599999999999</v>
      </c>
      <c r="Z120" t="n">
        <v>-0.50848</v>
      </c>
    </row>
    <row r="121">
      <c r="A121" t="inlineStr">
        <is>
          <t>alright</t>
        </is>
      </c>
      <c r="B121" t="n">
        <v>-0.46399</v>
      </c>
      <c r="C121" t="n">
        <v>0.55015</v>
      </c>
      <c r="D121" t="n">
        <v>0.23156</v>
      </c>
      <c r="E121" t="n">
        <v>-0.17287</v>
      </c>
      <c r="F121" t="n">
        <v>-0.86612</v>
      </c>
      <c r="G121" t="n">
        <v>0.16671</v>
      </c>
      <c r="H121" t="n">
        <v>1.779</v>
      </c>
      <c r="I121" t="n">
        <v>-0.11196</v>
      </c>
      <c r="J121" t="n">
        <v>-1.0391</v>
      </c>
      <c r="K121" t="n">
        <v>-0.12751</v>
      </c>
      <c r="L121" t="n">
        <v>-1.125</v>
      </c>
      <c r="M121" t="n">
        <v>0.60721</v>
      </c>
      <c r="N121" t="n">
        <v>-3.2782</v>
      </c>
      <c r="O121" t="n">
        <v>-0.55799</v>
      </c>
      <c r="P121" t="n">
        <v>0.86114</v>
      </c>
      <c r="Q121" t="n">
        <v>-0.019914</v>
      </c>
      <c r="R121" t="n">
        <v>0.58751</v>
      </c>
      <c r="S121" t="n">
        <v>-0.6842</v>
      </c>
      <c r="T121" t="n">
        <v>-0.55996</v>
      </c>
      <c r="U121" t="n">
        <v>-0.32915</v>
      </c>
      <c r="V121" t="n">
        <v>0.96819</v>
      </c>
      <c r="W121" t="n">
        <v>0.43231</v>
      </c>
      <c r="X121" t="n">
        <v>0.38438</v>
      </c>
      <c r="Y121" t="n">
        <v>1.0354</v>
      </c>
      <c r="Z121" t="n">
        <v>0.011732</v>
      </c>
    </row>
    <row r="122">
      <c r="A122" t="inlineStr">
        <is>
          <t>three</t>
        </is>
      </c>
      <c r="B122" t="n">
        <v>0.74651</v>
      </c>
      <c r="C122" t="n">
        <v>0.55743</v>
      </c>
      <c r="D122" t="n">
        <v>1.1199</v>
      </c>
      <c r="E122" t="n">
        <v>-0.071282</v>
      </c>
      <c r="F122" t="n">
        <v>0.020448</v>
      </c>
      <c r="G122" t="n">
        <v>0.2907</v>
      </c>
      <c r="H122" t="n">
        <v>1.2856</v>
      </c>
      <c r="I122" t="n">
        <v>-0.93757</v>
      </c>
      <c r="J122" t="n">
        <v>-0.65912</v>
      </c>
      <c r="K122" t="n">
        <v>0.20197</v>
      </c>
      <c r="L122" t="n">
        <v>0.85972</v>
      </c>
      <c r="M122" t="n">
        <v>0.21294</v>
      </c>
      <c r="N122" t="n">
        <v>-4.0401</v>
      </c>
      <c r="O122" t="n">
        <v>1.1427</v>
      </c>
      <c r="P122" t="n">
        <v>-0.06918100000000001</v>
      </c>
      <c r="Q122" t="n">
        <v>-0.7573299999999999</v>
      </c>
      <c r="R122" t="n">
        <v>0.38232</v>
      </c>
      <c r="S122" t="n">
        <v>-0.32294</v>
      </c>
      <c r="T122" t="n">
        <v>0.093781</v>
      </c>
      <c r="U122" t="n">
        <v>0.06514399999999999</v>
      </c>
      <c r="V122" t="n">
        <v>-0.92275</v>
      </c>
      <c r="W122" t="n">
        <v>0.20484</v>
      </c>
      <c r="X122" t="n">
        <v>0.14662</v>
      </c>
      <c r="Y122" t="n">
        <v>-0.65888</v>
      </c>
      <c r="Z122" t="n">
        <v>-0.63617</v>
      </c>
    </row>
    <row r="123">
      <c r="A123" t="inlineStr">
        <is>
          <t>teamfollowback</t>
        </is>
      </c>
      <c r="B123" t="n">
        <v>0.12305</v>
      </c>
      <c r="C123" t="n">
        <v>0.85856</v>
      </c>
      <c r="D123" t="n">
        <v>-1.8803</v>
      </c>
      <c r="E123" t="n">
        <v>-1.2969</v>
      </c>
      <c r="F123" t="n">
        <v>-0.43101</v>
      </c>
      <c r="G123" t="n">
        <v>-0.46806</v>
      </c>
      <c r="H123" t="n">
        <v>0.39267</v>
      </c>
      <c r="I123" t="n">
        <v>0.53107</v>
      </c>
      <c r="J123" t="n">
        <v>-1.0968</v>
      </c>
      <c r="K123" t="n">
        <v>0.74218</v>
      </c>
      <c r="L123" t="n">
        <v>0.0021372</v>
      </c>
      <c r="M123" t="n">
        <v>0.59889</v>
      </c>
      <c r="N123" t="n">
        <v>-1.6328</v>
      </c>
      <c r="O123" t="n">
        <v>-0.9114100000000001</v>
      </c>
      <c r="P123" t="n">
        <v>-1.2509</v>
      </c>
      <c r="Q123" t="n">
        <v>-0.41836</v>
      </c>
      <c r="R123" t="n">
        <v>-1.1104</v>
      </c>
      <c r="S123" t="n">
        <v>-1.4719</v>
      </c>
      <c r="T123" t="n">
        <v>-0.068373</v>
      </c>
      <c r="U123" t="n">
        <v>-0.26162</v>
      </c>
      <c r="V123" t="n">
        <v>-0.14365</v>
      </c>
      <c r="W123" t="n">
        <v>-2.1112</v>
      </c>
      <c r="X123" t="n">
        <v>0.16346</v>
      </c>
      <c r="Y123" t="n">
        <v>-0.6007400000000001</v>
      </c>
      <c r="Z123" t="n">
        <v>-0.17403</v>
      </c>
    </row>
    <row r="124">
      <c r="A124" t="inlineStr">
        <is>
          <t>shoutout</t>
        </is>
      </c>
      <c r="B124" t="n">
        <v>-0.23483</v>
      </c>
      <c r="C124" t="n">
        <v>1.252</v>
      </c>
      <c r="D124" t="n">
        <v>-0.54826</v>
      </c>
      <c r="E124" t="n">
        <v>-0.30827</v>
      </c>
      <c r="F124" t="n">
        <v>0.70465</v>
      </c>
      <c r="G124" t="n">
        <v>-1.222</v>
      </c>
      <c r="H124" t="n">
        <v>0.7835800000000001</v>
      </c>
      <c r="I124" t="n">
        <v>0.22866</v>
      </c>
      <c r="J124" t="n">
        <v>-1.6106</v>
      </c>
      <c r="K124" t="n">
        <v>0.2067</v>
      </c>
      <c r="L124" t="n">
        <v>-0.92474</v>
      </c>
      <c r="M124" t="n">
        <v>-0.42725</v>
      </c>
      <c r="N124" t="n">
        <v>-2.3129</v>
      </c>
      <c r="O124" t="n">
        <v>0.056867</v>
      </c>
      <c r="P124" t="n">
        <v>-1.5736</v>
      </c>
      <c r="Q124" t="n">
        <v>-0.042697</v>
      </c>
      <c r="R124" t="n">
        <v>0.06905600000000001</v>
      </c>
      <c r="S124" t="n">
        <v>-1.3972</v>
      </c>
      <c r="T124" t="n">
        <v>-1.3157</v>
      </c>
      <c r="U124" t="n">
        <v>0.46885</v>
      </c>
      <c r="V124" t="n">
        <v>0.052067</v>
      </c>
      <c r="W124" t="n">
        <v>-1.1927</v>
      </c>
      <c r="X124" t="n">
        <v>0.07811700000000001</v>
      </c>
      <c r="Y124" t="n">
        <v>0.34205</v>
      </c>
      <c r="Z124" t="n">
        <v>-0.60137</v>
      </c>
    </row>
    <row r="125">
      <c r="A125" t="inlineStr">
        <is>
          <t>honestly</t>
        </is>
      </c>
      <c r="B125" t="n">
        <v>0.16889</v>
      </c>
      <c r="C125" t="n">
        <v>0.40847</v>
      </c>
      <c r="D125" t="n">
        <v>0.099375</v>
      </c>
      <c r="E125" t="n">
        <v>-0.67249</v>
      </c>
      <c r="F125" t="n">
        <v>-0.58474</v>
      </c>
      <c r="G125" t="n">
        <v>0.16742</v>
      </c>
      <c r="H125" t="n">
        <v>2.0928</v>
      </c>
      <c r="I125" t="n">
        <v>-0.84687</v>
      </c>
      <c r="J125" t="n">
        <v>-1.3703</v>
      </c>
      <c r="K125" t="n">
        <v>-0.1347</v>
      </c>
      <c r="L125" t="n">
        <v>-0.8831599999999999</v>
      </c>
      <c r="M125" t="n">
        <v>0.48392</v>
      </c>
      <c r="N125" t="n">
        <v>-4.1642</v>
      </c>
      <c r="O125" t="n">
        <v>-0.43868</v>
      </c>
      <c r="P125" t="n">
        <v>0.46523</v>
      </c>
      <c r="Q125" t="n">
        <v>0.8132</v>
      </c>
      <c r="R125" t="n">
        <v>0.14691</v>
      </c>
      <c r="S125" t="n">
        <v>-0.42211</v>
      </c>
      <c r="T125" t="n">
        <v>0.43554</v>
      </c>
      <c r="U125" t="n">
        <v>-0.45779</v>
      </c>
      <c r="V125" t="n">
        <v>1.0583</v>
      </c>
      <c r="W125" t="n">
        <v>0.68767</v>
      </c>
      <c r="X125" t="n">
        <v>-0.19068</v>
      </c>
      <c r="Y125" t="n">
        <v>0.35595</v>
      </c>
      <c r="Z125" t="n">
        <v>-0.53704</v>
      </c>
    </row>
    <row r="126">
      <c r="A126" t="inlineStr">
        <is>
          <t>instead</t>
        </is>
      </c>
      <c r="B126" t="n">
        <v>-0.26109</v>
      </c>
      <c r="C126" t="n">
        <v>0.43097</v>
      </c>
      <c r="D126" t="n">
        <v>0.49827</v>
      </c>
      <c r="E126" t="n">
        <v>0.19229</v>
      </c>
      <c r="F126" t="n">
        <v>-0.17634</v>
      </c>
      <c r="G126" t="n">
        <v>-0.034483</v>
      </c>
      <c r="H126" t="n">
        <v>1.2107</v>
      </c>
      <c r="I126" t="n">
        <v>-1.3609</v>
      </c>
      <c r="J126" t="n">
        <v>-0.39437</v>
      </c>
      <c r="K126" t="n">
        <v>0.64946</v>
      </c>
      <c r="L126" t="n">
        <v>0.0056518</v>
      </c>
      <c r="M126" t="n">
        <v>-0.034618</v>
      </c>
      <c r="N126" t="n">
        <v>-4.3467</v>
      </c>
      <c r="O126" t="n">
        <v>-0.50365</v>
      </c>
      <c r="P126" t="n">
        <v>0.52859</v>
      </c>
      <c r="Q126" t="n">
        <v>0.42823</v>
      </c>
      <c r="R126" t="n">
        <v>-0.27398</v>
      </c>
      <c r="S126" t="n">
        <v>-0.60894</v>
      </c>
      <c r="T126" t="n">
        <v>0.028866</v>
      </c>
      <c r="U126" t="n">
        <v>-0.77741</v>
      </c>
      <c r="V126" t="n">
        <v>-0.42861</v>
      </c>
      <c r="W126" t="n">
        <v>0.16116</v>
      </c>
      <c r="X126" t="n">
        <v>-0.27532</v>
      </c>
      <c r="Y126" t="n">
        <v>0.15168</v>
      </c>
      <c r="Z126" t="n">
        <v>-0.24497</v>
      </c>
    </row>
    <row r="127">
      <c r="A127" t="inlineStr">
        <is>
          <t>official</t>
        </is>
      </c>
      <c r="B127" t="n">
        <v>-0.17569</v>
      </c>
      <c r="C127" t="n">
        <v>0.61605</v>
      </c>
      <c r="D127" t="n">
        <v>0.22807</v>
      </c>
      <c r="E127" t="n">
        <v>-0.47727</v>
      </c>
      <c r="F127" t="n">
        <v>0.58091</v>
      </c>
      <c r="G127" t="n">
        <v>-1.0469</v>
      </c>
      <c r="H127" t="n">
        <v>1.1906</v>
      </c>
      <c r="I127" t="n">
        <v>1.2583</v>
      </c>
      <c r="J127" t="n">
        <v>0.4057</v>
      </c>
      <c r="K127" t="n">
        <v>-0.75362</v>
      </c>
      <c r="L127" t="n">
        <v>0.52161</v>
      </c>
      <c r="M127" t="n">
        <v>0.879</v>
      </c>
      <c r="N127" t="n">
        <v>-3.1809</v>
      </c>
      <c r="O127" t="n">
        <v>-0.16901</v>
      </c>
      <c r="P127" t="n">
        <v>0.026443</v>
      </c>
      <c r="Q127" t="n">
        <v>-0.093768</v>
      </c>
      <c r="R127" t="n">
        <v>0.055551</v>
      </c>
      <c r="S127" t="n">
        <v>0.2719</v>
      </c>
      <c r="T127" t="n">
        <v>-0.10414</v>
      </c>
      <c r="U127" t="n">
        <v>0.31932</v>
      </c>
      <c r="V127" t="n">
        <v>-0.8368100000000001</v>
      </c>
      <c r="W127" t="n">
        <v>-0.60492</v>
      </c>
      <c r="X127" t="n">
        <v>0.17548</v>
      </c>
      <c r="Y127" t="n">
        <v>-1.0507</v>
      </c>
      <c r="Z127" t="n">
        <v>-0.076183</v>
      </c>
    </row>
    <row r="128">
      <c r="A128" t="inlineStr">
        <is>
          <t>exactly</t>
        </is>
      </c>
      <c r="B128" t="n">
        <v>0.51486</v>
      </c>
      <c r="C128" t="n">
        <v>0.14911</v>
      </c>
      <c r="D128" t="n">
        <v>-0.021166</v>
      </c>
      <c r="E128" t="n">
        <v>-0.15062</v>
      </c>
      <c r="F128" t="n">
        <v>-0.44309</v>
      </c>
      <c r="G128" t="n">
        <v>0.10494</v>
      </c>
      <c r="H128" t="n">
        <v>1.4501</v>
      </c>
      <c r="I128" t="n">
        <v>-0.86128</v>
      </c>
      <c r="J128" t="n">
        <v>-1.1499</v>
      </c>
      <c r="K128" t="n">
        <v>0.031077</v>
      </c>
      <c r="L128" t="n">
        <v>-0.6938299999999999</v>
      </c>
      <c r="M128" t="n">
        <v>0.9454900000000001</v>
      </c>
      <c r="N128" t="n">
        <v>-4.093</v>
      </c>
      <c r="O128" t="n">
        <v>0.034173</v>
      </c>
      <c r="P128" t="n">
        <v>0.55014</v>
      </c>
      <c r="Q128" t="n">
        <v>0.058078</v>
      </c>
      <c r="R128" t="n">
        <v>0.51494</v>
      </c>
      <c r="S128" t="n">
        <v>0.056513</v>
      </c>
      <c r="T128" t="n">
        <v>0.086744</v>
      </c>
      <c r="U128" t="n">
        <v>-0.33226</v>
      </c>
      <c r="V128" t="n">
        <v>0.81453</v>
      </c>
      <c r="W128" t="n">
        <v>0.20829</v>
      </c>
      <c r="X128" t="n">
        <v>-0.28729</v>
      </c>
      <c r="Y128" t="n">
        <v>0.58806</v>
      </c>
      <c r="Z128" t="n">
        <v>-0.60575</v>
      </c>
    </row>
    <row r="129">
      <c r="A129" t="inlineStr">
        <is>
          <t>country</t>
        </is>
      </c>
      <c r="B129" t="n">
        <v>-0.29159</v>
      </c>
      <c r="C129" t="n">
        <v>-0.036755</v>
      </c>
      <c r="D129" t="n">
        <v>-0.14379</v>
      </c>
      <c r="E129" t="n">
        <v>-0.6253300000000001</v>
      </c>
      <c r="F129" t="n">
        <v>-0.28054</v>
      </c>
      <c r="G129" t="n">
        <v>-0.083234</v>
      </c>
      <c r="H129" t="n">
        <v>1.0597</v>
      </c>
      <c r="I129" t="n">
        <v>-0.56264</v>
      </c>
      <c r="J129" t="n">
        <v>0.12039</v>
      </c>
      <c r="K129" t="n">
        <v>-0.29531</v>
      </c>
      <c r="L129" t="n">
        <v>-0.57192</v>
      </c>
      <c r="M129" t="n">
        <v>-0.49519</v>
      </c>
      <c r="N129" t="n">
        <v>-4.5127</v>
      </c>
      <c r="O129" t="n">
        <v>0.5548999999999999</v>
      </c>
      <c r="P129" t="n">
        <v>-0.071129</v>
      </c>
      <c r="Q129" t="n">
        <v>-0.13111</v>
      </c>
      <c r="R129" t="n">
        <v>-0.26254</v>
      </c>
      <c r="S129" t="n">
        <v>-0.16039</v>
      </c>
      <c r="T129" t="n">
        <v>0.70769</v>
      </c>
      <c r="U129" t="n">
        <v>0.24018</v>
      </c>
      <c r="V129" t="n">
        <v>-0.27281</v>
      </c>
      <c r="W129" t="n">
        <v>0.3087</v>
      </c>
      <c r="X129" t="n">
        <v>-0.47999</v>
      </c>
      <c r="Y129" t="n">
        <v>-1.4149</v>
      </c>
      <c r="Z129" t="n">
        <v>0.68254</v>
      </c>
    </row>
    <row r="130">
      <c r="A130" t="inlineStr">
        <is>
          <t>become</t>
        </is>
      </c>
      <c r="B130" t="n">
        <v>-0.21112</v>
      </c>
      <c r="C130" t="n">
        <v>0.14126</v>
      </c>
      <c r="D130" t="n">
        <v>-0.74599</v>
      </c>
      <c r="E130" t="n">
        <v>-0.72244</v>
      </c>
      <c r="F130" t="n">
        <v>0.29167</v>
      </c>
      <c r="G130" t="n">
        <v>0.39773</v>
      </c>
      <c r="H130" t="n">
        <v>1.283</v>
      </c>
      <c r="I130" t="n">
        <v>-0.40302</v>
      </c>
      <c r="J130" t="n">
        <v>-0.22922</v>
      </c>
      <c r="K130" t="n">
        <v>-0.53883</v>
      </c>
      <c r="L130" t="n">
        <v>-0.27068</v>
      </c>
      <c r="M130" t="n">
        <v>0.64217</v>
      </c>
      <c r="N130" t="n">
        <v>-4.4822</v>
      </c>
      <c r="O130" t="n">
        <v>0.19377</v>
      </c>
      <c r="P130" t="n">
        <v>-0.46397</v>
      </c>
      <c r="Q130" t="n">
        <v>0.3434</v>
      </c>
      <c r="R130" t="n">
        <v>0.34473</v>
      </c>
      <c r="S130" t="n">
        <v>0.057185</v>
      </c>
      <c r="T130" t="n">
        <v>1.3989</v>
      </c>
      <c r="U130" t="n">
        <v>-1.4393</v>
      </c>
      <c r="V130" t="n">
        <v>0.095111</v>
      </c>
      <c r="W130" t="n">
        <v>0.44194</v>
      </c>
      <c r="X130" t="n">
        <v>-0.8319</v>
      </c>
      <c r="Y130" t="n">
        <v>-0.75337</v>
      </c>
      <c r="Z130" t="n">
        <v>-0.46366</v>
      </c>
    </row>
    <row r="131">
      <c r="A131" t="inlineStr">
        <is>
          <t>goodmorning</t>
        </is>
      </c>
      <c r="B131" t="n">
        <v>-1.0124</v>
      </c>
      <c r="C131" t="n">
        <v>1.45</v>
      </c>
      <c r="D131" t="n">
        <v>0.26257</v>
      </c>
      <c r="E131" t="n">
        <v>0.1706</v>
      </c>
      <c r="F131" t="n">
        <v>-0.036693</v>
      </c>
      <c r="G131" t="n">
        <v>-0.45492</v>
      </c>
      <c r="H131" t="n">
        <v>1.6303</v>
      </c>
      <c r="I131" t="n">
        <v>0.22192</v>
      </c>
      <c r="J131" t="n">
        <v>-2.033</v>
      </c>
      <c r="K131" t="n">
        <v>0.49273</v>
      </c>
      <c r="L131" t="n">
        <v>-1.7827</v>
      </c>
      <c r="M131" t="n">
        <v>0.26178</v>
      </c>
      <c r="N131" t="n">
        <v>-2.034</v>
      </c>
      <c r="O131" t="n">
        <v>0.057195</v>
      </c>
      <c r="P131" t="n">
        <v>-0.6061</v>
      </c>
      <c r="Q131" t="n">
        <v>-0.33495</v>
      </c>
      <c r="R131" t="n">
        <v>0.97806</v>
      </c>
      <c r="S131" t="n">
        <v>-0.91407</v>
      </c>
      <c r="T131" t="n">
        <v>-0.95584</v>
      </c>
      <c r="U131" t="n">
        <v>0.69681</v>
      </c>
      <c r="V131" t="n">
        <v>0.31173</v>
      </c>
      <c r="W131" t="n">
        <v>-0.83739</v>
      </c>
      <c r="X131" t="n">
        <v>-0.44503</v>
      </c>
      <c r="Y131" t="n">
        <v>1.1715</v>
      </c>
      <c r="Z131" t="n">
        <v>-0.1798</v>
      </c>
    </row>
    <row r="132">
      <c r="A132" t="inlineStr">
        <is>
          <t>sougofollow</t>
        </is>
      </c>
      <c r="B132" t="n">
        <v>0.17654</v>
      </c>
      <c r="C132" t="n">
        <v>0.039845</v>
      </c>
      <c r="D132" t="n">
        <v>-1.3996</v>
      </c>
      <c r="E132" t="n">
        <v>-2.0067</v>
      </c>
      <c r="F132" t="n">
        <v>-0.90004</v>
      </c>
      <c r="G132" t="n">
        <v>-1.4435</v>
      </c>
      <c r="H132" t="n">
        <v>-0.03264</v>
      </c>
      <c r="I132" t="n">
        <v>0.36214</v>
      </c>
      <c r="J132" t="n">
        <v>-0.89496</v>
      </c>
      <c r="K132" t="n">
        <v>-1.0374</v>
      </c>
      <c r="L132" t="n">
        <v>-0.098089</v>
      </c>
      <c r="M132" t="n">
        <v>0.58523</v>
      </c>
      <c r="N132" t="n">
        <v>-1.1897</v>
      </c>
      <c r="O132" t="n">
        <v>-1.3405</v>
      </c>
      <c r="P132" t="n">
        <v>-2.3434</v>
      </c>
      <c r="Q132" t="n">
        <v>-0.72707</v>
      </c>
      <c r="R132" t="n">
        <v>-0.0076358</v>
      </c>
      <c r="S132" t="n">
        <v>-1.652</v>
      </c>
      <c r="T132" t="n">
        <v>0.11556</v>
      </c>
      <c r="U132" t="n">
        <v>1.6017</v>
      </c>
      <c r="V132" t="n">
        <v>-0.47903</v>
      </c>
      <c r="W132" t="n">
        <v>-2.7857</v>
      </c>
      <c r="X132" t="n">
        <v>0.70613</v>
      </c>
      <c r="Y132" t="n">
        <v>-1.1117</v>
      </c>
      <c r="Z132" t="n">
        <v>1.2838</v>
      </c>
    </row>
    <row r="133">
      <c r="A133" t="inlineStr">
        <is>
          <t>ate</t>
        </is>
      </c>
      <c r="B133" t="n">
        <v>0.4832</v>
      </c>
      <c r="C133" t="n">
        <v>-0.42756</v>
      </c>
      <c r="D133" t="n">
        <v>1.7874</v>
      </c>
      <c r="E133" t="n">
        <v>-0.044928</v>
      </c>
      <c r="F133" t="n">
        <v>-0.963</v>
      </c>
      <c r="G133" t="n">
        <v>-0.26455</v>
      </c>
      <c r="H133" t="n">
        <v>0.45832</v>
      </c>
      <c r="I133" t="n">
        <v>-0.26156</v>
      </c>
      <c r="J133" t="n">
        <v>-0.024076</v>
      </c>
      <c r="K133" t="n">
        <v>-0.27007</v>
      </c>
      <c r="L133" t="n">
        <v>-0.96727</v>
      </c>
      <c r="M133" t="n">
        <v>-2.4147</v>
      </c>
      <c r="N133" t="n">
        <v>-3.2089</v>
      </c>
      <c r="O133" t="n">
        <v>-0.81825</v>
      </c>
      <c r="P133" t="n">
        <v>-0.22525</v>
      </c>
      <c r="Q133" t="n">
        <v>-0.49277</v>
      </c>
      <c r="R133" t="n">
        <v>0.54521</v>
      </c>
      <c r="S133" t="n">
        <v>-0.27217</v>
      </c>
      <c r="T133" t="n">
        <v>-0.60253</v>
      </c>
      <c r="U133" t="n">
        <v>-0.66173</v>
      </c>
      <c r="V133" t="n">
        <v>-0.44165</v>
      </c>
      <c r="W133" t="n">
        <v>1.3034</v>
      </c>
      <c r="X133" t="n">
        <v>-0.08294700000000001</v>
      </c>
      <c r="Y133" t="n">
        <v>2.0333</v>
      </c>
      <c r="Z133" t="n">
        <v>0.10613</v>
      </c>
    </row>
    <row r="134">
      <c r="A134" t="inlineStr">
        <is>
          <t>months</t>
        </is>
      </c>
      <c r="B134" t="n">
        <v>-0.38587</v>
      </c>
      <c r="C134" t="n">
        <v>0.95265</v>
      </c>
      <c r="D134" t="n">
        <v>0.76918</v>
      </c>
      <c r="E134" t="n">
        <v>-0.6722</v>
      </c>
      <c r="F134" t="n">
        <v>0.44117</v>
      </c>
      <c r="G134" t="n">
        <v>-0.45616</v>
      </c>
      <c r="H134" t="n">
        <v>1.1594</v>
      </c>
      <c r="I134" t="n">
        <v>-0.7769200000000001</v>
      </c>
      <c r="J134" t="n">
        <v>-1.359</v>
      </c>
      <c r="K134" t="n">
        <v>0.65743</v>
      </c>
      <c r="L134" t="n">
        <v>-0.029589</v>
      </c>
      <c r="M134" t="n">
        <v>0.49663</v>
      </c>
      <c r="N134" t="n">
        <v>-3.7641</v>
      </c>
      <c r="O134" t="n">
        <v>1.2737</v>
      </c>
      <c r="P134" t="n">
        <v>0.15856</v>
      </c>
      <c r="Q134" t="n">
        <v>-0.37666</v>
      </c>
      <c r="R134" t="n">
        <v>0.41631</v>
      </c>
      <c r="S134" t="n">
        <v>-0.28877</v>
      </c>
      <c r="T134" t="n">
        <v>-0.39547</v>
      </c>
      <c r="U134" t="n">
        <v>-0.98878</v>
      </c>
      <c r="V134" t="n">
        <v>-0.68331</v>
      </c>
      <c r="W134" t="n">
        <v>0.12696</v>
      </c>
      <c r="X134" t="n">
        <v>0.11259</v>
      </c>
      <c r="Y134" t="n">
        <v>0.42779</v>
      </c>
      <c r="Z134" t="n">
        <v>-0.41095</v>
      </c>
    </row>
    <row r="135">
      <c r="A135" t="inlineStr">
        <is>
          <t>wearing</t>
        </is>
      </c>
      <c r="B135" t="n">
        <v>-1.0235</v>
      </c>
      <c r="C135" t="n">
        <v>-0.75779</v>
      </c>
      <c r="D135" t="n">
        <v>1.0242</v>
      </c>
      <c r="E135" t="n">
        <v>-1.316</v>
      </c>
      <c r="F135" t="n">
        <v>-0.16786</v>
      </c>
      <c r="G135" t="n">
        <v>0.47738</v>
      </c>
      <c r="H135" t="n">
        <v>0.51983</v>
      </c>
      <c r="I135" t="n">
        <v>-1.2439</v>
      </c>
      <c r="J135" t="n">
        <v>-0.83043</v>
      </c>
      <c r="K135" t="n">
        <v>0.33023</v>
      </c>
      <c r="L135" t="n">
        <v>0.34814</v>
      </c>
      <c r="M135" t="n">
        <v>-0.040118</v>
      </c>
      <c r="N135" t="n">
        <v>-4.4564</v>
      </c>
      <c r="O135" t="n">
        <v>-1.0982</v>
      </c>
      <c r="P135" t="n">
        <v>-0.68257</v>
      </c>
      <c r="Q135" t="n">
        <v>0.33003</v>
      </c>
      <c r="R135" t="n">
        <v>0.14985</v>
      </c>
      <c r="S135" t="n">
        <v>-1.0013</v>
      </c>
      <c r="T135" t="n">
        <v>-0.22106</v>
      </c>
      <c r="U135" t="n">
        <v>0.5325800000000001</v>
      </c>
      <c r="V135" t="n">
        <v>-0.38499</v>
      </c>
      <c r="W135" t="n">
        <v>1.2701</v>
      </c>
      <c r="X135" t="n">
        <v>0.53647</v>
      </c>
      <c r="Y135" t="n">
        <v>-0.66909</v>
      </c>
      <c r="Z135" t="n">
        <v>-1.1095</v>
      </c>
    </row>
    <row r="136">
      <c r="A136" t="inlineStr">
        <is>
          <t>chat</t>
        </is>
      </c>
      <c r="B136" t="n">
        <v>0.72234</v>
      </c>
      <c r="C136" t="n">
        <v>0.33438</v>
      </c>
      <c r="D136" t="n">
        <v>0.24454</v>
      </c>
      <c r="E136" t="n">
        <v>-0.11189</v>
      </c>
      <c r="F136" t="n">
        <v>0.91475</v>
      </c>
      <c r="G136" t="n">
        <v>-0.51871</v>
      </c>
      <c r="H136" t="n">
        <v>0.22853</v>
      </c>
      <c r="I136" t="n">
        <v>1.1805</v>
      </c>
      <c r="J136" t="n">
        <v>0.52257</v>
      </c>
      <c r="K136" t="n">
        <v>-0.39032</v>
      </c>
      <c r="L136" t="n">
        <v>-0.58948</v>
      </c>
      <c r="M136" t="n">
        <v>-0.7970699999999999</v>
      </c>
      <c r="N136" t="n">
        <v>-2.9794</v>
      </c>
      <c r="O136" t="n">
        <v>-1.2378</v>
      </c>
      <c r="P136" t="n">
        <v>0.46289</v>
      </c>
      <c r="Q136" t="n">
        <v>1.1848</v>
      </c>
      <c r="R136" t="n">
        <v>-0.094942</v>
      </c>
      <c r="S136" t="n">
        <v>-0.82429</v>
      </c>
      <c r="T136" t="n">
        <v>-1.2213</v>
      </c>
      <c r="U136" t="n">
        <v>-0.2733</v>
      </c>
      <c r="V136" t="n">
        <v>-0.11928</v>
      </c>
      <c r="W136" t="n">
        <v>-0.95941</v>
      </c>
      <c r="X136" t="n">
        <v>-0.057541</v>
      </c>
      <c r="Y136" t="n">
        <v>0.4684</v>
      </c>
      <c r="Z136" t="n">
        <v>-0.43568</v>
      </c>
    </row>
    <row r="137">
      <c r="A137" t="inlineStr">
        <is>
          <t>reading</t>
        </is>
      </c>
      <c r="B137" t="n">
        <v>0.20497</v>
      </c>
      <c r="C137" t="n">
        <v>0.68135</v>
      </c>
      <c r="D137" t="n">
        <v>0.90055</v>
      </c>
      <c r="E137" t="n">
        <v>0.10242</v>
      </c>
      <c r="F137" t="n">
        <v>0.25843</v>
      </c>
      <c r="G137" t="n">
        <v>-0.10331</v>
      </c>
      <c r="H137" t="n">
        <v>1.7554</v>
      </c>
      <c r="I137" t="n">
        <v>-0.8561800000000001</v>
      </c>
      <c r="J137" t="n">
        <v>-0.24578</v>
      </c>
      <c r="K137" t="n">
        <v>-0.53101</v>
      </c>
      <c r="L137" t="n">
        <v>-0.5381899999999999</v>
      </c>
      <c r="M137" t="n">
        <v>0.80281</v>
      </c>
      <c r="N137" t="n">
        <v>-3.559</v>
      </c>
      <c r="O137" t="n">
        <v>-0.12707</v>
      </c>
      <c r="P137" t="n">
        <v>0.7496</v>
      </c>
      <c r="Q137" t="n">
        <v>0.034547</v>
      </c>
      <c r="R137" t="n">
        <v>-0.030053</v>
      </c>
      <c r="S137" t="n">
        <v>0.38047</v>
      </c>
      <c r="T137" t="n">
        <v>-0.36524</v>
      </c>
      <c r="U137" t="n">
        <v>-0.83226</v>
      </c>
      <c r="V137" t="n">
        <v>-0.80377</v>
      </c>
      <c r="W137" t="n">
        <v>-0.61782</v>
      </c>
      <c r="X137" t="n">
        <v>-0.8946499999999999</v>
      </c>
      <c r="Y137" t="n">
        <v>-0.16094</v>
      </c>
      <c r="Z137" t="n">
        <v>-0.50413</v>
      </c>
    </row>
    <row r="138">
      <c r="A138" t="inlineStr">
        <is>
          <t>whats</t>
        </is>
      </c>
      <c r="B138" t="n">
        <v>0.99083</v>
      </c>
      <c r="C138" t="n">
        <v>0.81926</v>
      </c>
      <c r="D138" t="n">
        <v>0.75518</v>
      </c>
      <c r="E138" t="n">
        <v>0.28614</v>
      </c>
      <c r="F138" t="n">
        <v>0.3799</v>
      </c>
      <c r="G138" t="n">
        <v>-0.12612</v>
      </c>
      <c r="H138" t="n">
        <v>0.33077</v>
      </c>
      <c r="I138" t="n">
        <v>0.030267</v>
      </c>
      <c r="J138" t="n">
        <v>-0.53795</v>
      </c>
      <c r="K138" t="n">
        <v>-0.63712</v>
      </c>
      <c r="L138" t="n">
        <v>-1.2923</v>
      </c>
      <c r="M138" t="n">
        <v>-0.645</v>
      </c>
      <c r="N138" t="n">
        <v>-3.7598</v>
      </c>
      <c r="O138" t="n">
        <v>-1.4507</v>
      </c>
      <c r="P138" t="n">
        <v>0.46459</v>
      </c>
      <c r="Q138" t="n">
        <v>0.12509</v>
      </c>
      <c r="R138" t="n">
        <v>0.20013</v>
      </c>
      <c r="S138" t="n">
        <v>-0.10977</v>
      </c>
      <c r="T138" t="n">
        <v>-0.36076</v>
      </c>
      <c r="U138" t="n">
        <v>-0.21592</v>
      </c>
      <c r="V138" t="n">
        <v>0.70703</v>
      </c>
      <c r="W138" t="n">
        <v>-0.47168</v>
      </c>
      <c r="X138" t="n">
        <v>0.42395</v>
      </c>
      <c r="Y138" t="n">
        <v>1.1094</v>
      </c>
      <c r="Z138" t="n">
        <v>-0.38621</v>
      </c>
    </row>
    <row r="139">
      <c r="A139" t="inlineStr">
        <is>
          <t>boca</t>
        </is>
      </c>
      <c r="B139" t="n">
        <v>0.24888</v>
      </c>
      <c r="C139" t="n">
        <v>-0.97777</v>
      </c>
      <c r="D139" t="n">
        <v>0.70641</v>
      </c>
      <c r="E139" t="n">
        <v>0.64224</v>
      </c>
      <c r="F139" t="n">
        <v>-0.72521</v>
      </c>
      <c r="G139" t="n">
        <v>1.0048</v>
      </c>
      <c r="H139" t="n">
        <v>-0.9013099999999999</v>
      </c>
      <c r="I139" t="n">
        <v>2.3996</v>
      </c>
      <c r="J139" t="n">
        <v>0.6483</v>
      </c>
      <c r="K139" t="n">
        <v>-0.79615</v>
      </c>
      <c r="L139" t="n">
        <v>-0.32618</v>
      </c>
      <c r="M139" t="n">
        <v>-3.0376</v>
      </c>
      <c r="N139" t="n">
        <v>-1.574</v>
      </c>
      <c r="O139" t="n">
        <v>-0.33058</v>
      </c>
      <c r="P139" t="n">
        <v>0.41053</v>
      </c>
      <c r="Q139" t="n">
        <v>-0.14323</v>
      </c>
      <c r="R139" t="n">
        <v>-1.3733</v>
      </c>
      <c r="S139" t="n">
        <v>-0.46097</v>
      </c>
      <c r="T139" t="n">
        <v>0.45759</v>
      </c>
      <c r="U139" t="n">
        <v>0.11334</v>
      </c>
      <c r="V139" t="n">
        <v>0.11665</v>
      </c>
      <c r="W139" t="n">
        <v>0.66279</v>
      </c>
      <c r="X139" t="n">
        <v>1.5204</v>
      </c>
      <c r="Y139" t="n">
        <v>-0.13338</v>
      </c>
      <c r="Z139" t="n">
        <v>0.18365</v>
      </c>
    </row>
    <row r="140">
      <c r="A140" t="inlineStr">
        <is>
          <t>catch</t>
        </is>
      </c>
      <c r="B140" t="n">
        <v>-0.11525</v>
      </c>
      <c r="C140" t="n">
        <v>1.1921</v>
      </c>
      <c r="D140" t="n">
        <v>0.4127</v>
      </c>
      <c r="E140" t="n">
        <v>0.36934</v>
      </c>
      <c r="F140" t="n">
        <v>-0.50001</v>
      </c>
      <c r="G140" t="n">
        <v>0.35241</v>
      </c>
      <c r="H140" t="n">
        <v>1.4732</v>
      </c>
      <c r="I140" t="n">
        <v>-0.2749</v>
      </c>
      <c r="J140" t="n">
        <v>0.071919</v>
      </c>
      <c r="K140" t="n">
        <v>-0.53507</v>
      </c>
      <c r="L140" t="n">
        <v>-0.61169</v>
      </c>
      <c r="M140" t="n">
        <v>0.87485</v>
      </c>
      <c r="N140" t="n">
        <v>-3.6863</v>
      </c>
      <c r="O140" t="n">
        <v>0.2286</v>
      </c>
      <c r="P140" t="n">
        <v>0.085026</v>
      </c>
      <c r="Q140" t="n">
        <v>0.50243</v>
      </c>
      <c r="R140" t="n">
        <v>0.12547</v>
      </c>
      <c r="S140" t="n">
        <v>-0.76491</v>
      </c>
      <c r="T140" t="n">
        <v>-0.67428</v>
      </c>
      <c r="U140" t="n">
        <v>-0.54428</v>
      </c>
      <c r="V140" t="n">
        <v>-0.14939</v>
      </c>
      <c r="W140" t="n">
        <v>0.2989</v>
      </c>
      <c r="X140" t="n">
        <v>1.3245</v>
      </c>
      <c r="Y140" t="n">
        <v>-0.2469</v>
      </c>
      <c r="Z140" t="n">
        <v>0.19364</v>
      </c>
    </row>
    <row r="141">
      <c r="A141" t="inlineStr">
        <is>
          <t>death</t>
        </is>
      </c>
      <c r="B141" t="n">
        <v>0.021377</v>
      </c>
      <c r="C141" t="n">
        <v>0.10369</v>
      </c>
      <c r="D141" t="n">
        <v>0.053792</v>
      </c>
      <c r="E141" t="n">
        <v>0.99278</v>
      </c>
      <c r="F141" t="n">
        <v>0.053254</v>
      </c>
      <c r="G141" t="n">
        <v>-0.63449</v>
      </c>
      <c r="H141" t="n">
        <v>1.5244</v>
      </c>
      <c r="I141" t="n">
        <v>-0.24008</v>
      </c>
      <c r="J141" t="n">
        <v>-0.040619</v>
      </c>
      <c r="K141" t="n">
        <v>0.37077</v>
      </c>
      <c r="L141" t="n">
        <v>0.32772</v>
      </c>
      <c r="M141" t="n">
        <v>0.71652</v>
      </c>
      <c r="N141" t="n">
        <v>-3.6274</v>
      </c>
      <c r="O141" t="n">
        <v>0.85833</v>
      </c>
      <c r="P141" t="n">
        <v>0.44822</v>
      </c>
      <c r="Q141" t="n">
        <v>-0.096083</v>
      </c>
      <c r="R141" t="n">
        <v>0.11771</v>
      </c>
      <c r="S141" t="n">
        <v>0.8448099999999999</v>
      </c>
      <c r="T141" t="n">
        <v>0.12627</v>
      </c>
      <c r="U141" t="n">
        <v>-1.0624</v>
      </c>
      <c r="V141" t="n">
        <v>0.056151</v>
      </c>
      <c r="W141" t="n">
        <v>0.73269</v>
      </c>
      <c r="X141" t="n">
        <v>0.14332</v>
      </c>
      <c r="Y141" t="n">
        <v>-0.97436</v>
      </c>
      <c r="Z141" t="n">
        <v>0.46834</v>
      </c>
    </row>
    <row r="142">
      <c r="A142" t="inlineStr">
        <is>
          <t>openfollow</t>
        </is>
      </c>
      <c r="B142" t="n">
        <v>-1.0514</v>
      </c>
      <c r="C142" t="n">
        <v>1.3975</v>
      </c>
      <c r="D142" t="n">
        <v>-2.2013</v>
      </c>
      <c r="E142" t="n">
        <v>-1.471</v>
      </c>
      <c r="F142" t="n">
        <v>0.54963</v>
      </c>
      <c r="G142" t="n">
        <v>-1.6338</v>
      </c>
      <c r="H142" t="n">
        <v>0.59934</v>
      </c>
      <c r="I142" t="n">
        <v>1.456</v>
      </c>
      <c r="J142" t="n">
        <v>0.10283</v>
      </c>
      <c r="K142" t="n">
        <v>0.28748</v>
      </c>
      <c r="L142" t="n">
        <v>0.20738</v>
      </c>
      <c r="M142" t="n">
        <v>1.0078</v>
      </c>
      <c r="N142" t="n">
        <v>-0.68351</v>
      </c>
      <c r="O142" t="n">
        <v>-1.3142</v>
      </c>
      <c r="P142" t="n">
        <v>-1.6102</v>
      </c>
      <c r="Q142" t="n">
        <v>0.12063</v>
      </c>
      <c r="R142" t="n">
        <v>-0.77237</v>
      </c>
      <c r="S142" t="n">
        <v>-1.8104</v>
      </c>
      <c r="T142" t="n">
        <v>-1.3801</v>
      </c>
      <c r="U142" t="n">
        <v>-0.14528</v>
      </c>
      <c r="V142" t="n">
        <v>-0.54683</v>
      </c>
      <c r="W142" t="n">
        <v>-1.0609</v>
      </c>
      <c r="X142" t="n">
        <v>-0.35666</v>
      </c>
      <c r="Y142" t="n">
        <v>0.71813</v>
      </c>
      <c r="Z142" t="n">
        <v>-0.50996</v>
      </c>
    </row>
    <row r="143">
      <c r="A143" t="inlineStr">
        <is>
          <t>shower</t>
        </is>
      </c>
      <c r="B143" t="n">
        <v>-1.6493</v>
      </c>
      <c r="C143" t="n">
        <v>0.33315</v>
      </c>
      <c r="D143" t="n">
        <v>0.81582</v>
      </c>
      <c r="E143" t="n">
        <v>0.36654</v>
      </c>
      <c r="F143" t="n">
        <v>0.47834</v>
      </c>
      <c r="G143" t="n">
        <v>0.73602</v>
      </c>
      <c r="H143" t="n">
        <v>1.3234</v>
      </c>
      <c r="I143" t="n">
        <v>-0.88784</v>
      </c>
      <c r="J143" t="n">
        <v>0.38742</v>
      </c>
      <c r="K143" t="n">
        <v>0.52625</v>
      </c>
      <c r="L143" t="n">
        <v>-0.25308</v>
      </c>
      <c r="M143" t="n">
        <v>-0.0075584</v>
      </c>
      <c r="N143" t="n">
        <v>-3.4699</v>
      </c>
      <c r="O143" t="n">
        <v>-0.3966</v>
      </c>
      <c r="P143" t="n">
        <v>0.039903</v>
      </c>
      <c r="Q143" t="n">
        <v>0.73243</v>
      </c>
      <c r="R143" t="n">
        <v>0.91272</v>
      </c>
      <c r="S143" t="n">
        <v>-0.52122</v>
      </c>
      <c r="T143" t="n">
        <v>-0.75293</v>
      </c>
      <c r="U143" t="n">
        <v>-0.58501</v>
      </c>
      <c r="V143" t="n">
        <v>-0.52482</v>
      </c>
      <c r="W143" t="n">
        <v>-0.06315</v>
      </c>
      <c r="X143" t="n">
        <v>1.3302</v>
      </c>
      <c r="Y143" t="n">
        <v>0.90403</v>
      </c>
      <c r="Z143" t="n">
        <v>0.36702</v>
      </c>
    </row>
    <row r="144">
      <c r="A144" t="inlineStr">
        <is>
          <t>art</t>
        </is>
      </c>
      <c r="B144" t="n">
        <v>-0.60111</v>
      </c>
      <c r="C144" t="n">
        <v>-0.78449</v>
      </c>
      <c r="D144" t="n">
        <v>-0.17668</v>
      </c>
      <c r="E144" t="n">
        <v>-0.1603</v>
      </c>
      <c r="F144" t="n">
        <v>1.1819</v>
      </c>
      <c r="G144" t="n">
        <v>-0.23318</v>
      </c>
      <c r="H144" t="n">
        <v>0.85032</v>
      </c>
      <c r="I144" t="n">
        <v>-0.11741</v>
      </c>
      <c r="J144" t="n">
        <v>0.6122</v>
      </c>
      <c r="K144" t="n">
        <v>-0.67264</v>
      </c>
      <c r="L144" t="n">
        <v>0.17432</v>
      </c>
      <c r="M144" t="n">
        <v>0.074486</v>
      </c>
      <c r="N144" t="n">
        <v>-3.7934</v>
      </c>
      <c r="O144" t="n">
        <v>-0.14081</v>
      </c>
      <c r="P144" t="n">
        <v>-0.16446</v>
      </c>
      <c r="Q144" t="n">
        <v>0.044825</v>
      </c>
      <c r="R144" t="n">
        <v>0.37728</v>
      </c>
      <c r="S144" t="n">
        <v>0.72096</v>
      </c>
      <c r="T144" t="n">
        <v>-0.053711</v>
      </c>
      <c r="U144" t="n">
        <v>0.55805</v>
      </c>
      <c r="V144" t="n">
        <v>-0.76145</v>
      </c>
      <c r="W144" t="n">
        <v>-1.0378</v>
      </c>
      <c r="X144" t="n">
        <v>-1.0496</v>
      </c>
      <c r="Y144" t="n">
        <v>-0.36435</v>
      </c>
      <c r="Z144" t="n">
        <v>0.2108</v>
      </c>
    </row>
    <row r="145">
      <c r="A145" t="inlineStr">
        <is>
          <t>unfollow</t>
        </is>
      </c>
      <c r="B145" t="n">
        <v>1.2853</v>
      </c>
      <c r="C145" t="n">
        <v>0.83436</v>
      </c>
      <c r="D145" t="n">
        <v>-0.5114</v>
      </c>
      <c r="E145" t="n">
        <v>0.36789</v>
      </c>
      <c r="F145" t="n">
        <v>0.5678299999999999</v>
      </c>
      <c r="G145" t="n">
        <v>0.13585</v>
      </c>
      <c r="H145" t="n">
        <v>-0.19981</v>
      </c>
      <c r="I145" t="n">
        <v>0.62598</v>
      </c>
      <c r="J145" t="n">
        <v>-0.7854</v>
      </c>
      <c r="K145" t="n">
        <v>0.74199</v>
      </c>
      <c r="L145" t="n">
        <v>-0.71158</v>
      </c>
      <c r="M145" t="n">
        <v>-1.2478</v>
      </c>
      <c r="N145" t="n">
        <v>-2.465</v>
      </c>
      <c r="O145" t="n">
        <v>-0.85033</v>
      </c>
      <c r="P145" t="n">
        <v>-0.77601</v>
      </c>
      <c r="Q145" t="n">
        <v>0.60459</v>
      </c>
      <c r="R145" t="n">
        <v>-0.61463</v>
      </c>
      <c r="S145" t="n">
        <v>-1.4136</v>
      </c>
      <c r="T145" t="n">
        <v>-1.3894</v>
      </c>
      <c r="U145" t="n">
        <v>-0.68046</v>
      </c>
      <c r="V145" t="n">
        <v>0.75326</v>
      </c>
      <c r="W145" t="n">
        <v>-0.62327</v>
      </c>
      <c r="X145" t="n">
        <v>0.26431</v>
      </c>
      <c r="Y145" t="n">
        <v>0.68771</v>
      </c>
      <c r="Z145" t="n">
        <v>-1.5304</v>
      </c>
    </row>
    <row r="146">
      <c r="A146" t="inlineStr">
        <is>
          <t>front</t>
        </is>
      </c>
      <c r="B146" t="n">
        <v>-0.64276</v>
      </c>
      <c r="C146" t="n">
        <v>-0.23709</v>
      </c>
      <c r="D146" t="n">
        <v>0.34453</v>
      </c>
      <c r="E146" t="n">
        <v>0.067713</v>
      </c>
      <c r="F146" t="n">
        <v>0.17912</v>
      </c>
      <c r="G146" t="n">
        <v>0.041389</v>
      </c>
      <c r="H146" t="n">
        <v>0.26563</v>
      </c>
      <c r="I146" t="n">
        <v>-0.73328</v>
      </c>
      <c r="J146" t="n">
        <v>0.58509</v>
      </c>
      <c r="K146" t="n">
        <v>0.64473</v>
      </c>
      <c r="L146" t="n">
        <v>-0.020828</v>
      </c>
      <c r="M146" t="n">
        <v>0.3484</v>
      </c>
      <c r="N146" t="n">
        <v>-4.3532</v>
      </c>
      <c r="O146" t="n">
        <v>-0.01672</v>
      </c>
      <c r="P146" t="n">
        <v>0.076988</v>
      </c>
      <c r="Q146" t="n">
        <v>0.75669</v>
      </c>
      <c r="R146" t="n">
        <v>0.21479</v>
      </c>
      <c r="S146" t="n">
        <v>-0.42323</v>
      </c>
      <c r="T146" t="n">
        <v>-0.76686</v>
      </c>
      <c r="U146" t="n">
        <v>-0.20098</v>
      </c>
      <c r="V146" t="n">
        <v>-0.17666</v>
      </c>
      <c r="W146" t="n">
        <v>-0.13762</v>
      </c>
      <c r="X146" t="n">
        <v>1.2389</v>
      </c>
      <c r="Y146" t="n">
        <v>-1.1678</v>
      </c>
      <c r="Z146" t="n">
        <v>-0.5827</v>
      </c>
    </row>
    <row r="147">
      <c r="A147" t="inlineStr">
        <is>
          <t>crush</t>
        </is>
      </c>
      <c r="B147" t="n">
        <v>0.041472</v>
      </c>
      <c r="C147" t="n">
        <v>-0.68354</v>
      </c>
      <c r="D147" t="n">
        <v>0.89002</v>
      </c>
      <c r="E147" t="n">
        <v>0.079389</v>
      </c>
      <c r="F147" t="n">
        <v>0.049475</v>
      </c>
      <c r="G147" t="n">
        <v>-0.35581</v>
      </c>
      <c r="H147" t="n">
        <v>1.4291</v>
      </c>
      <c r="I147" t="n">
        <v>1.2662</v>
      </c>
      <c r="J147" t="n">
        <v>-0.27341</v>
      </c>
      <c r="K147" t="n">
        <v>0.32642</v>
      </c>
      <c r="L147" t="n">
        <v>-0.60209</v>
      </c>
      <c r="M147" t="n">
        <v>-0.6434299999999999</v>
      </c>
      <c r="N147" t="n">
        <v>-2.9005</v>
      </c>
      <c r="O147" t="n">
        <v>-0.083994</v>
      </c>
      <c r="P147" t="n">
        <v>0.11992</v>
      </c>
      <c r="Q147" t="n">
        <v>1.499</v>
      </c>
      <c r="R147" t="n">
        <v>0.98754</v>
      </c>
      <c r="S147" t="n">
        <v>-0.6939</v>
      </c>
      <c r="T147" t="n">
        <v>-0.098691</v>
      </c>
      <c r="U147" t="n">
        <v>-0.33421</v>
      </c>
      <c r="V147" t="n">
        <v>0.20806</v>
      </c>
      <c r="W147" t="n">
        <v>0.22803</v>
      </c>
      <c r="X147" t="n">
        <v>-0.32057</v>
      </c>
      <c r="Y147" t="n">
        <v>0.047609</v>
      </c>
      <c r="Z147" t="n">
        <v>-1.5318</v>
      </c>
    </row>
    <row r="148">
      <c r="A148" t="inlineStr">
        <is>
          <t>boring</t>
        </is>
      </c>
      <c r="B148" t="n">
        <v>0.5428500000000001</v>
      </c>
      <c r="C148" t="n">
        <v>0.19521</v>
      </c>
      <c r="D148" t="n">
        <v>0.42417</v>
      </c>
      <c r="E148" t="n">
        <v>-1.256</v>
      </c>
      <c r="F148" t="n">
        <v>0.64294</v>
      </c>
      <c r="G148" t="n">
        <v>1.1935</v>
      </c>
      <c r="H148" t="n">
        <v>2.006</v>
      </c>
      <c r="I148" t="n">
        <v>-0.19171</v>
      </c>
      <c r="J148" t="n">
        <v>0.13497</v>
      </c>
      <c r="K148" t="n">
        <v>0.6641</v>
      </c>
      <c r="L148" t="n">
        <v>-1.9483</v>
      </c>
      <c r="M148" t="n">
        <v>0.51929</v>
      </c>
      <c r="N148" t="n">
        <v>-2.9851</v>
      </c>
      <c r="O148" t="n">
        <v>0.50069</v>
      </c>
      <c r="P148" t="n">
        <v>1.0646</v>
      </c>
      <c r="Q148" t="n">
        <v>0.88739</v>
      </c>
      <c r="R148" t="n">
        <v>0.65761</v>
      </c>
      <c r="S148" t="n">
        <v>-0.9311700000000001</v>
      </c>
      <c r="T148" t="n">
        <v>-0.44223</v>
      </c>
      <c r="U148" t="n">
        <v>-0.45119</v>
      </c>
      <c r="V148" t="n">
        <v>0.13189</v>
      </c>
      <c r="W148" t="n">
        <v>0.62025</v>
      </c>
      <c r="X148" t="n">
        <v>-0.39046</v>
      </c>
      <c r="Y148" t="n">
        <v>0.34734</v>
      </c>
      <c r="Z148" t="n">
        <v>-0.1574</v>
      </c>
    </row>
    <row r="149">
      <c r="A149" t="inlineStr">
        <is>
          <t>beach</t>
        </is>
      </c>
      <c r="B149" t="n">
        <v>-2.3753</v>
      </c>
      <c r="C149" t="n">
        <v>-0.28504</v>
      </c>
      <c r="D149" t="n">
        <v>0.75985</v>
      </c>
      <c r="E149" t="n">
        <v>-0.97004</v>
      </c>
      <c r="F149" t="n">
        <v>-0.77088</v>
      </c>
      <c r="G149" t="n">
        <v>0.7374000000000001</v>
      </c>
      <c r="H149" t="n">
        <v>0.94173</v>
      </c>
      <c r="I149" t="n">
        <v>-0.43263</v>
      </c>
      <c r="J149" t="n">
        <v>0.58163</v>
      </c>
      <c r="K149" t="n">
        <v>0.11714</v>
      </c>
      <c r="L149" t="n">
        <v>-0.57438</v>
      </c>
      <c r="M149" t="n">
        <v>-0.82711</v>
      </c>
      <c r="N149" t="n">
        <v>-3.6898</v>
      </c>
      <c r="O149" t="n">
        <v>0.24879</v>
      </c>
      <c r="P149" t="n">
        <v>0.50887</v>
      </c>
      <c r="Q149" t="n">
        <v>-0.27429</v>
      </c>
      <c r="R149" t="n">
        <v>0.25912</v>
      </c>
      <c r="S149" t="n">
        <v>-0.6063499999999999</v>
      </c>
      <c r="T149" t="n">
        <v>-0.17212</v>
      </c>
      <c r="U149" t="n">
        <v>0.58951</v>
      </c>
      <c r="V149" t="n">
        <v>-0.72685</v>
      </c>
      <c r="W149" t="n">
        <v>-0.67133</v>
      </c>
      <c r="X149" t="n">
        <v>0.28167</v>
      </c>
      <c r="Y149" t="n">
        <v>-0.75017</v>
      </c>
      <c r="Z149" t="n">
        <v>1.2983</v>
      </c>
    </row>
    <row r="150">
      <c r="A150" t="inlineStr">
        <is>
          <t>hurts</t>
        </is>
      </c>
      <c r="B150" t="n">
        <v>-0.41176</v>
      </c>
      <c r="C150" t="n">
        <v>-0.52606</v>
      </c>
      <c r="D150" t="n">
        <v>-0.25577</v>
      </c>
      <c r="E150" t="n">
        <v>0.70467</v>
      </c>
      <c r="F150" t="n">
        <v>-0.1817</v>
      </c>
      <c r="G150" t="n">
        <v>-0.013467</v>
      </c>
      <c r="H150" t="n">
        <v>1.8991</v>
      </c>
      <c r="I150" t="n">
        <v>-0.92865</v>
      </c>
      <c r="J150" t="n">
        <v>-1.1042</v>
      </c>
      <c r="K150" t="n">
        <v>1.0188</v>
      </c>
      <c r="L150" t="n">
        <v>-0.74731</v>
      </c>
      <c r="M150" t="n">
        <v>1.1093</v>
      </c>
      <c r="N150" t="n">
        <v>-3.1707</v>
      </c>
      <c r="O150" t="n">
        <v>-0.28182</v>
      </c>
      <c r="P150" t="n">
        <v>0.60347</v>
      </c>
      <c r="Q150" t="n">
        <v>0.5701000000000001</v>
      </c>
      <c r="R150" t="n">
        <v>-0.3436</v>
      </c>
      <c r="S150" t="n">
        <v>0.24565</v>
      </c>
      <c r="T150" t="n">
        <v>0.60006</v>
      </c>
      <c r="U150" t="n">
        <v>-0.98843</v>
      </c>
      <c r="V150" t="n">
        <v>0.23095</v>
      </c>
      <c r="W150" t="n">
        <v>1.4029</v>
      </c>
      <c r="X150" t="n">
        <v>1.5689</v>
      </c>
      <c r="Y150" t="n">
        <v>1.1453</v>
      </c>
      <c r="Z150" t="n">
        <v>-0.31345</v>
      </c>
    </row>
    <row r="151">
      <c r="A151" t="inlineStr">
        <is>
          <t>heat</t>
        </is>
      </c>
      <c r="B151" t="n">
        <v>0.19675</v>
      </c>
      <c r="C151" t="n">
        <v>0.84993</v>
      </c>
      <c r="D151" t="n">
        <v>-0.40735</v>
      </c>
      <c r="E151" t="n">
        <v>-0.79122</v>
      </c>
      <c r="F151" t="n">
        <v>-0.43254</v>
      </c>
      <c r="G151" t="n">
        <v>1.0784</v>
      </c>
      <c r="H151" t="n">
        <v>0.80974</v>
      </c>
      <c r="I151" t="n">
        <v>0.012239</v>
      </c>
      <c r="J151" t="n">
        <v>-0.017593</v>
      </c>
      <c r="K151" t="n">
        <v>-0.27525</v>
      </c>
      <c r="L151" t="n">
        <v>0.033504</v>
      </c>
      <c r="M151" t="n">
        <v>0.50346</v>
      </c>
      <c r="N151" t="n">
        <v>-3.5626</v>
      </c>
      <c r="O151" t="n">
        <v>0.70125</v>
      </c>
      <c r="P151" t="n">
        <v>1.024</v>
      </c>
      <c r="Q151" t="n">
        <v>-0.20978</v>
      </c>
      <c r="R151" t="n">
        <v>-0.37778</v>
      </c>
      <c r="S151" t="n">
        <v>-0.93486</v>
      </c>
      <c r="T151" t="n">
        <v>0.5546</v>
      </c>
      <c r="U151" t="n">
        <v>0.31131</v>
      </c>
      <c r="V151" t="n">
        <v>-0.73793</v>
      </c>
      <c r="W151" t="n">
        <v>0.76567</v>
      </c>
      <c r="X151" t="n">
        <v>2.1186</v>
      </c>
      <c r="Y151" t="n">
        <v>-0.40522</v>
      </c>
      <c r="Z151" t="n">
        <v>0.050475</v>
      </c>
    </row>
    <row r="152">
      <c r="A152" t="inlineStr">
        <is>
          <t>child</t>
        </is>
      </c>
      <c r="B152" t="n">
        <v>-0.72576</v>
      </c>
      <c r="C152" t="n">
        <v>0.40073</v>
      </c>
      <c r="D152" t="n">
        <v>-0.041544</v>
      </c>
      <c r="E152" t="n">
        <v>0.92706</v>
      </c>
      <c r="F152" t="n">
        <v>0.99429</v>
      </c>
      <c r="G152" t="n">
        <v>-0.90944</v>
      </c>
      <c r="H152" t="n">
        <v>1.2618</v>
      </c>
      <c r="I152" t="n">
        <v>-0.32935</v>
      </c>
      <c r="J152" t="n">
        <v>-0.18241</v>
      </c>
      <c r="K152" t="n">
        <v>0.41867</v>
      </c>
      <c r="L152" t="n">
        <v>0.05083</v>
      </c>
      <c r="M152" t="n">
        <v>0.38727</v>
      </c>
      <c r="N152" t="n">
        <v>-4.0082</v>
      </c>
      <c r="O152" t="n">
        <v>0.18288</v>
      </c>
      <c r="P152" t="n">
        <v>-0.16037</v>
      </c>
      <c r="Q152" t="n">
        <v>-0.05441</v>
      </c>
      <c r="R152" t="n">
        <v>0.48821</v>
      </c>
      <c r="S152" t="n">
        <v>0.065027</v>
      </c>
      <c r="T152" t="n">
        <v>0.48411</v>
      </c>
      <c r="U152" t="n">
        <v>-0.63024</v>
      </c>
      <c r="V152" t="n">
        <v>0.57902</v>
      </c>
      <c r="W152" t="n">
        <v>0.69124</v>
      </c>
      <c r="X152" t="n">
        <v>-0.60869</v>
      </c>
      <c r="Y152" t="n">
        <v>-0.99102</v>
      </c>
      <c r="Z152" t="n">
        <v>0.22052</v>
      </c>
    </row>
    <row r="153">
      <c r="A153" t="inlineStr">
        <is>
          <t>mouth</t>
        </is>
      </c>
      <c r="B153" t="n">
        <v>-0.69247</v>
      </c>
      <c r="C153" t="n">
        <v>0.015485</v>
      </c>
      <c r="D153" t="n">
        <v>0.087218</v>
      </c>
      <c r="E153" t="n">
        <v>1.4157</v>
      </c>
      <c r="F153" t="n">
        <v>0.62665</v>
      </c>
      <c r="G153" t="n">
        <v>0.21719</v>
      </c>
      <c r="H153" t="n">
        <v>1.2109</v>
      </c>
      <c r="I153" t="n">
        <v>-1.0223</v>
      </c>
      <c r="J153" t="n">
        <v>-0.0068606</v>
      </c>
      <c r="K153" t="n">
        <v>1.0524</v>
      </c>
      <c r="L153" t="n">
        <v>-0.1609</v>
      </c>
      <c r="M153" t="n">
        <v>0.86278</v>
      </c>
      <c r="N153" t="n">
        <v>-3.7374</v>
      </c>
      <c r="O153" t="n">
        <v>-0.78063</v>
      </c>
      <c r="P153" t="n">
        <v>-0.067139</v>
      </c>
      <c r="Q153" t="n">
        <v>0.26446</v>
      </c>
      <c r="R153" t="n">
        <v>0.47769</v>
      </c>
      <c r="S153" t="n">
        <v>-0.37711</v>
      </c>
      <c r="T153" t="n">
        <v>0.13732</v>
      </c>
      <c r="U153" t="n">
        <v>-0.60395</v>
      </c>
      <c r="V153" t="n">
        <v>0.74122</v>
      </c>
      <c r="W153" t="n">
        <v>1.3343</v>
      </c>
      <c r="X153" t="n">
        <v>1.5674</v>
      </c>
      <c r="Y153" t="n">
        <v>0.37091</v>
      </c>
      <c r="Z153" t="n">
        <v>0.13666</v>
      </c>
    </row>
    <row r="154">
      <c r="A154" t="inlineStr">
        <is>
          <t>played</t>
        </is>
      </c>
      <c r="B154" t="n">
        <v>0.52887</v>
      </c>
      <c r="C154" t="n">
        <v>0.5997</v>
      </c>
      <c r="D154" t="n">
        <v>1.0502</v>
      </c>
      <c r="E154" t="n">
        <v>-1.0242</v>
      </c>
      <c r="F154" t="n">
        <v>-0.86072</v>
      </c>
      <c r="G154" t="n">
        <v>0.40999</v>
      </c>
      <c r="H154" t="n">
        <v>0.84075</v>
      </c>
      <c r="I154" t="n">
        <v>-0.12928</v>
      </c>
      <c r="J154" t="n">
        <v>-0.71412</v>
      </c>
      <c r="K154" t="n">
        <v>-1.0658</v>
      </c>
      <c r="L154" t="n">
        <v>0.1933</v>
      </c>
      <c r="M154" t="n">
        <v>1.5332</v>
      </c>
      <c r="N154" t="n">
        <v>-4.1827</v>
      </c>
      <c r="O154" t="n">
        <v>0.2933</v>
      </c>
      <c r="P154" t="n">
        <v>0.84237</v>
      </c>
      <c r="Q154" t="n">
        <v>0.34721</v>
      </c>
      <c r="R154" t="n">
        <v>0.66849</v>
      </c>
      <c r="S154" t="n">
        <v>-0.08207</v>
      </c>
      <c r="T154" t="n">
        <v>0.41609</v>
      </c>
      <c r="U154" t="n">
        <v>-0.21356</v>
      </c>
      <c r="V154" t="n">
        <v>-0.5491</v>
      </c>
      <c r="W154" t="n">
        <v>1.082</v>
      </c>
      <c r="X154" t="n">
        <v>0.6858300000000001</v>
      </c>
      <c r="Y154" t="n">
        <v>-0.75203</v>
      </c>
      <c r="Z154" t="n">
        <v>0.082578</v>
      </c>
    </row>
    <row r="155">
      <c r="A155" t="inlineStr">
        <is>
          <t>town</t>
        </is>
      </c>
      <c r="B155" t="n">
        <v>-1.0076</v>
      </c>
      <c r="C155" t="n">
        <v>0.5284</v>
      </c>
      <c r="D155" t="n">
        <v>0.6738</v>
      </c>
      <c r="E155" t="n">
        <v>-0.8873</v>
      </c>
      <c r="F155" t="n">
        <v>-0.90677</v>
      </c>
      <c r="G155" t="n">
        <v>0.11241</v>
      </c>
      <c r="H155" t="n">
        <v>0.94885</v>
      </c>
      <c r="I155" t="n">
        <v>-0.21475</v>
      </c>
      <c r="J155" t="n">
        <v>0.71941</v>
      </c>
      <c r="K155" t="n">
        <v>0.46354</v>
      </c>
      <c r="L155" t="n">
        <v>-0.366</v>
      </c>
      <c r="M155" t="n">
        <v>0.13353</v>
      </c>
      <c r="N155" t="n">
        <v>-3.8661</v>
      </c>
      <c r="O155" t="n">
        <v>0.69433</v>
      </c>
      <c r="P155" t="n">
        <v>0.69342</v>
      </c>
      <c r="Q155" t="n">
        <v>-0.23694</v>
      </c>
      <c r="R155" t="n">
        <v>0.37083</v>
      </c>
      <c r="S155" t="n">
        <v>-0.87266</v>
      </c>
      <c r="T155" t="n">
        <v>-0.27916</v>
      </c>
      <c r="U155" t="n">
        <v>0.4232</v>
      </c>
      <c r="V155" t="n">
        <v>-0.12805</v>
      </c>
      <c r="W155" t="n">
        <v>-0.45124</v>
      </c>
      <c r="X155" t="n">
        <v>-0.041943</v>
      </c>
      <c r="Y155" t="n">
        <v>-1.1987</v>
      </c>
      <c r="Z155" t="n">
        <v>0.67039</v>
      </c>
    </row>
    <row r="156">
      <c r="A156" t="inlineStr">
        <is>
          <t>teacher</t>
        </is>
      </c>
      <c r="B156" t="n">
        <v>0.19484</v>
      </c>
      <c r="C156" t="n">
        <v>0.33447</v>
      </c>
      <c r="D156" t="n">
        <v>0.93546</v>
      </c>
      <c r="E156" t="n">
        <v>-0.48329</v>
      </c>
      <c r="F156" t="n">
        <v>1.1514</v>
      </c>
      <c r="G156" t="n">
        <v>-1.2814</v>
      </c>
      <c r="H156" t="n">
        <v>1.5305</v>
      </c>
      <c r="I156" t="n">
        <v>-0.3708</v>
      </c>
      <c r="J156" t="n">
        <v>0.57756</v>
      </c>
      <c r="K156" t="n">
        <v>0.24608</v>
      </c>
      <c r="L156" t="n">
        <v>-0.78535</v>
      </c>
      <c r="M156" t="n">
        <v>-0.32367</v>
      </c>
      <c r="N156" t="n">
        <v>-3.6943</v>
      </c>
      <c r="O156" t="n">
        <v>0.12604</v>
      </c>
      <c r="P156" t="n">
        <v>1.253</v>
      </c>
      <c r="Q156" t="n">
        <v>0.014313</v>
      </c>
      <c r="R156" t="n">
        <v>1.0713</v>
      </c>
      <c r="S156" t="n">
        <v>0.12095</v>
      </c>
      <c r="T156" t="n">
        <v>0.07319000000000001</v>
      </c>
      <c r="U156" t="n">
        <v>-0.47222</v>
      </c>
      <c r="V156" t="n">
        <v>0.99402</v>
      </c>
      <c r="W156" t="n">
        <v>0.29617</v>
      </c>
      <c r="X156" t="n">
        <v>-0.61875</v>
      </c>
      <c r="Y156" t="n">
        <v>0.097479</v>
      </c>
      <c r="Z156" t="n">
        <v>-0.90367</v>
      </c>
    </row>
    <row r="157">
      <c r="A157" t="inlineStr">
        <is>
          <t>coffee</t>
        </is>
      </c>
      <c r="B157" t="n">
        <v>-1.4532</v>
      </c>
      <c r="C157" t="n">
        <v>0.25594</v>
      </c>
      <c r="D157" t="n">
        <v>0.081679</v>
      </c>
      <c r="E157" t="n">
        <v>0.49081</v>
      </c>
      <c r="F157" t="n">
        <v>-0.059128</v>
      </c>
      <c r="G157" t="n">
        <v>0.63656</v>
      </c>
      <c r="H157" t="n">
        <v>1.4566</v>
      </c>
      <c r="I157" t="n">
        <v>-1.0607</v>
      </c>
      <c r="J157" t="n">
        <v>0.47903</v>
      </c>
      <c r="K157" t="n">
        <v>0.47616</v>
      </c>
      <c r="L157" t="n">
        <v>0.85016</v>
      </c>
      <c r="M157" t="n">
        <v>-0.40645</v>
      </c>
      <c r="N157" t="n">
        <v>-3.5843</v>
      </c>
      <c r="O157" t="n">
        <v>-0.5237000000000001</v>
      </c>
      <c r="P157" t="n">
        <v>0.46344</v>
      </c>
      <c r="Q157" t="n">
        <v>-0.50906</v>
      </c>
      <c r="R157" t="n">
        <v>1.2432</v>
      </c>
      <c r="S157" t="n">
        <v>-0.54121</v>
      </c>
      <c r="T157" t="n">
        <v>0.19375</v>
      </c>
      <c r="U157" t="n">
        <v>0.35703</v>
      </c>
      <c r="V157" t="n">
        <v>-0.9885</v>
      </c>
      <c r="W157" t="n">
        <v>-0.69335</v>
      </c>
      <c r="X157" t="n">
        <v>-0.33998</v>
      </c>
      <c r="Y157" t="n">
        <v>0.71827</v>
      </c>
      <c r="Z157" t="n">
        <v>1.0704</v>
      </c>
    </row>
    <row r="158">
      <c r="A158" t="inlineStr">
        <is>
          <t>chelsea</t>
        </is>
      </c>
      <c r="B158" t="n">
        <v>0.5867</v>
      </c>
      <c r="C158" t="n">
        <v>0.52568</v>
      </c>
      <c r="D158" t="n">
        <v>-0.21607</v>
      </c>
      <c r="E158" t="n">
        <v>-1.4259</v>
      </c>
      <c r="F158" t="n">
        <v>-1.371</v>
      </c>
      <c r="G158" t="n">
        <v>0.44783</v>
      </c>
      <c r="H158" t="n">
        <v>-0.49934</v>
      </c>
      <c r="I158" t="n">
        <v>1.3785</v>
      </c>
      <c r="J158" t="n">
        <v>-0.11744</v>
      </c>
      <c r="K158" t="n">
        <v>-0.43738</v>
      </c>
      <c r="L158" t="n">
        <v>0.74114</v>
      </c>
      <c r="M158" t="n">
        <v>0.40229</v>
      </c>
      <c r="N158" t="n">
        <v>-3.1819</v>
      </c>
      <c r="O158" t="n">
        <v>0.7274</v>
      </c>
      <c r="P158" t="n">
        <v>1.1543</v>
      </c>
      <c r="Q158" t="n">
        <v>-0.48782</v>
      </c>
      <c r="R158" t="n">
        <v>-1.0067</v>
      </c>
      <c r="S158" t="n">
        <v>-1.1733</v>
      </c>
      <c r="T158" t="n">
        <v>-0.54304</v>
      </c>
      <c r="U158" t="n">
        <v>-0.48163</v>
      </c>
      <c r="V158" t="n">
        <v>-1.3062</v>
      </c>
      <c r="W158" t="n">
        <v>1.0608</v>
      </c>
      <c r="X158" t="n">
        <v>-0.46025</v>
      </c>
      <c r="Y158" t="n">
        <v>-1.0867</v>
      </c>
      <c r="Z158" t="n">
        <v>-0.85849</v>
      </c>
    </row>
    <row r="159">
      <c r="A159" t="inlineStr">
        <is>
          <t>tomar</t>
        </is>
      </c>
      <c r="B159" t="n">
        <v>0.48821</v>
      </c>
      <c r="C159" t="n">
        <v>0.46763</v>
      </c>
      <c r="D159" t="n">
        <v>0.46122</v>
      </c>
      <c r="E159" t="n">
        <v>1.0889</v>
      </c>
      <c r="F159" t="n">
        <v>0.039891</v>
      </c>
      <c r="G159" t="n">
        <v>1.816</v>
      </c>
      <c r="H159" t="n">
        <v>-1.25</v>
      </c>
      <c r="I159" t="n">
        <v>0.44237</v>
      </c>
      <c r="J159" t="n">
        <v>0.88231</v>
      </c>
      <c r="K159" t="n">
        <v>-0.86548</v>
      </c>
      <c r="L159" t="n">
        <v>-0.26374</v>
      </c>
      <c r="M159" t="n">
        <v>-3.4786</v>
      </c>
      <c r="N159" t="n">
        <v>-2.505</v>
      </c>
      <c r="O159" t="n">
        <v>-0.52981</v>
      </c>
      <c r="P159" t="n">
        <v>1.1783</v>
      </c>
      <c r="Q159" t="n">
        <v>-0.66043</v>
      </c>
      <c r="R159" t="n">
        <v>-0.17023</v>
      </c>
      <c r="S159" t="n">
        <v>-0.24103</v>
      </c>
      <c r="T159" t="n">
        <v>-0.18295</v>
      </c>
      <c r="U159" t="n">
        <v>-0.63827</v>
      </c>
      <c r="V159" t="n">
        <v>-0.17184</v>
      </c>
      <c r="W159" t="n">
        <v>-0.53165</v>
      </c>
      <c r="X159" t="n">
        <v>0.12935</v>
      </c>
      <c r="Y159" t="n">
        <v>1.6132</v>
      </c>
      <c r="Z159" t="n">
        <v>0.65708</v>
      </c>
    </row>
    <row r="160">
      <c r="A160" t="inlineStr">
        <is>
          <t>round</t>
        </is>
      </c>
      <c r="B160" t="n">
        <v>-0.74681</v>
      </c>
      <c r="C160" t="n">
        <v>0.40575</v>
      </c>
      <c r="D160" t="n">
        <v>0.76244</v>
      </c>
      <c r="E160" t="n">
        <v>-0.49926</v>
      </c>
      <c r="F160" t="n">
        <v>-0.067388</v>
      </c>
      <c r="G160" t="n">
        <v>0.67975</v>
      </c>
      <c r="H160" t="n">
        <v>0.25426</v>
      </c>
      <c r="I160" t="n">
        <v>-0.41372</v>
      </c>
      <c r="J160" t="n">
        <v>0.15444</v>
      </c>
      <c r="K160" t="n">
        <v>-0.17953</v>
      </c>
      <c r="L160" t="n">
        <v>-0.17474</v>
      </c>
      <c r="M160" t="n">
        <v>0.29889</v>
      </c>
      <c r="N160" t="n">
        <v>-3.9994</v>
      </c>
      <c r="O160" t="n">
        <v>0.72436</v>
      </c>
      <c r="P160" t="n">
        <v>0.14442</v>
      </c>
      <c r="Q160" t="n">
        <v>-0.0068141</v>
      </c>
      <c r="R160" t="n">
        <v>0.21504</v>
      </c>
      <c r="S160" t="n">
        <v>-0.74715</v>
      </c>
      <c r="T160" t="n">
        <v>-0.62657</v>
      </c>
      <c r="U160" t="n">
        <v>0.19542</v>
      </c>
      <c r="V160" t="n">
        <v>-1.0239</v>
      </c>
      <c r="W160" t="n">
        <v>0.33997</v>
      </c>
      <c r="X160" t="n">
        <v>1.563</v>
      </c>
      <c r="Y160" t="n">
        <v>-0.33633</v>
      </c>
      <c r="Z160" t="n">
        <v>0.046848</v>
      </c>
    </row>
    <row r="161">
      <c r="A161" t="inlineStr">
        <is>
          <t>match</t>
        </is>
      </c>
      <c r="B161" t="n">
        <v>0.39304</v>
      </c>
      <c r="C161" t="n">
        <v>0.0012018</v>
      </c>
      <c r="D161" t="n">
        <v>-0.96841</v>
      </c>
      <c r="E161" t="n">
        <v>-1.1391</v>
      </c>
      <c r="F161" t="n">
        <v>-0.71713</v>
      </c>
      <c r="G161" t="n">
        <v>0.4382</v>
      </c>
      <c r="H161" t="n">
        <v>0.14696</v>
      </c>
      <c r="I161" t="n">
        <v>0.079529</v>
      </c>
      <c r="J161" t="n">
        <v>-0.052263</v>
      </c>
      <c r="K161" t="n">
        <v>-0.6601399999999999</v>
      </c>
      <c r="L161" t="n">
        <v>0.39686</v>
      </c>
      <c r="M161" t="n">
        <v>0.51126</v>
      </c>
      <c r="N161" t="n">
        <v>-3.5505</v>
      </c>
      <c r="O161" t="n">
        <v>1.4328</v>
      </c>
      <c r="P161" t="n">
        <v>0.85057</v>
      </c>
      <c r="Q161" t="n">
        <v>0.99775</v>
      </c>
      <c r="R161" t="n">
        <v>-0.32376</v>
      </c>
      <c r="S161" t="n">
        <v>-0.90502</v>
      </c>
      <c r="T161" t="n">
        <v>-1.9819</v>
      </c>
      <c r="U161" t="n">
        <v>0.4701</v>
      </c>
      <c r="V161" t="n">
        <v>-1.4068</v>
      </c>
      <c r="W161" t="n">
        <v>0.50179</v>
      </c>
      <c r="X161" t="n">
        <v>0.49189</v>
      </c>
      <c r="Y161" t="n">
        <v>-0.83705</v>
      </c>
      <c r="Z161" t="n">
        <v>-0.33304</v>
      </c>
    </row>
    <row r="162">
      <c r="A162" t="inlineStr">
        <is>
          <t>boss</t>
        </is>
      </c>
      <c r="B162" t="n">
        <v>-0.31842</v>
      </c>
      <c r="C162" t="n">
        <v>0.68676</v>
      </c>
      <c r="D162" t="n">
        <v>-0.51459</v>
      </c>
      <c r="E162" t="n">
        <v>-0.34333</v>
      </c>
      <c r="F162" t="n">
        <v>-0.2864</v>
      </c>
      <c r="G162" t="n">
        <v>-0.20492</v>
      </c>
      <c r="H162" t="n">
        <v>0.16199</v>
      </c>
      <c r="I162" t="n">
        <v>0.84884</v>
      </c>
      <c r="J162" t="n">
        <v>0.28903</v>
      </c>
      <c r="K162" t="n">
        <v>0.21677</v>
      </c>
      <c r="L162" t="n">
        <v>-0.31534</v>
      </c>
      <c r="M162" t="n">
        <v>0.44832</v>
      </c>
      <c r="N162" t="n">
        <v>-3.4762</v>
      </c>
      <c r="O162" t="n">
        <v>-0.0762</v>
      </c>
      <c r="P162" t="n">
        <v>0.88291</v>
      </c>
      <c r="Q162" t="n">
        <v>-0.14146</v>
      </c>
      <c r="R162" t="n">
        <v>0.42844</v>
      </c>
      <c r="S162" t="n">
        <v>-0.91535</v>
      </c>
      <c r="T162" t="n">
        <v>-0.92923</v>
      </c>
      <c r="U162" t="n">
        <v>0.28549</v>
      </c>
      <c r="V162" t="n">
        <v>0.34761</v>
      </c>
      <c r="W162" t="n">
        <v>0.58546</v>
      </c>
      <c r="X162" t="n">
        <v>-0.26337</v>
      </c>
      <c r="Y162" t="n">
        <v>-0.20295</v>
      </c>
      <c r="Z162" t="n">
        <v>-0.28849</v>
      </c>
    </row>
    <row r="163">
      <c r="A163" t="inlineStr">
        <is>
          <t>shows</t>
        </is>
      </c>
      <c r="B163" t="n">
        <v>1.1687</v>
      </c>
      <c r="C163" t="n">
        <v>-0.08859499999999999</v>
      </c>
      <c r="D163" t="n">
        <v>0.88752</v>
      </c>
      <c r="E163" t="n">
        <v>-0.4041</v>
      </c>
      <c r="F163" t="n">
        <v>0.79915</v>
      </c>
      <c r="G163" t="n">
        <v>-0.14131</v>
      </c>
      <c r="H163" t="n">
        <v>1.1989</v>
      </c>
      <c r="I163" t="n">
        <v>-0.79636</v>
      </c>
      <c r="J163" t="n">
        <v>-0.19018</v>
      </c>
      <c r="K163" t="n">
        <v>-1.0963</v>
      </c>
      <c r="L163" t="n">
        <v>0.012972</v>
      </c>
      <c r="M163" t="n">
        <v>-0.42616</v>
      </c>
      <c r="N163" t="n">
        <v>-3.8783</v>
      </c>
      <c r="O163" t="n">
        <v>0.44686</v>
      </c>
      <c r="P163" t="n">
        <v>-0.034906</v>
      </c>
      <c r="Q163" t="n">
        <v>0.015831</v>
      </c>
      <c r="R163" t="n">
        <v>-0.66665</v>
      </c>
      <c r="S163" t="n">
        <v>0.0064478</v>
      </c>
      <c r="T163" t="n">
        <v>0.0631</v>
      </c>
      <c r="U163" t="n">
        <v>-0.60387</v>
      </c>
      <c r="V163" t="n">
        <v>-0.31016</v>
      </c>
      <c r="W163" t="n">
        <v>-0.07467799999999999</v>
      </c>
      <c r="X163" t="n">
        <v>-0.3564</v>
      </c>
      <c r="Y163" t="n">
        <v>-0.62162</v>
      </c>
      <c r="Z163" t="n">
        <v>-0.065398</v>
      </c>
    </row>
    <row r="164">
      <c r="A164" t="inlineStr">
        <is>
          <t>clothes</t>
        </is>
      </c>
      <c r="B164" t="n">
        <v>-1.0323</v>
      </c>
      <c r="C164" t="n">
        <v>-0.16899</v>
      </c>
      <c r="D164" t="n">
        <v>0.6190600000000001</v>
      </c>
      <c r="E164" t="n">
        <v>-0.48984</v>
      </c>
      <c r="F164" t="n">
        <v>0.78803</v>
      </c>
      <c r="G164" t="n">
        <v>0.56856</v>
      </c>
      <c r="H164" t="n">
        <v>0.6432099999999999</v>
      </c>
      <c r="I164" t="n">
        <v>-1.9082</v>
      </c>
      <c r="J164" t="n">
        <v>-0.76225</v>
      </c>
      <c r="K164" t="n">
        <v>0.65583</v>
      </c>
      <c r="L164" t="n">
        <v>-0.085353</v>
      </c>
      <c r="M164" t="n">
        <v>-0.5077199999999999</v>
      </c>
      <c r="N164" t="n">
        <v>-4.1939</v>
      </c>
      <c r="O164" t="n">
        <v>-0.73514</v>
      </c>
      <c r="P164" t="n">
        <v>-0.82979</v>
      </c>
      <c r="Q164" t="n">
        <v>0.31707</v>
      </c>
      <c r="R164" t="n">
        <v>0.7665999999999999</v>
      </c>
      <c r="S164" t="n">
        <v>-1.5069</v>
      </c>
      <c r="T164" t="n">
        <v>0.04832</v>
      </c>
      <c r="U164" t="n">
        <v>0.19709</v>
      </c>
      <c r="V164" t="n">
        <v>-0.46408</v>
      </c>
      <c r="W164" t="n">
        <v>-0.048761</v>
      </c>
      <c r="X164" t="n">
        <v>0.58434</v>
      </c>
      <c r="Y164" t="n">
        <v>0.31618</v>
      </c>
      <c r="Z164" t="n">
        <v>-0.62349</v>
      </c>
    </row>
    <row r="165">
      <c r="A165" t="inlineStr">
        <is>
          <t>throw</t>
        </is>
      </c>
      <c r="B165" t="n">
        <v>-0.093499</v>
      </c>
      <c r="C165" t="n">
        <v>0.81163</v>
      </c>
      <c r="D165" t="n">
        <v>0.50686</v>
      </c>
      <c r="E165" t="n">
        <v>0.70394</v>
      </c>
      <c r="F165" t="n">
        <v>-0.47586</v>
      </c>
      <c r="G165" t="n">
        <v>0.43752</v>
      </c>
      <c r="H165" t="n">
        <v>0.9004799999999999</v>
      </c>
      <c r="I165" t="n">
        <v>-0.84243</v>
      </c>
      <c r="J165" t="n">
        <v>0.23298</v>
      </c>
      <c r="K165" t="n">
        <v>-0.060965</v>
      </c>
      <c r="L165" t="n">
        <v>0.13304</v>
      </c>
      <c r="M165" t="n">
        <v>0.60487</v>
      </c>
      <c r="N165" t="n">
        <v>-4.1322</v>
      </c>
      <c r="O165" t="n">
        <v>-0.41924</v>
      </c>
      <c r="P165" t="n">
        <v>-0.16121</v>
      </c>
      <c r="Q165" t="n">
        <v>0.18289</v>
      </c>
      <c r="R165" t="n">
        <v>0.8187</v>
      </c>
      <c r="S165" t="n">
        <v>-1.3616</v>
      </c>
      <c r="T165" t="n">
        <v>-0.067428</v>
      </c>
      <c r="U165" t="n">
        <v>-0.43454</v>
      </c>
      <c r="V165" t="n">
        <v>-0.2258</v>
      </c>
      <c r="W165" t="n">
        <v>0.8962599999999999</v>
      </c>
      <c r="X165" t="n">
        <v>1.9278</v>
      </c>
      <c r="Y165" t="n">
        <v>-0.19795</v>
      </c>
      <c r="Z165" t="n">
        <v>-0.11904</v>
      </c>
    </row>
    <row r="166">
      <c r="A166" t="inlineStr">
        <is>
          <t>thoughts</t>
        </is>
      </c>
      <c r="B166" t="n">
        <v>-0.18828</v>
      </c>
      <c r="C166" t="n">
        <v>0.38131</v>
      </c>
      <c r="D166" t="n">
        <v>-0.17412</v>
      </c>
      <c r="E166" t="n">
        <v>1.2872</v>
      </c>
      <c r="F166" t="n">
        <v>0.22122</v>
      </c>
      <c r="G166" t="n">
        <v>0.40871</v>
      </c>
      <c r="H166" t="n">
        <v>2.0001</v>
      </c>
      <c r="I166" t="n">
        <v>-0.9371699999999999</v>
      </c>
      <c r="J166" t="n">
        <v>-0.29196</v>
      </c>
      <c r="K166" t="n">
        <v>-0.37645</v>
      </c>
      <c r="L166" t="n">
        <v>-0.77242</v>
      </c>
      <c r="M166" t="n">
        <v>0.77244</v>
      </c>
      <c r="N166" t="n">
        <v>-3.5705</v>
      </c>
      <c r="O166" t="n">
        <v>1.1158</v>
      </c>
      <c r="P166" t="n">
        <v>0.33211</v>
      </c>
      <c r="Q166" t="n">
        <v>0.37446</v>
      </c>
      <c r="R166" t="n">
        <v>-0.13665</v>
      </c>
      <c r="S166" t="n">
        <v>-0.064286</v>
      </c>
      <c r="T166" t="n">
        <v>0.66213</v>
      </c>
      <c r="U166" t="n">
        <v>-0.51703</v>
      </c>
      <c r="V166" t="n">
        <v>0.309</v>
      </c>
      <c r="W166" t="n">
        <v>-0.403</v>
      </c>
      <c r="X166" t="n">
        <v>-0.025331</v>
      </c>
      <c r="Y166" t="n">
        <v>-0.2622</v>
      </c>
      <c r="Z166" t="n">
        <v>-0.74351</v>
      </c>
    </row>
    <row r="167">
      <c r="A167" t="inlineStr">
        <is>
          <t>texting</t>
        </is>
      </c>
      <c r="B167" t="n">
        <v>-0.45353</v>
      </c>
      <c r="C167" t="n">
        <v>1.4179</v>
      </c>
      <c r="D167" t="n">
        <v>0.96606</v>
      </c>
      <c r="E167" t="n">
        <v>0.68107</v>
      </c>
      <c r="F167" t="n">
        <v>0.57283</v>
      </c>
      <c r="G167" t="n">
        <v>0.28627</v>
      </c>
      <c r="H167" t="n">
        <v>1.3064</v>
      </c>
      <c r="I167" t="n">
        <v>-0.72339</v>
      </c>
      <c r="J167" t="n">
        <v>-0.6109</v>
      </c>
      <c r="K167" t="n">
        <v>0.86472</v>
      </c>
      <c r="L167" t="n">
        <v>-1.5098</v>
      </c>
      <c r="M167" t="n">
        <v>0.65145</v>
      </c>
      <c r="N167" t="n">
        <v>-3.1998</v>
      </c>
      <c r="O167" t="n">
        <v>-1.3259</v>
      </c>
      <c r="P167" t="n">
        <v>0.48643</v>
      </c>
      <c r="Q167" t="n">
        <v>1.1933</v>
      </c>
      <c r="R167" t="n">
        <v>-0.42454</v>
      </c>
      <c r="S167" t="n">
        <v>-0.63197</v>
      </c>
      <c r="T167" t="n">
        <v>-0.10759</v>
      </c>
      <c r="U167" t="n">
        <v>-1.0228</v>
      </c>
      <c r="V167" t="n">
        <v>0.93809</v>
      </c>
      <c r="W167" t="n">
        <v>-0.61211</v>
      </c>
      <c r="X167" t="n">
        <v>-0.016724</v>
      </c>
      <c r="Y167" t="n">
        <v>-0.24139</v>
      </c>
      <c r="Z167" t="n">
        <v>-1.4808</v>
      </c>
    </row>
    <row r="168">
      <c r="A168" t="inlineStr">
        <is>
          <t>thursday</t>
        </is>
      </c>
      <c r="B168" t="n">
        <v>-0.81878</v>
      </c>
      <c r="C168" t="n">
        <v>0.76539</v>
      </c>
      <c r="D168" t="n">
        <v>0.41181</v>
      </c>
      <c r="E168" t="n">
        <v>-1.1554</v>
      </c>
      <c r="F168" t="n">
        <v>0.22093</v>
      </c>
      <c r="G168" t="n">
        <v>-0.73143</v>
      </c>
      <c r="H168" t="n">
        <v>1.7047</v>
      </c>
      <c r="I168" t="n">
        <v>-0.62448</v>
      </c>
      <c r="J168" t="n">
        <v>-0.34001</v>
      </c>
      <c r="K168" t="n">
        <v>-0.24932</v>
      </c>
      <c r="L168" t="n">
        <v>-0.46008</v>
      </c>
      <c r="M168" t="n">
        <v>0.36927</v>
      </c>
      <c r="N168" t="n">
        <v>-3.3686</v>
      </c>
      <c r="O168" t="n">
        <v>1.1328</v>
      </c>
      <c r="P168" t="n">
        <v>0.84949</v>
      </c>
      <c r="Q168" t="n">
        <v>-0.6085199999999999</v>
      </c>
      <c r="R168" t="n">
        <v>0.43005</v>
      </c>
      <c r="S168" t="n">
        <v>-0.8673999999999999</v>
      </c>
      <c r="T168" t="n">
        <v>-1.0757</v>
      </c>
      <c r="U168" t="n">
        <v>-0.01617</v>
      </c>
      <c r="V168" t="n">
        <v>-0.6631</v>
      </c>
      <c r="W168" t="n">
        <v>-0.64081</v>
      </c>
      <c r="X168" t="n">
        <v>0.65551</v>
      </c>
      <c r="Y168" t="n">
        <v>0.27387</v>
      </c>
      <c r="Z168" t="n">
        <v>0.83179</v>
      </c>
    </row>
    <row r="169">
      <c r="A169" t="inlineStr">
        <is>
          <t>whatsapp</t>
        </is>
      </c>
      <c r="B169" t="n">
        <v>1.865</v>
      </c>
      <c r="C169" t="n">
        <v>0.6414</v>
      </c>
      <c r="D169" t="n">
        <v>0.56377</v>
      </c>
      <c r="E169" t="n">
        <v>0.011889</v>
      </c>
      <c r="F169" t="n">
        <v>1.0863</v>
      </c>
      <c r="G169" t="n">
        <v>-0.10846</v>
      </c>
      <c r="H169" t="n">
        <v>-0.93687</v>
      </c>
      <c r="I169" t="n">
        <v>1.5482</v>
      </c>
      <c r="J169" t="n">
        <v>-0.41065</v>
      </c>
      <c r="K169" t="n">
        <v>0.74116</v>
      </c>
      <c r="L169" t="n">
        <v>0.22732</v>
      </c>
      <c r="M169" t="n">
        <v>-0.9664</v>
      </c>
      <c r="N169" t="n">
        <v>-2.1279</v>
      </c>
      <c r="O169" t="n">
        <v>-1.3198</v>
      </c>
      <c r="P169" t="n">
        <v>0.25663</v>
      </c>
      <c r="Q169" t="n">
        <v>0.6442</v>
      </c>
      <c r="R169" t="n">
        <v>0.65948</v>
      </c>
      <c r="S169" t="n">
        <v>0.27613</v>
      </c>
      <c r="T169" t="n">
        <v>-0.59845</v>
      </c>
      <c r="U169" t="n">
        <v>-0.73565</v>
      </c>
      <c r="V169" t="n">
        <v>0.59431</v>
      </c>
      <c r="W169" t="n">
        <v>-1.4736</v>
      </c>
      <c r="X169" t="n">
        <v>-0.1373</v>
      </c>
      <c r="Y169" t="n">
        <v>0.88483</v>
      </c>
      <c r="Z169" t="n">
        <v>-0.77323</v>
      </c>
    </row>
    <row r="170">
      <c r="A170" t="inlineStr">
        <is>
          <t>followme</t>
        </is>
      </c>
      <c r="B170" t="n">
        <v>0.1544</v>
      </c>
      <c r="C170" t="n">
        <v>0.48936</v>
      </c>
      <c r="D170" t="n">
        <v>-1.0324</v>
      </c>
      <c r="E170" t="n">
        <v>-1.387</v>
      </c>
      <c r="F170" t="n">
        <v>-0.77101</v>
      </c>
      <c r="G170" t="n">
        <v>-0.58331</v>
      </c>
      <c r="H170" t="n">
        <v>0.37465</v>
      </c>
      <c r="I170" t="n">
        <v>0.6097399999999999</v>
      </c>
      <c r="J170" t="n">
        <v>-0.83457</v>
      </c>
      <c r="K170" t="n">
        <v>-0.25333</v>
      </c>
      <c r="L170" t="n">
        <v>-0.8683</v>
      </c>
      <c r="M170" t="n">
        <v>0.57287</v>
      </c>
      <c r="N170" t="n">
        <v>-1.6716</v>
      </c>
      <c r="O170" t="n">
        <v>-1.0556</v>
      </c>
      <c r="P170" t="n">
        <v>-1.8193</v>
      </c>
      <c r="Q170" t="n">
        <v>-0.14307</v>
      </c>
      <c r="R170" t="n">
        <v>-0.67314</v>
      </c>
      <c r="S170" t="n">
        <v>-1.2572</v>
      </c>
      <c r="T170" t="n">
        <v>-0.308</v>
      </c>
      <c r="U170" t="n">
        <v>0.95253</v>
      </c>
      <c r="V170" t="n">
        <v>-0.13801</v>
      </c>
      <c r="W170" t="n">
        <v>-2.7955</v>
      </c>
      <c r="X170" t="n">
        <v>0.0062109</v>
      </c>
      <c r="Y170" t="n">
        <v>-0.65481</v>
      </c>
      <c r="Z170" t="n">
        <v>-0.10622</v>
      </c>
    </row>
    <row r="171">
      <c r="A171" t="inlineStr">
        <is>
          <t>history</t>
        </is>
      </c>
      <c r="B171" t="n">
        <v>1.2712</v>
      </c>
      <c r="C171" t="n">
        <v>0.24266</v>
      </c>
      <c r="D171" t="n">
        <v>0.22238</v>
      </c>
      <c r="E171" t="n">
        <v>-0.661</v>
      </c>
      <c r="F171" t="n">
        <v>0.44286</v>
      </c>
      <c r="G171" t="n">
        <v>-0.59389</v>
      </c>
      <c r="H171" t="n">
        <v>1.6355</v>
      </c>
      <c r="I171" t="n">
        <v>-0.30264</v>
      </c>
      <c r="J171" t="n">
        <v>0.28732</v>
      </c>
      <c r="K171" t="n">
        <v>-0.59472</v>
      </c>
      <c r="L171" t="n">
        <v>0.046785</v>
      </c>
      <c r="M171" t="n">
        <v>0.6049600000000001</v>
      </c>
      <c r="N171" t="n">
        <v>-3.8291</v>
      </c>
      <c r="O171" t="n">
        <v>0.9782</v>
      </c>
      <c r="P171" t="n">
        <v>1.1357</v>
      </c>
      <c r="Q171" t="n">
        <v>0.011575</v>
      </c>
      <c r="R171" t="n">
        <v>0.12622</v>
      </c>
      <c r="S171" t="n">
        <v>0.45198</v>
      </c>
      <c r="T171" t="n">
        <v>0.23513</v>
      </c>
      <c r="U171" t="n">
        <v>0.040956</v>
      </c>
      <c r="V171" t="n">
        <v>-0.88458</v>
      </c>
      <c r="W171" t="n">
        <v>0.21585</v>
      </c>
      <c r="X171" t="n">
        <v>-0.5444</v>
      </c>
      <c r="Y171" t="n">
        <v>-0.55018</v>
      </c>
      <c r="Z171" t="n">
        <v>-0.14772</v>
      </c>
    </row>
    <row r="172">
      <c r="A172" t="inlineStr">
        <is>
          <t>shout</t>
        </is>
      </c>
      <c r="B172" t="n">
        <v>-0.63385</v>
      </c>
      <c r="C172" t="n">
        <v>1.4862</v>
      </c>
      <c r="D172" t="n">
        <v>0.044072</v>
      </c>
      <c r="E172" t="n">
        <v>0.053509</v>
      </c>
      <c r="F172" t="n">
        <v>0.21276</v>
      </c>
      <c r="G172" t="n">
        <v>-0.63619</v>
      </c>
      <c r="H172" t="n">
        <v>1.1462</v>
      </c>
      <c r="I172" t="n">
        <v>0.044281</v>
      </c>
      <c r="J172" t="n">
        <v>-1.047</v>
      </c>
      <c r="K172" t="n">
        <v>-0.27095</v>
      </c>
      <c r="L172" t="n">
        <v>-0.8015</v>
      </c>
      <c r="M172" t="n">
        <v>0.2522</v>
      </c>
      <c r="N172" t="n">
        <v>-3.0719</v>
      </c>
      <c r="O172" t="n">
        <v>-0.099022</v>
      </c>
      <c r="P172" t="n">
        <v>-0.83805</v>
      </c>
      <c r="Q172" t="n">
        <v>-0.028291</v>
      </c>
      <c r="R172" t="n">
        <v>0.032069</v>
      </c>
      <c r="S172" t="n">
        <v>-1.2078</v>
      </c>
      <c r="T172" t="n">
        <v>-0.6392099999999999</v>
      </c>
      <c r="U172" t="n">
        <v>0.1341</v>
      </c>
      <c r="V172" t="n">
        <v>0.21111</v>
      </c>
      <c r="W172" t="n">
        <v>-0.37752</v>
      </c>
      <c r="X172" t="n">
        <v>0.34497</v>
      </c>
      <c r="Y172" t="n">
        <v>-0.30442</v>
      </c>
      <c r="Z172" t="n">
        <v>-0.075099</v>
      </c>
    </row>
    <row r="173">
      <c r="A173" t="inlineStr">
        <is>
          <t>cake</t>
        </is>
      </c>
      <c r="B173" t="n">
        <v>-1.0327</v>
      </c>
      <c r="C173" t="n">
        <v>0.06449000000000001</v>
      </c>
      <c r="D173" t="n">
        <v>0.8070000000000001</v>
      </c>
      <c r="E173" t="n">
        <v>0.89793</v>
      </c>
      <c r="F173" t="n">
        <v>0.055082</v>
      </c>
      <c r="G173" t="n">
        <v>0.49512</v>
      </c>
      <c r="H173" t="n">
        <v>1.4572</v>
      </c>
      <c r="I173" t="n">
        <v>-0.53937</v>
      </c>
      <c r="J173" t="n">
        <v>0.07371800000000001</v>
      </c>
      <c r="K173" t="n">
        <v>0.11263</v>
      </c>
      <c r="L173" t="n">
        <v>0.9535</v>
      </c>
      <c r="M173" t="n">
        <v>-0.22359</v>
      </c>
      <c r="N173" t="n">
        <v>-3.2569</v>
      </c>
      <c r="O173" t="n">
        <v>-1.0959</v>
      </c>
      <c r="P173" t="n">
        <v>-0.24933</v>
      </c>
      <c r="Q173" t="n">
        <v>0.15011</v>
      </c>
      <c r="R173" t="n">
        <v>1.5693</v>
      </c>
      <c r="S173" t="n">
        <v>-1.3038</v>
      </c>
      <c r="T173" t="n">
        <v>-0.43958</v>
      </c>
      <c r="U173" t="n">
        <v>0.86215</v>
      </c>
      <c r="V173" t="n">
        <v>-0.90223</v>
      </c>
      <c r="W173" t="n">
        <v>0.25763</v>
      </c>
      <c r="X173" t="n">
        <v>-0.58111</v>
      </c>
      <c r="Y173" t="n">
        <v>1.1424</v>
      </c>
      <c r="Z173" t="n">
        <v>0.80876</v>
      </c>
    </row>
    <row r="174">
      <c r="A174" t="inlineStr">
        <is>
          <t>collected</t>
        </is>
      </c>
      <c r="B174" t="n">
        <v>0.24111</v>
      </c>
      <c r="C174" t="n">
        <v>0.041231</v>
      </c>
      <c r="D174" t="n">
        <v>0.12541</v>
      </c>
      <c r="E174" t="n">
        <v>-0.41972</v>
      </c>
      <c r="F174" t="n">
        <v>-0.00040917</v>
      </c>
      <c r="G174" t="n">
        <v>-0.014043</v>
      </c>
      <c r="H174" t="n">
        <v>-0.20279</v>
      </c>
      <c r="I174" t="n">
        <v>-2.262</v>
      </c>
      <c r="J174" t="n">
        <v>-0.7803600000000001</v>
      </c>
      <c r="K174" t="n">
        <v>-0.38037</v>
      </c>
      <c r="L174" t="n">
        <v>1.3979</v>
      </c>
      <c r="M174" t="n">
        <v>0.39997</v>
      </c>
      <c r="N174" t="n">
        <v>-2.0051</v>
      </c>
      <c r="O174" t="n">
        <v>0.38144</v>
      </c>
      <c r="P174" t="n">
        <v>-1.4026</v>
      </c>
      <c r="Q174" t="n">
        <v>0.36226</v>
      </c>
      <c r="R174" t="n">
        <v>0.95433</v>
      </c>
      <c r="S174" t="n">
        <v>0.64345</v>
      </c>
      <c r="T174" t="n">
        <v>1.0492</v>
      </c>
      <c r="U174" t="n">
        <v>-0.90257</v>
      </c>
      <c r="V174" t="n">
        <v>-0.62438</v>
      </c>
      <c r="W174" t="n">
        <v>-0.83396</v>
      </c>
      <c r="X174" t="n">
        <v>-0.24754</v>
      </c>
      <c r="Y174" t="n">
        <v>0.48473</v>
      </c>
      <c r="Z174" t="n">
        <v>-0.59433</v>
      </c>
    </row>
    <row r="175">
      <c r="A175" t="inlineStr">
        <is>
          <t>children</t>
        </is>
      </c>
      <c r="B175" t="n">
        <v>-0.54012</v>
      </c>
      <c r="C175" t="n">
        <v>0.29523</v>
      </c>
      <c r="D175" t="n">
        <v>-0.12819</v>
      </c>
      <c r="E175" t="n">
        <v>0.42327</v>
      </c>
      <c r="F175" t="n">
        <v>0.62131</v>
      </c>
      <c r="G175" t="n">
        <v>-0.7131999999999999</v>
      </c>
      <c r="H175" t="n">
        <v>1.1946</v>
      </c>
      <c r="I175" t="n">
        <v>-1.1596</v>
      </c>
      <c r="J175" t="n">
        <v>-0.32248</v>
      </c>
      <c r="K175" t="n">
        <v>0.43576</v>
      </c>
      <c r="L175" t="n">
        <v>0.072544</v>
      </c>
      <c r="M175" t="n">
        <v>-0.16153</v>
      </c>
      <c r="N175" t="n">
        <v>-4.0564</v>
      </c>
      <c r="O175" t="n">
        <v>0.71535</v>
      </c>
      <c r="P175" t="n">
        <v>-0.59013</v>
      </c>
      <c r="Q175" t="n">
        <v>-0.60998</v>
      </c>
      <c r="R175" t="n">
        <v>0.44938</v>
      </c>
      <c r="S175" t="n">
        <v>0.017733</v>
      </c>
      <c r="T175" t="n">
        <v>1.0783</v>
      </c>
      <c r="U175" t="n">
        <v>-0.93363</v>
      </c>
      <c r="V175" t="n">
        <v>0.21728</v>
      </c>
      <c r="W175" t="n">
        <v>-0.0163</v>
      </c>
      <c r="X175" t="n">
        <v>-1.2319</v>
      </c>
      <c r="Y175" t="n">
        <v>-1.5189</v>
      </c>
      <c r="Z175" t="n">
        <v>0.44527</v>
      </c>
    </row>
    <row r="176">
      <c r="A176" t="inlineStr">
        <is>
          <t>beauty</t>
        </is>
      </c>
      <c r="B176" t="n">
        <v>-1.1144</v>
      </c>
      <c r="C176" t="n">
        <v>-0.74766</v>
      </c>
      <c r="D176" t="n">
        <v>-0.60011</v>
      </c>
      <c r="E176" t="n">
        <v>0.36229</v>
      </c>
      <c r="F176" t="n">
        <v>0.9579299999999999</v>
      </c>
      <c r="G176" t="n">
        <v>-0.10595</v>
      </c>
      <c r="H176" t="n">
        <v>1.3109</v>
      </c>
      <c r="I176" t="n">
        <v>-0.042304</v>
      </c>
      <c r="J176" t="n">
        <v>-0.094207</v>
      </c>
      <c r="K176" t="n">
        <v>-0.57126</v>
      </c>
      <c r="L176" t="n">
        <v>-0.047046</v>
      </c>
      <c r="M176" t="n">
        <v>0.32273</v>
      </c>
      <c r="N176" t="n">
        <v>-3.5531</v>
      </c>
      <c r="O176" t="n">
        <v>-0.16594</v>
      </c>
      <c r="P176" t="n">
        <v>-0.7027600000000001</v>
      </c>
      <c r="Q176" t="n">
        <v>0.22508</v>
      </c>
      <c r="R176" t="n">
        <v>0.35789</v>
      </c>
      <c r="S176" t="n">
        <v>0.14318</v>
      </c>
      <c r="T176" t="n">
        <v>0.36917</v>
      </c>
      <c r="U176" t="n">
        <v>0.78761</v>
      </c>
      <c r="V176" t="n">
        <v>-0.86654</v>
      </c>
      <c r="W176" t="n">
        <v>-0.35461</v>
      </c>
      <c r="X176" t="n">
        <v>-0.93152</v>
      </c>
      <c r="Y176" t="n">
        <v>0.29776</v>
      </c>
      <c r="Z176" t="n">
        <v>-0.17</v>
      </c>
    </row>
    <row r="177">
      <c r="A177" t="inlineStr">
        <is>
          <t>write</t>
        </is>
      </c>
      <c r="B177" t="n">
        <v>1.1652</v>
      </c>
      <c r="C177" t="n">
        <v>0.63324</v>
      </c>
      <c r="D177" t="n">
        <v>0.47338</v>
      </c>
      <c r="E177" t="n">
        <v>0.45205</v>
      </c>
      <c r="F177" t="n">
        <v>0.27021</v>
      </c>
      <c r="G177" t="n">
        <v>-1.008</v>
      </c>
      <c r="H177" t="n">
        <v>1.5281</v>
      </c>
      <c r="I177" t="n">
        <v>-1.1739</v>
      </c>
      <c r="J177" t="n">
        <v>0.25396</v>
      </c>
      <c r="K177" t="n">
        <v>-0.82042</v>
      </c>
      <c r="L177" t="n">
        <v>-0.78121</v>
      </c>
      <c r="M177" t="n">
        <v>0.78792</v>
      </c>
      <c r="N177" t="n">
        <v>-4.1194</v>
      </c>
      <c r="O177" t="n">
        <v>-0.74266</v>
      </c>
      <c r="P177" t="n">
        <v>-0.22126</v>
      </c>
      <c r="Q177" t="n">
        <v>0.49526</v>
      </c>
      <c r="R177" t="n">
        <v>0.66434</v>
      </c>
      <c r="S177" t="n">
        <v>-0.0075929</v>
      </c>
      <c r="T177" t="n">
        <v>-0.35686</v>
      </c>
      <c r="U177" t="n">
        <v>-1.0826</v>
      </c>
      <c r="V177" t="n">
        <v>-0.15331</v>
      </c>
      <c r="W177" t="n">
        <v>-0.28006</v>
      </c>
      <c r="X177" t="n">
        <v>-0.47192</v>
      </c>
      <c r="Y177" t="n">
        <v>0.59004</v>
      </c>
      <c r="Z177" t="n">
        <v>-0.61437</v>
      </c>
    </row>
    <row r="178">
      <c r="A178" t="inlineStr">
        <is>
          <t>winter</t>
        </is>
      </c>
      <c r="B178" t="n">
        <v>-0.99541</v>
      </c>
      <c r="C178" t="n">
        <v>-0.58091</v>
      </c>
      <c r="D178" t="n">
        <v>-0.20015</v>
      </c>
      <c r="E178" t="n">
        <v>-1.1311</v>
      </c>
      <c r="F178" t="n">
        <v>-0.23323</v>
      </c>
      <c r="G178" t="n">
        <v>0.8997000000000001</v>
      </c>
      <c r="H178" t="n">
        <v>1.2102</v>
      </c>
      <c r="I178" t="n">
        <v>-0.96783</v>
      </c>
      <c r="J178" t="n">
        <v>-0.26246</v>
      </c>
      <c r="K178" t="n">
        <v>-0.3539</v>
      </c>
      <c r="L178" t="n">
        <v>0.20175</v>
      </c>
      <c r="M178" t="n">
        <v>0.38503</v>
      </c>
      <c r="N178" t="n">
        <v>-3.5827</v>
      </c>
      <c r="O178" t="n">
        <v>0.7631599999999999</v>
      </c>
      <c r="P178" t="n">
        <v>-0.031194</v>
      </c>
      <c r="Q178" t="n">
        <v>-0.09278500000000001</v>
      </c>
      <c r="R178" t="n">
        <v>0.49201</v>
      </c>
      <c r="S178" t="n">
        <v>0.050903</v>
      </c>
      <c r="T178" t="n">
        <v>-0.63634</v>
      </c>
      <c r="U178" t="n">
        <v>0.6413</v>
      </c>
      <c r="V178" t="n">
        <v>-1.4666</v>
      </c>
      <c r="W178" t="n">
        <v>-0.17529</v>
      </c>
      <c r="X178" t="n">
        <v>0.39575</v>
      </c>
      <c r="Y178" t="n">
        <v>0.00067332</v>
      </c>
      <c r="Z178" t="n">
        <v>0.9363</v>
      </c>
    </row>
    <row r="179">
      <c r="A179" t="inlineStr">
        <is>
          <t>historia</t>
        </is>
      </c>
      <c r="B179" t="n">
        <v>0.99868</v>
      </c>
      <c r="C179" t="n">
        <v>-0.74351</v>
      </c>
      <c r="D179" t="n">
        <v>0.79117</v>
      </c>
      <c r="E179" t="n">
        <v>-0.5737100000000001</v>
      </c>
      <c r="F179" t="n">
        <v>1.0044</v>
      </c>
      <c r="G179" t="n">
        <v>-0.019384</v>
      </c>
      <c r="H179" t="n">
        <v>0.15108</v>
      </c>
      <c r="I179" t="n">
        <v>2.6473</v>
      </c>
      <c r="J179" t="n">
        <v>-0.43323</v>
      </c>
      <c r="K179" t="n">
        <v>-1.3994</v>
      </c>
      <c r="L179" t="n">
        <v>-0.090104</v>
      </c>
      <c r="M179" t="n">
        <v>-2.4276</v>
      </c>
      <c r="N179" t="n">
        <v>-0.99361</v>
      </c>
      <c r="O179" t="n">
        <v>0.6787300000000001</v>
      </c>
      <c r="P179" t="n">
        <v>1.1466</v>
      </c>
      <c r="Q179" t="n">
        <v>0.66626</v>
      </c>
      <c r="R179" t="n">
        <v>-0.45645</v>
      </c>
      <c r="S179" t="n">
        <v>1.8303</v>
      </c>
      <c r="T179" t="n">
        <v>0.15299</v>
      </c>
      <c r="U179" t="n">
        <v>-0.10758</v>
      </c>
      <c r="V179" t="n">
        <v>0.059124</v>
      </c>
      <c r="W179" t="n">
        <v>0.034066</v>
      </c>
      <c r="X179" t="n">
        <v>-0.25189</v>
      </c>
      <c r="Y179" t="n">
        <v>0.09486899999999999</v>
      </c>
      <c r="Z179" t="n">
        <v>0.42352</v>
      </c>
    </row>
    <row r="180">
      <c r="A180" t="inlineStr">
        <is>
          <t>thinks</t>
        </is>
      </c>
      <c r="B180" t="n">
        <v>-0.51213</v>
      </c>
      <c r="C180" t="n">
        <v>0.13056</v>
      </c>
      <c r="D180" t="n">
        <v>0.507</v>
      </c>
      <c r="E180" t="n">
        <v>-0.28644</v>
      </c>
      <c r="F180" t="n">
        <v>-0.22644</v>
      </c>
      <c r="G180" t="n">
        <v>-0.46383</v>
      </c>
      <c r="H180" t="n">
        <v>1.293</v>
      </c>
      <c r="I180" t="n">
        <v>-0.54318</v>
      </c>
      <c r="J180" t="n">
        <v>-0.61711</v>
      </c>
      <c r="K180" t="n">
        <v>-0.16926</v>
      </c>
      <c r="L180" t="n">
        <v>0.18555</v>
      </c>
      <c r="M180" t="n">
        <v>0.77829</v>
      </c>
      <c r="N180" t="n">
        <v>-4.3367</v>
      </c>
      <c r="O180" t="n">
        <v>-0.97841</v>
      </c>
      <c r="P180" t="n">
        <v>0.5822000000000001</v>
      </c>
      <c r="Q180" t="n">
        <v>0.21215</v>
      </c>
      <c r="R180" t="n">
        <v>-0.022632</v>
      </c>
      <c r="S180" t="n">
        <v>-0.16435</v>
      </c>
      <c r="T180" t="n">
        <v>0.39875</v>
      </c>
      <c r="U180" t="n">
        <v>-0.34916</v>
      </c>
      <c r="V180" t="n">
        <v>1.8047</v>
      </c>
      <c r="W180" t="n">
        <v>0.96536</v>
      </c>
      <c r="X180" t="n">
        <v>-0.20982</v>
      </c>
      <c r="Y180" t="n">
        <v>-0.32909</v>
      </c>
      <c r="Z180" t="n">
        <v>-1.2659</v>
      </c>
    </row>
    <row r="181">
      <c r="A181" t="inlineStr">
        <is>
          <t>ton</t>
        </is>
      </c>
      <c r="B181" t="n">
        <v>0.43216</v>
      </c>
      <c r="C181" t="n">
        <v>-0.2635</v>
      </c>
      <c r="D181" t="n">
        <v>-1.3114</v>
      </c>
      <c r="E181" t="n">
        <v>1.7118</v>
      </c>
      <c r="F181" t="n">
        <v>-0.01547</v>
      </c>
      <c r="G181" t="n">
        <v>0.13062</v>
      </c>
      <c r="H181" t="n">
        <v>-0.45569</v>
      </c>
      <c r="I181" t="n">
        <v>0.32537</v>
      </c>
      <c r="J181" t="n">
        <v>0.41762</v>
      </c>
      <c r="K181" t="n">
        <v>0.21788</v>
      </c>
      <c r="L181" t="n">
        <v>0.45757</v>
      </c>
      <c r="M181" t="n">
        <v>-0.15591</v>
      </c>
      <c r="N181" t="n">
        <v>-2.4304</v>
      </c>
      <c r="O181" t="n">
        <v>-0.27115</v>
      </c>
      <c r="P181" t="n">
        <v>0.44916</v>
      </c>
      <c r="Q181" t="n">
        <v>0.72143</v>
      </c>
      <c r="R181" t="n">
        <v>0.97076</v>
      </c>
      <c r="S181" t="n">
        <v>-0.65752</v>
      </c>
      <c r="T181" t="n">
        <v>-3.1843</v>
      </c>
      <c r="U181" t="n">
        <v>0.90574</v>
      </c>
      <c r="V181" t="n">
        <v>-0.17089</v>
      </c>
      <c r="W181" t="n">
        <v>-0.66892</v>
      </c>
      <c r="X181" t="n">
        <v>0.66089</v>
      </c>
      <c r="Y181" t="n">
        <v>-0.64332</v>
      </c>
      <c r="Z181" t="n">
        <v>-1.0086</v>
      </c>
    </row>
    <row r="182">
      <c r="A182" t="inlineStr">
        <is>
          <t>bought</t>
        </is>
      </c>
      <c r="B182" t="n">
        <v>-0.66179</v>
      </c>
      <c r="C182" t="n">
        <v>0.43535</v>
      </c>
      <c r="D182" t="n">
        <v>1.5052</v>
      </c>
      <c r="E182" t="n">
        <v>-0.68893</v>
      </c>
      <c r="F182" t="n">
        <v>-0.30125</v>
      </c>
      <c r="G182" t="n">
        <v>-0.21441</v>
      </c>
      <c r="H182" t="n">
        <v>0.40812</v>
      </c>
      <c r="I182" t="n">
        <v>-0.96543</v>
      </c>
      <c r="J182" t="n">
        <v>-0.8591299999999999</v>
      </c>
      <c r="K182" t="n">
        <v>-0.076279</v>
      </c>
      <c r="L182" t="n">
        <v>1.2827</v>
      </c>
      <c r="M182" t="n">
        <v>0.15245</v>
      </c>
      <c r="N182" t="n">
        <v>-4.4121</v>
      </c>
      <c r="O182" t="n">
        <v>-0.94613</v>
      </c>
      <c r="P182" t="n">
        <v>-0.38073</v>
      </c>
      <c r="Q182" t="n">
        <v>-0.19172</v>
      </c>
      <c r="R182" t="n">
        <v>1.5766</v>
      </c>
      <c r="S182" t="n">
        <v>-0.44434</v>
      </c>
      <c r="T182" t="n">
        <v>-0.053447</v>
      </c>
      <c r="U182" t="n">
        <v>0.31281</v>
      </c>
      <c r="V182" t="n">
        <v>-0.23784</v>
      </c>
      <c r="W182" t="n">
        <v>-0.065015</v>
      </c>
      <c r="X182" t="n">
        <v>0.20808</v>
      </c>
      <c r="Y182" t="n">
        <v>0.42424</v>
      </c>
      <c r="Z182" t="n">
        <v>-0.58455</v>
      </c>
    </row>
    <row r="183">
      <c r="A183" t="inlineStr">
        <is>
          <t>south</t>
        </is>
      </c>
      <c r="B183" t="n">
        <v>-0.50147</v>
      </c>
      <c r="C183" t="n">
        <v>-0.040454</v>
      </c>
      <c r="D183" t="n">
        <v>0.12161</v>
      </c>
      <c r="E183" t="n">
        <v>-1.0343</v>
      </c>
      <c r="F183" t="n">
        <v>-1.0182</v>
      </c>
      <c r="G183" t="n">
        <v>0.030346</v>
      </c>
      <c r="H183" t="n">
        <v>0.50544</v>
      </c>
      <c r="I183" t="n">
        <v>-0.39517</v>
      </c>
      <c r="J183" t="n">
        <v>0.8494699999999999</v>
      </c>
      <c r="K183" t="n">
        <v>0.1335</v>
      </c>
      <c r="L183" t="n">
        <v>-0.34451</v>
      </c>
      <c r="M183" t="n">
        <v>-0.23021</v>
      </c>
      <c r="N183" t="n">
        <v>-4.1389</v>
      </c>
      <c r="O183" t="n">
        <v>1.0818</v>
      </c>
      <c r="P183" t="n">
        <v>0.78309</v>
      </c>
      <c r="Q183" t="n">
        <v>-1.0244</v>
      </c>
      <c r="R183" t="n">
        <v>0.0010851</v>
      </c>
      <c r="S183" t="n">
        <v>0.1336</v>
      </c>
      <c r="T183" t="n">
        <v>-0.043421</v>
      </c>
      <c r="U183" t="n">
        <v>0.31936</v>
      </c>
      <c r="V183" t="n">
        <v>0.03477</v>
      </c>
      <c r="W183" t="n">
        <v>-0.50326</v>
      </c>
      <c r="X183" t="n">
        <v>0.24435</v>
      </c>
      <c r="Y183" t="n">
        <v>-1.7112</v>
      </c>
      <c r="Z183" t="n">
        <v>0.50379</v>
      </c>
    </row>
    <row r="184">
      <c r="A184" t="inlineStr">
        <is>
          <t>hermosa</t>
        </is>
      </c>
      <c r="B184" t="n">
        <v>-2.0862</v>
      </c>
      <c r="C184" t="n">
        <v>-1.2116</v>
      </c>
      <c r="D184" t="n">
        <v>0.39716</v>
      </c>
      <c r="E184" t="n">
        <v>-0.35493</v>
      </c>
      <c r="F184" t="n">
        <v>0.81508</v>
      </c>
      <c r="G184" t="n">
        <v>0.17783</v>
      </c>
      <c r="H184" t="n">
        <v>0.3147</v>
      </c>
      <c r="I184" t="n">
        <v>3.3498</v>
      </c>
      <c r="J184" t="n">
        <v>-1.5264</v>
      </c>
      <c r="K184" t="n">
        <v>-1.5121</v>
      </c>
      <c r="L184" t="n">
        <v>-0.26207</v>
      </c>
      <c r="M184" t="n">
        <v>-2.2461</v>
      </c>
      <c r="N184" t="n">
        <v>-0.83244</v>
      </c>
      <c r="O184" t="n">
        <v>-0.24752</v>
      </c>
      <c r="P184" t="n">
        <v>-0.40444</v>
      </c>
      <c r="Q184" t="n">
        <v>0.040282</v>
      </c>
      <c r="R184" t="n">
        <v>0.18024</v>
      </c>
      <c r="S184" t="n">
        <v>0.44494</v>
      </c>
      <c r="T184" t="n">
        <v>-0.086716</v>
      </c>
      <c r="U184" t="n">
        <v>1.1106</v>
      </c>
      <c r="V184" t="n">
        <v>1.5079</v>
      </c>
      <c r="W184" t="n">
        <v>-0.8399799999999999</v>
      </c>
      <c r="X184" t="n">
        <v>-0.14311</v>
      </c>
      <c r="Y184" t="n">
        <v>1.1959</v>
      </c>
      <c r="Z184" t="n">
        <v>-0.195</v>
      </c>
    </row>
    <row r="185">
      <c r="A185" t="inlineStr">
        <is>
          <t>fashion</t>
        </is>
      </c>
      <c r="B185" t="n">
        <v>-1.0618</v>
      </c>
      <c r="C185" t="n">
        <v>-0.74601</v>
      </c>
      <c r="D185" t="n">
        <v>-0.28375</v>
      </c>
      <c r="E185" t="n">
        <v>-1.2646</v>
      </c>
      <c r="F185" t="n">
        <v>1.2012</v>
      </c>
      <c r="G185" t="n">
        <v>0.11948</v>
      </c>
      <c r="H185" t="n">
        <v>0.75129</v>
      </c>
      <c r="I185" t="n">
        <v>0.22459</v>
      </c>
      <c r="J185" t="n">
        <v>0.42224</v>
      </c>
      <c r="K185" t="n">
        <v>-0.77092</v>
      </c>
      <c r="L185" t="n">
        <v>0.35408</v>
      </c>
      <c r="M185" t="n">
        <v>-0.22724</v>
      </c>
      <c r="N185" t="n">
        <v>-3.4628</v>
      </c>
      <c r="O185" t="n">
        <v>-0.54871</v>
      </c>
      <c r="P185" t="n">
        <v>-0.81186</v>
      </c>
      <c r="Q185" t="n">
        <v>0.16895</v>
      </c>
      <c r="R185" t="n">
        <v>0.0011222</v>
      </c>
      <c r="S185" t="n">
        <v>-0.7451</v>
      </c>
      <c r="T185" t="n">
        <v>-0.14037</v>
      </c>
      <c r="U185" t="n">
        <v>1.1259</v>
      </c>
      <c r="V185" t="n">
        <v>-1.1187</v>
      </c>
      <c r="W185" t="n">
        <v>-0.78684</v>
      </c>
      <c r="X185" t="n">
        <v>-1.2874</v>
      </c>
      <c r="Y185" t="n">
        <v>-0.8460299999999999</v>
      </c>
      <c r="Z185" t="n">
        <v>-0.25663</v>
      </c>
    </row>
    <row r="186">
      <c r="A186" t="inlineStr">
        <is>
          <t>born</t>
        </is>
      </c>
      <c r="B186" t="n">
        <v>-0.67841</v>
      </c>
      <c r="C186" t="n">
        <v>0.19366</v>
      </c>
      <c r="D186" t="n">
        <v>0.30038</v>
      </c>
      <c r="E186" t="n">
        <v>-0.099048</v>
      </c>
      <c r="F186" t="n">
        <v>-0.26179</v>
      </c>
      <c r="G186" t="n">
        <v>0.072268</v>
      </c>
      <c r="H186" t="n">
        <v>1.0632</v>
      </c>
      <c r="I186" t="n">
        <v>-0.044228</v>
      </c>
      <c r="J186" t="n">
        <v>-0.7202499999999999</v>
      </c>
      <c r="K186" t="n">
        <v>-0.438</v>
      </c>
      <c r="L186" t="n">
        <v>-0.056681</v>
      </c>
      <c r="M186" t="n">
        <v>0.48254</v>
      </c>
      <c r="N186" t="n">
        <v>-3.732</v>
      </c>
      <c r="O186" t="n">
        <v>0.67991</v>
      </c>
      <c r="P186" t="n">
        <v>-0.8788</v>
      </c>
      <c r="Q186" t="n">
        <v>-0.30631</v>
      </c>
      <c r="R186" t="n">
        <v>0.11481</v>
      </c>
      <c r="S186" t="n">
        <v>0.3509</v>
      </c>
      <c r="T186" t="n">
        <v>0.62715</v>
      </c>
      <c r="U186" t="n">
        <v>-0.44231</v>
      </c>
      <c r="V186" t="n">
        <v>0.35452</v>
      </c>
      <c r="W186" t="n">
        <v>0.7819700000000001</v>
      </c>
      <c r="X186" t="n">
        <v>-0.65872</v>
      </c>
      <c r="Y186" t="n">
        <v>-0.6289400000000001</v>
      </c>
      <c r="Z186" t="n">
        <v>0.55722</v>
      </c>
    </row>
    <row r="187">
      <c r="A187" t="inlineStr">
        <is>
          <t>follows</t>
        </is>
      </c>
      <c r="B187" t="n">
        <v>0.027824</v>
      </c>
      <c r="C187" t="n">
        <v>0.59168</v>
      </c>
      <c r="D187" t="n">
        <v>-0.10201</v>
      </c>
      <c r="E187" t="n">
        <v>-0.33742</v>
      </c>
      <c r="F187" t="n">
        <v>0.44085</v>
      </c>
      <c r="G187" t="n">
        <v>-1.1133</v>
      </c>
      <c r="H187" t="n">
        <v>0.73067</v>
      </c>
      <c r="I187" t="n">
        <v>-0.32137</v>
      </c>
      <c r="J187" t="n">
        <v>-1.9225</v>
      </c>
      <c r="K187" t="n">
        <v>-0.6204</v>
      </c>
      <c r="L187" t="n">
        <v>-0.092059</v>
      </c>
      <c r="M187" t="n">
        <v>-0.020257</v>
      </c>
      <c r="N187" t="n">
        <v>-2.8655</v>
      </c>
      <c r="O187" t="n">
        <v>-0.55659</v>
      </c>
      <c r="P187" t="n">
        <v>-0.86508</v>
      </c>
      <c r="Q187" t="n">
        <v>-0.033953</v>
      </c>
      <c r="R187" t="n">
        <v>-0.94234</v>
      </c>
      <c r="S187" t="n">
        <v>-1.0687</v>
      </c>
      <c r="T187" t="n">
        <v>-0.33671</v>
      </c>
      <c r="U187" t="n">
        <v>-0.57372</v>
      </c>
      <c r="V187" t="n">
        <v>0.28199</v>
      </c>
      <c r="W187" t="n">
        <v>-1.081</v>
      </c>
      <c r="X187" t="n">
        <v>0.61982</v>
      </c>
      <c r="Y187" t="n">
        <v>0.37657</v>
      </c>
      <c r="Z187" t="n">
        <v>-1.2807</v>
      </c>
    </row>
    <row r="188">
      <c r="A188" t="inlineStr">
        <is>
          <t>tom</t>
        </is>
      </c>
      <c r="B188" t="n">
        <v>-0.083805</v>
      </c>
      <c r="C188" t="n">
        <v>-0.49108</v>
      </c>
      <c r="D188" t="n">
        <v>0.86661</v>
      </c>
      <c r="E188" t="n">
        <v>-0.16877</v>
      </c>
      <c r="F188" t="n">
        <v>-0.70762</v>
      </c>
      <c r="G188" t="n">
        <v>-0.72398</v>
      </c>
      <c r="H188" t="n">
        <v>0.21294</v>
      </c>
      <c r="I188" t="n">
        <v>0.59479</v>
      </c>
      <c r="J188" t="n">
        <v>-0.15285</v>
      </c>
      <c r="K188" t="n">
        <v>-0.88798</v>
      </c>
      <c r="L188" t="n">
        <v>0.07233199999999999</v>
      </c>
      <c r="M188" t="n">
        <v>-0.1728</v>
      </c>
      <c r="N188" t="n">
        <v>-3.437</v>
      </c>
      <c r="O188" t="n">
        <v>-0.66449</v>
      </c>
      <c r="P188" t="n">
        <v>0.7680900000000001</v>
      </c>
      <c r="Q188" t="n">
        <v>-0.15099</v>
      </c>
      <c r="R188" t="n">
        <v>0.008083699999999999</v>
      </c>
      <c r="S188" t="n">
        <v>-0.2682</v>
      </c>
      <c r="T188" t="n">
        <v>-0.73492</v>
      </c>
      <c r="U188" t="n">
        <v>-0.10005</v>
      </c>
      <c r="V188" t="n">
        <v>-0.35783</v>
      </c>
      <c r="W188" t="n">
        <v>0.85378</v>
      </c>
      <c r="X188" t="n">
        <v>-0.623</v>
      </c>
      <c r="Y188" t="n">
        <v>-0.034507</v>
      </c>
      <c r="Z188" t="n">
        <v>-0.46177</v>
      </c>
    </row>
    <row r="189">
      <c r="A189" t="inlineStr">
        <is>
          <t>leaving</t>
        </is>
      </c>
      <c r="B189" t="n">
        <v>-1.2055</v>
      </c>
      <c r="C189" t="n">
        <v>0.89333</v>
      </c>
      <c r="D189" t="n">
        <v>1.2458</v>
      </c>
      <c r="E189" t="n">
        <v>-0.32013</v>
      </c>
      <c r="F189" t="n">
        <v>-0.84168</v>
      </c>
      <c r="G189" t="n">
        <v>0.07296900000000001</v>
      </c>
      <c r="H189" t="n">
        <v>0.88802</v>
      </c>
      <c r="I189" t="n">
        <v>-0.81429</v>
      </c>
      <c r="J189" t="n">
        <v>-0.3298</v>
      </c>
      <c r="K189" t="n">
        <v>0.18423</v>
      </c>
      <c r="L189" t="n">
        <v>-0.64478</v>
      </c>
      <c r="M189" t="n">
        <v>0.48154</v>
      </c>
      <c r="N189" t="n">
        <v>-4.011</v>
      </c>
      <c r="O189" t="n">
        <v>0.27961</v>
      </c>
      <c r="P189" t="n">
        <v>0.76054</v>
      </c>
      <c r="Q189" t="n">
        <v>-0.20974</v>
      </c>
      <c r="R189" t="n">
        <v>-0.18713</v>
      </c>
      <c r="S189" t="n">
        <v>-0.2064</v>
      </c>
      <c r="T189" t="n">
        <v>-0.53971</v>
      </c>
      <c r="U189" t="n">
        <v>-0.9434399999999999</v>
      </c>
      <c r="V189" t="n">
        <v>0.0063383</v>
      </c>
      <c r="W189" t="n">
        <v>-0.089616</v>
      </c>
      <c r="X189" t="n">
        <v>0.21921</v>
      </c>
      <c r="Y189" t="n">
        <v>-0.63576</v>
      </c>
      <c r="Z189" t="n">
        <v>-0.69417</v>
      </c>
    </row>
    <row r="190">
      <c r="A190" t="inlineStr">
        <is>
          <t>tears</t>
        </is>
      </c>
      <c r="B190" t="n">
        <v>-0.56525</v>
      </c>
      <c r="C190" t="n">
        <v>0.068957</v>
      </c>
      <c r="D190" t="n">
        <v>0.42862</v>
      </c>
      <c r="E190" t="n">
        <v>1.552</v>
      </c>
      <c r="F190" t="n">
        <v>-0.46803</v>
      </c>
      <c r="G190" t="n">
        <v>0.096009</v>
      </c>
      <c r="H190" t="n">
        <v>1.9082</v>
      </c>
      <c r="I190" t="n">
        <v>-0.58971</v>
      </c>
      <c r="J190" t="n">
        <v>-0.87585</v>
      </c>
      <c r="K190" t="n">
        <v>0.40541</v>
      </c>
      <c r="L190" t="n">
        <v>-0.068809</v>
      </c>
      <c r="M190" t="n">
        <v>1.2181</v>
      </c>
      <c r="N190" t="n">
        <v>-3.3164</v>
      </c>
      <c r="O190" t="n">
        <v>0.74132</v>
      </c>
      <c r="P190" t="n">
        <v>-0.40421</v>
      </c>
      <c r="Q190" t="n">
        <v>0.56543</v>
      </c>
      <c r="R190" t="n">
        <v>-0.40628</v>
      </c>
      <c r="S190" t="n">
        <v>0.46795</v>
      </c>
      <c r="T190" t="n">
        <v>0.35835</v>
      </c>
      <c r="U190" t="n">
        <v>-0.70962</v>
      </c>
      <c r="V190" t="n">
        <v>-0.2792</v>
      </c>
      <c r="W190" t="n">
        <v>0.86337</v>
      </c>
      <c r="X190" t="n">
        <v>0.99686</v>
      </c>
      <c r="Y190" t="n">
        <v>0.47448</v>
      </c>
      <c r="Z190" t="n">
        <v>0.021637</v>
      </c>
    </row>
    <row r="191">
      <c r="A191" t="inlineStr">
        <is>
          <t>watched</t>
        </is>
      </c>
      <c r="B191" t="n">
        <v>0.32954</v>
      </c>
      <c r="C191" t="n">
        <v>0.57315</v>
      </c>
      <c r="D191" t="n">
        <v>1.8943</v>
      </c>
      <c r="E191" t="n">
        <v>-0.76485</v>
      </c>
      <c r="F191" t="n">
        <v>-0.89993</v>
      </c>
      <c r="G191" t="n">
        <v>-0.26658</v>
      </c>
      <c r="H191" t="n">
        <v>1.9934</v>
      </c>
      <c r="I191" t="n">
        <v>-0.4641</v>
      </c>
      <c r="J191" t="n">
        <v>-0.97626</v>
      </c>
      <c r="K191" t="n">
        <v>-0.83539</v>
      </c>
      <c r="L191" t="n">
        <v>-0.097686</v>
      </c>
      <c r="M191" t="n">
        <v>1.099</v>
      </c>
      <c r="N191" t="n">
        <v>-3.6037</v>
      </c>
      <c r="O191" t="n">
        <v>0.13745</v>
      </c>
      <c r="P191" t="n">
        <v>0.43009</v>
      </c>
      <c r="Q191" t="n">
        <v>0.77513</v>
      </c>
      <c r="R191" t="n">
        <v>1.1387</v>
      </c>
      <c r="S191" t="n">
        <v>0.68771</v>
      </c>
      <c r="T191" t="n">
        <v>-0.48186</v>
      </c>
      <c r="U191" t="n">
        <v>-0.48434</v>
      </c>
      <c r="V191" t="n">
        <v>-0.23986</v>
      </c>
      <c r="W191" t="n">
        <v>0.50446</v>
      </c>
      <c r="X191" t="n">
        <v>-0.10909</v>
      </c>
      <c r="Y191" t="n">
        <v>-0.47322</v>
      </c>
      <c r="Z191" t="n">
        <v>0.30123</v>
      </c>
    </row>
    <row r="192">
      <c r="A192" t="inlineStr">
        <is>
          <t>service</t>
        </is>
      </c>
      <c r="B192" t="n">
        <v>-0.30753</v>
      </c>
      <c r="C192" t="n">
        <v>0.88404</v>
      </c>
      <c r="D192" t="n">
        <v>-1.0297</v>
      </c>
      <c r="E192" t="n">
        <v>-0.61819</v>
      </c>
      <c r="F192" t="n">
        <v>1.0883</v>
      </c>
      <c r="G192" t="n">
        <v>-0.51168</v>
      </c>
      <c r="H192" t="n">
        <v>0.20697</v>
      </c>
      <c r="I192" t="n">
        <v>-0.43241</v>
      </c>
      <c r="J192" t="n">
        <v>1.2657</v>
      </c>
      <c r="K192" t="n">
        <v>0.45289</v>
      </c>
      <c r="L192" t="n">
        <v>0.51967</v>
      </c>
      <c r="M192" t="n">
        <v>0.050615</v>
      </c>
      <c r="N192" t="n">
        <v>-3.8389</v>
      </c>
      <c r="O192" t="n">
        <v>0.59332</v>
      </c>
      <c r="P192" t="n">
        <v>1.0632</v>
      </c>
      <c r="Q192" t="n">
        <v>0.32348</v>
      </c>
      <c r="R192" t="n">
        <v>0.85886</v>
      </c>
      <c r="S192" t="n">
        <v>-0.043038</v>
      </c>
      <c r="T192" t="n">
        <v>-0.57752</v>
      </c>
      <c r="U192" t="n">
        <v>-0.17569</v>
      </c>
      <c r="V192" t="n">
        <v>-0.33373</v>
      </c>
      <c r="W192" t="n">
        <v>-1.6769</v>
      </c>
      <c r="X192" t="n">
        <v>-0.46403</v>
      </c>
      <c r="Y192" t="n">
        <v>-0.25104</v>
      </c>
      <c r="Z192" t="n">
        <v>-0.54795</v>
      </c>
    </row>
    <row r="193">
      <c r="A193" t="inlineStr">
        <is>
          <t>artist</t>
        </is>
      </c>
      <c r="B193" t="n">
        <v>0.025554</v>
      </c>
      <c r="C193" t="n">
        <v>0.46689</v>
      </c>
      <c r="D193" t="n">
        <v>0.32267</v>
      </c>
      <c r="E193" t="n">
        <v>-0.73581</v>
      </c>
      <c r="F193" t="n">
        <v>1.1213</v>
      </c>
      <c r="G193" t="n">
        <v>-1.0129</v>
      </c>
      <c r="H193" t="n">
        <v>0.96834</v>
      </c>
      <c r="I193" t="n">
        <v>0.29861</v>
      </c>
      <c r="J193" t="n">
        <v>0.18415</v>
      </c>
      <c r="K193" t="n">
        <v>-1.4883</v>
      </c>
      <c r="L193" t="n">
        <v>-0.15976</v>
      </c>
      <c r="M193" t="n">
        <v>0.66522</v>
      </c>
      <c r="N193" t="n">
        <v>-3.5934</v>
      </c>
      <c r="O193" t="n">
        <v>-0.30633</v>
      </c>
      <c r="P193" t="n">
        <v>-0.8745000000000001</v>
      </c>
      <c r="Q193" t="n">
        <v>0.1386</v>
      </c>
      <c r="R193" t="n">
        <v>-0.30433</v>
      </c>
      <c r="S193" t="n">
        <v>-0.27797</v>
      </c>
      <c r="T193" t="n">
        <v>0.13761</v>
      </c>
      <c r="U193" t="n">
        <v>0.75173</v>
      </c>
      <c r="V193" t="n">
        <v>-0.45556</v>
      </c>
      <c r="W193" t="n">
        <v>-0.057721</v>
      </c>
      <c r="X193" t="n">
        <v>-1.1327</v>
      </c>
      <c r="Y193" t="n">
        <v>-1.1266</v>
      </c>
      <c r="Z193" t="n">
        <v>-0.071033</v>
      </c>
    </row>
    <row r="194">
      <c r="A194" t="inlineStr">
        <is>
          <t>winning</t>
        </is>
      </c>
      <c r="B194" t="n">
        <v>0.06316099999999999</v>
      </c>
      <c r="C194" t="n">
        <v>0.98775</v>
      </c>
      <c r="D194" t="n">
        <v>-0.36752</v>
      </c>
      <c r="E194" t="n">
        <v>-1.1315</v>
      </c>
      <c r="F194" t="n">
        <v>0.10847</v>
      </c>
      <c r="G194" t="n">
        <v>0.063775</v>
      </c>
      <c r="H194" t="n">
        <v>0.97525</v>
      </c>
      <c r="I194" t="n">
        <v>-0.58848</v>
      </c>
      <c r="J194" t="n">
        <v>-0.82768</v>
      </c>
      <c r="K194" t="n">
        <v>-1.0065</v>
      </c>
      <c r="L194" t="n">
        <v>0.44988</v>
      </c>
      <c r="M194" t="n">
        <v>0.51593</v>
      </c>
      <c r="N194" t="n">
        <v>-3.9802</v>
      </c>
      <c r="O194" t="n">
        <v>0.75763</v>
      </c>
      <c r="P194" t="n">
        <v>0.61877</v>
      </c>
      <c r="Q194" t="n">
        <v>-0.51523</v>
      </c>
      <c r="R194" t="n">
        <v>-0.38782</v>
      </c>
      <c r="S194" t="n">
        <v>-0.93298</v>
      </c>
      <c r="T194" t="n">
        <v>-0.15198</v>
      </c>
      <c r="U194" t="n">
        <v>0.38975</v>
      </c>
      <c r="V194" t="n">
        <v>-1.0961</v>
      </c>
      <c r="W194" t="n">
        <v>0.7075</v>
      </c>
      <c r="X194" t="n">
        <v>0.27971</v>
      </c>
      <c r="Y194" t="n">
        <v>-0.39143</v>
      </c>
      <c r="Z194" t="n">
        <v>-0.45937</v>
      </c>
    </row>
    <row r="195">
      <c r="A195" t="inlineStr">
        <is>
          <t>earth</t>
        </is>
      </c>
      <c r="B195" t="n">
        <v>-0.33573</v>
      </c>
      <c r="C195" t="n">
        <v>-0.5295800000000001</v>
      </c>
      <c r="D195" t="n">
        <v>0.12754</v>
      </c>
      <c r="E195" t="n">
        <v>0.38944</v>
      </c>
      <c r="F195" t="n">
        <v>-0.34348</v>
      </c>
      <c r="G195" t="n">
        <v>0.10132</v>
      </c>
      <c r="H195" t="n">
        <v>1.5368</v>
      </c>
      <c r="I195" t="n">
        <v>-0.15455</v>
      </c>
      <c r="J195" t="n">
        <v>0.20551</v>
      </c>
      <c r="K195" t="n">
        <v>0.21389</v>
      </c>
      <c r="L195" t="n">
        <v>0.1052</v>
      </c>
      <c r="M195" t="n">
        <v>0.39473</v>
      </c>
      <c r="N195" t="n">
        <v>-3.499</v>
      </c>
      <c r="O195" t="n">
        <v>1.1765</v>
      </c>
      <c r="P195" t="n">
        <v>-0.66216</v>
      </c>
      <c r="Q195" t="n">
        <v>0.5492</v>
      </c>
      <c r="R195" t="n">
        <v>0.21916</v>
      </c>
      <c r="S195" t="n">
        <v>0.5746599999999999</v>
      </c>
      <c r="T195" t="n">
        <v>0.94694</v>
      </c>
      <c r="U195" t="n">
        <v>-0.10122</v>
      </c>
      <c r="V195" t="n">
        <v>-0.2059</v>
      </c>
      <c r="W195" t="n">
        <v>-0.51519</v>
      </c>
      <c r="X195" t="n">
        <v>-0.25807</v>
      </c>
      <c r="Y195" t="n">
        <v>-0.50856</v>
      </c>
      <c r="Z195" t="n">
        <v>0.24833</v>
      </c>
    </row>
    <row r="196">
      <c r="A196" t="inlineStr">
        <is>
          <t>finished</t>
        </is>
      </c>
      <c r="B196" t="n">
        <v>-0.39264</v>
      </c>
      <c r="C196" t="n">
        <v>0.9831800000000001</v>
      </c>
      <c r="D196" t="n">
        <v>1.5835</v>
      </c>
      <c r="E196" t="n">
        <v>-0.9285099999999999</v>
      </c>
      <c r="F196" t="n">
        <v>0.07020899999999999</v>
      </c>
      <c r="G196" t="n">
        <v>0.049189</v>
      </c>
      <c r="H196" t="n">
        <v>1.4713</v>
      </c>
      <c r="I196" t="n">
        <v>-1.2691</v>
      </c>
      <c r="J196" t="n">
        <v>-0.22709</v>
      </c>
      <c r="K196" t="n">
        <v>-0.46263</v>
      </c>
      <c r="L196" t="n">
        <v>0.19796</v>
      </c>
      <c r="M196" t="n">
        <v>0.71533</v>
      </c>
      <c r="N196" t="n">
        <v>-3.5684</v>
      </c>
      <c r="O196" t="n">
        <v>0.09994500000000001</v>
      </c>
      <c r="P196" t="n">
        <v>0.8439</v>
      </c>
      <c r="Q196" t="n">
        <v>-0.10481</v>
      </c>
      <c r="R196" t="n">
        <v>0.47307</v>
      </c>
      <c r="S196" t="n">
        <v>0.76827</v>
      </c>
      <c r="T196" t="n">
        <v>-0.93415</v>
      </c>
      <c r="U196" t="n">
        <v>-0.80438</v>
      </c>
      <c r="V196" t="n">
        <v>-1.0955</v>
      </c>
      <c r="W196" t="n">
        <v>0.19601</v>
      </c>
      <c r="X196" t="n">
        <v>-0.046317</v>
      </c>
      <c r="Y196" t="n">
        <v>0.89503</v>
      </c>
      <c r="Z196" t="n">
        <v>0.032714</v>
      </c>
    </row>
    <row r="197">
      <c r="A197" t="inlineStr">
        <is>
          <t>horrible</t>
        </is>
      </c>
      <c r="B197" t="n">
        <v>0.21438</v>
      </c>
      <c r="C197" t="n">
        <v>-0.6601399999999999</v>
      </c>
      <c r="D197" t="n">
        <v>-0.16823</v>
      </c>
      <c r="E197" t="n">
        <v>0.27111</v>
      </c>
      <c r="F197" t="n">
        <v>0.75163</v>
      </c>
      <c r="G197" t="n">
        <v>1.4539</v>
      </c>
      <c r="H197" t="n">
        <v>1.3342</v>
      </c>
      <c r="I197" t="n">
        <v>0.45775</v>
      </c>
      <c r="J197" t="n">
        <v>-1.0655</v>
      </c>
      <c r="K197" t="n">
        <v>-0.43815</v>
      </c>
      <c r="L197" t="n">
        <v>-0.3065</v>
      </c>
      <c r="M197" t="n">
        <v>-1.0593</v>
      </c>
      <c r="N197" t="n">
        <v>-3.0458</v>
      </c>
      <c r="O197" t="n">
        <v>0.15611</v>
      </c>
      <c r="P197" t="n">
        <v>1.9577</v>
      </c>
      <c r="Q197" t="n">
        <v>1.2217</v>
      </c>
      <c r="R197" t="n">
        <v>0.35779</v>
      </c>
      <c r="S197" t="n">
        <v>0.4452</v>
      </c>
      <c r="T197" t="n">
        <v>-0.34816</v>
      </c>
      <c r="U197" t="n">
        <v>-0.47898</v>
      </c>
      <c r="V197" t="n">
        <v>0.62939</v>
      </c>
      <c r="W197" t="n">
        <v>0.8283199999999999</v>
      </c>
      <c r="X197" t="n">
        <v>0.74702</v>
      </c>
      <c r="Y197" t="n">
        <v>0.15725</v>
      </c>
      <c r="Z197" t="n">
        <v>-0.10929</v>
      </c>
    </row>
    <row r="198">
      <c r="A198" t="inlineStr">
        <is>
          <t>tha</t>
        </is>
      </c>
      <c r="B198" t="n">
        <v>0.14541</v>
      </c>
      <c r="C198" t="n">
        <v>0.88744</v>
      </c>
      <c r="D198" t="n">
        <v>0.35771</v>
      </c>
      <c r="E198" t="n">
        <v>0.59968</v>
      </c>
      <c r="F198" t="n">
        <v>-0.36686</v>
      </c>
      <c r="G198" t="n">
        <v>0.040829</v>
      </c>
      <c r="H198" t="n">
        <v>-0.1343</v>
      </c>
      <c r="I198" t="n">
        <v>0.0038612</v>
      </c>
      <c r="J198" t="n">
        <v>0.89678</v>
      </c>
      <c r="K198" t="n">
        <v>0.60253</v>
      </c>
      <c r="L198" t="n">
        <v>-1.6821</v>
      </c>
      <c r="M198" t="n">
        <v>0.3699</v>
      </c>
      <c r="N198" t="n">
        <v>-3.9482</v>
      </c>
      <c r="O198" t="n">
        <v>0.88589</v>
      </c>
      <c r="P198" t="n">
        <v>-0.8260999999999999</v>
      </c>
      <c r="Q198" t="n">
        <v>-0.10631</v>
      </c>
      <c r="R198" t="n">
        <v>0.75911</v>
      </c>
      <c r="S198" t="n">
        <v>-0.17122</v>
      </c>
      <c r="T198" t="n">
        <v>-0.7637</v>
      </c>
      <c r="U198" t="n">
        <v>0.9781</v>
      </c>
      <c r="V198" t="n">
        <v>0.032373</v>
      </c>
      <c r="W198" t="n">
        <v>1.6305</v>
      </c>
      <c r="X198" t="n">
        <v>1.3716</v>
      </c>
      <c r="Y198" t="n">
        <v>0.21801</v>
      </c>
      <c r="Z198" t="n">
        <v>-0.31628</v>
      </c>
    </row>
    <row r="199">
      <c r="A199" t="inlineStr">
        <is>
          <t>health</t>
        </is>
      </c>
      <c r="B199" t="n">
        <v>-0.50245</v>
      </c>
      <c r="C199" t="n">
        <v>0.73513</v>
      </c>
      <c r="D199" t="n">
        <v>-2.0223</v>
      </c>
      <c r="E199" t="n">
        <v>0.035111</v>
      </c>
      <c r="F199" t="n">
        <v>1.2962</v>
      </c>
      <c r="G199" t="n">
        <v>-0.48859</v>
      </c>
      <c r="H199" t="n">
        <v>0.94489</v>
      </c>
      <c r="I199" t="n">
        <v>-1.1285</v>
      </c>
      <c r="J199" t="n">
        <v>1.0489</v>
      </c>
      <c r="K199" t="n">
        <v>0.30981</v>
      </c>
      <c r="L199" t="n">
        <v>0.20555</v>
      </c>
      <c r="M199" t="n">
        <v>-0.40283</v>
      </c>
      <c r="N199" t="n">
        <v>-3.898</v>
      </c>
      <c r="O199" t="n">
        <v>0.61878</v>
      </c>
      <c r="P199" t="n">
        <v>1.01</v>
      </c>
      <c r="Q199" t="n">
        <v>-1.4251</v>
      </c>
      <c r="R199" t="n">
        <v>0.0042893</v>
      </c>
      <c r="S199" t="n">
        <v>0.38252</v>
      </c>
      <c r="T199" t="n">
        <v>0.77385</v>
      </c>
      <c r="U199" t="n">
        <v>-0.4758</v>
      </c>
      <c r="V199" t="n">
        <v>-0.19673</v>
      </c>
      <c r="W199" t="n">
        <v>-0.66318</v>
      </c>
      <c r="X199" t="n">
        <v>-0.99531</v>
      </c>
      <c r="Y199" t="n">
        <v>-0.14017</v>
      </c>
      <c r="Z199" t="n">
        <v>0.049816</v>
      </c>
    </row>
    <row r="200">
      <c r="A200" t="inlineStr">
        <is>
          <t>interesting</t>
        </is>
      </c>
      <c r="B200" t="n">
        <v>0.68431</v>
      </c>
      <c r="C200" t="n">
        <v>-0.20727</v>
      </c>
      <c r="D200" t="n">
        <v>-0.27611</v>
      </c>
      <c r="E200" t="n">
        <v>-0.82578</v>
      </c>
      <c r="F200" t="n">
        <v>0.7197</v>
      </c>
      <c r="G200" t="n">
        <v>0.53508</v>
      </c>
      <c r="H200" t="n">
        <v>1.9814</v>
      </c>
      <c r="I200" t="n">
        <v>-1.1126</v>
      </c>
      <c r="J200" t="n">
        <v>-0.20911</v>
      </c>
      <c r="K200" t="n">
        <v>-1.002</v>
      </c>
      <c r="L200" t="n">
        <v>-0.5301900000000001</v>
      </c>
      <c r="M200" t="n">
        <v>0.81052</v>
      </c>
      <c r="N200" t="n">
        <v>-3.6462</v>
      </c>
      <c r="O200" t="n">
        <v>0.2229</v>
      </c>
      <c r="P200" t="n">
        <v>0.9656</v>
      </c>
      <c r="Q200" t="n">
        <v>0.041558</v>
      </c>
      <c r="R200" t="n">
        <v>0.58013</v>
      </c>
      <c r="S200" t="n">
        <v>0.066218</v>
      </c>
      <c r="T200" t="n">
        <v>-0.26151</v>
      </c>
      <c r="U200" t="n">
        <v>-0.31073</v>
      </c>
      <c r="V200" t="n">
        <v>0.050388</v>
      </c>
      <c r="W200" t="n">
        <v>-0.55431</v>
      </c>
      <c r="X200" t="n">
        <v>-1.0172</v>
      </c>
      <c r="Y200" t="n">
        <v>0.032624</v>
      </c>
      <c r="Z200" t="n">
        <v>-0.66148</v>
      </c>
    </row>
    <row r="201">
      <c r="A201" t="inlineStr">
        <is>
          <t>fresh</t>
        </is>
      </c>
      <c r="B201" t="n">
        <v>-0.9285</v>
      </c>
      <c r="C201" t="n">
        <v>0.21614</v>
      </c>
      <c r="D201" t="n">
        <v>0.026411</v>
      </c>
      <c r="E201" t="n">
        <v>0.28695</v>
      </c>
      <c r="F201" t="n">
        <v>0.36358</v>
      </c>
      <c r="G201" t="n">
        <v>1.2041</v>
      </c>
      <c r="H201" t="n">
        <v>0.84635</v>
      </c>
      <c r="I201" t="n">
        <v>-0.44372</v>
      </c>
      <c r="J201" t="n">
        <v>0.37128</v>
      </c>
      <c r="K201" t="n">
        <v>0.0071578</v>
      </c>
      <c r="L201" t="n">
        <v>0.27459</v>
      </c>
      <c r="M201" t="n">
        <v>0.25177</v>
      </c>
      <c r="N201" t="n">
        <v>-3.4353</v>
      </c>
      <c r="O201" t="n">
        <v>-0.57679</v>
      </c>
      <c r="P201" t="n">
        <v>-0.20675</v>
      </c>
      <c r="Q201" t="n">
        <v>-0.49983</v>
      </c>
      <c r="R201" t="n">
        <v>1.0908</v>
      </c>
      <c r="S201" t="n">
        <v>-0.68712</v>
      </c>
      <c r="T201" t="n">
        <v>-0.11609</v>
      </c>
      <c r="U201" t="n">
        <v>0.53449</v>
      </c>
      <c r="V201" t="n">
        <v>-0.76656</v>
      </c>
      <c r="W201" t="n">
        <v>0.17587</v>
      </c>
      <c r="X201" t="n">
        <v>0.043756</v>
      </c>
      <c r="Y201" t="n">
        <v>0.29726</v>
      </c>
      <c r="Z201" t="n">
        <v>0.57398</v>
      </c>
    </row>
    <row r="202">
      <c r="A202" t="inlineStr">
        <is>
          <t>knowing</t>
        </is>
      </c>
      <c r="B202" t="n">
        <v>-0.15524</v>
      </c>
      <c r="C202" t="n">
        <v>0.65842</v>
      </c>
      <c r="D202" t="n">
        <v>0.069142</v>
      </c>
      <c r="E202" t="n">
        <v>0.63969</v>
      </c>
      <c r="F202" t="n">
        <v>-0.29916</v>
      </c>
      <c r="G202" t="n">
        <v>0.051053</v>
      </c>
      <c r="H202" t="n">
        <v>1.5495</v>
      </c>
      <c r="I202" t="n">
        <v>-1.1876</v>
      </c>
      <c r="J202" t="n">
        <v>-0.91026</v>
      </c>
      <c r="K202" t="n">
        <v>0.084425</v>
      </c>
      <c r="L202" t="n">
        <v>-1.2148</v>
      </c>
      <c r="M202" t="n">
        <v>0.62618</v>
      </c>
      <c r="N202" t="n">
        <v>-4.2266</v>
      </c>
      <c r="O202" t="n">
        <v>0.4569</v>
      </c>
      <c r="P202" t="n">
        <v>0.38746</v>
      </c>
      <c r="Q202" t="n">
        <v>0.7143</v>
      </c>
      <c r="R202" t="n">
        <v>-0.13072</v>
      </c>
      <c r="S202" t="n">
        <v>-0.0015821</v>
      </c>
      <c r="T202" t="n">
        <v>0.66905</v>
      </c>
      <c r="U202" t="n">
        <v>-0.56746</v>
      </c>
      <c r="V202" t="n">
        <v>0.43185</v>
      </c>
      <c r="W202" t="n">
        <v>0.20326</v>
      </c>
      <c r="X202" t="n">
        <v>-0.37777</v>
      </c>
      <c r="Y202" t="n">
        <v>0.42872</v>
      </c>
      <c r="Z202" t="n">
        <v>-0.75276</v>
      </c>
    </row>
    <row r="203">
      <c r="A203" t="inlineStr">
        <is>
          <t>tbm</t>
        </is>
      </c>
      <c r="B203" t="n">
        <v>1.3769</v>
      </c>
      <c r="C203" t="n">
        <v>-0.8932</v>
      </c>
      <c r="D203" t="n">
        <v>0.2817</v>
      </c>
      <c r="E203" t="n">
        <v>-0.35732</v>
      </c>
      <c r="F203" t="n">
        <v>-0.040625</v>
      </c>
      <c r="G203" t="n">
        <v>-0.64691</v>
      </c>
      <c r="H203" t="n">
        <v>-0.23812</v>
      </c>
      <c r="I203" t="n">
        <v>0.59023</v>
      </c>
      <c r="J203" t="n">
        <v>0.61132</v>
      </c>
      <c r="K203" t="n">
        <v>-1.2276</v>
      </c>
      <c r="L203" t="n">
        <v>-1.5992</v>
      </c>
      <c r="M203" t="n">
        <v>-2.6311</v>
      </c>
      <c r="N203" t="n">
        <v>-1.4353</v>
      </c>
      <c r="O203" t="n">
        <v>-1.8125</v>
      </c>
      <c r="P203" t="n">
        <v>-0.42575</v>
      </c>
      <c r="Q203" t="n">
        <v>-1.2818</v>
      </c>
      <c r="R203" t="n">
        <v>-1.9393</v>
      </c>
      <c r="S203" t="n">
        <v>-0.15846</v>
      </c>
      <c r="T203" t="n">
        <v>-1.3207</v>
      </c>
      <c r="U203" t="n">
        <v>0.067619</v>
      </c>
      <c r="V203" t="n">
        <v>0.0016989</v>
      </c>
      <c r="W203" t="n">
        <v>0.55314</v>
      </c>
      <c r="X203" t="n">
        <v>0.075402</v>
      </c>
      <c r="Y203" t="n">
        <v>2.3137</v>
      </c>
      <c r="Z203" t="n">
        <v>0.20551</v>
      </c>
    </row>
    <row r="204">
      <c r="A204" t="inlineStr">
        <is>
          <t>fear</t>
        </is>
      </c>
      <c r="B204" t="n">
        <v>0.34901</v>
      </c>
      <c r="C204" t="n">
        <v>0.30926</v>
      </c>
      <c r="D204" t="n">
        <v>-0.80943</v>
      </c>
      <c r="E204" t="n">
        <v>1.495</v>
      </c>
      <c r="F204" t="n">
        <v>-0.66837</v>
      </c>
      <c r="G204" t="n">
        <v>0.40203</v>
      </c>
      <c r="H204" t="n">
        <v>1.7135</v>
      </c>
      <c r="I204" t="n">
        <v>-0.63232</v>
      </c>
      <c r="J204" t="n">
        <v>0.13892</v>
      </c>
      <c r="K204" t="n">
        <v>0.22926</v>
      </c>
      <c r="L204" t="n">
        <v>-0.32921</v>
      </c>
      <c r="M204" t="n">
        <v>0.75148</v>
      </c>
      <c r="N204" t="n">
        <v>-3.5653</v>
      </c>
      <c r="O204" t="n">
        <v>0.7832</v>
      </c>
      <c r="P204" t="n">
        <v>-0.090396</v>
      </c>
      <c r="Q204" t="n">
        <v>0.6435999999999999</v>
      </c>
      <c r="R204" t="n">
        <v>-0.4382</v>
      </c>
      <c r="S204" t="n">
        <v>0.82941</v>
      </c>
      <c r="T204" t="n">
        <v>1.3351</v>
      </c>
      <c r="U204" t="n">
        <v>-1.0171</v>
      </c>
      <c r="V204" t="n">
        <v>0.0089844</v>
      </c>
      <c r="W204" t="n">
        <v>0.7035400000000001</v>
      </c>
      <c r="X204" t="n">
        <v>0.026537</v>
      </c>
      <c r="Y204" t="n">
        <v>-0.50671</v>
      </c>
      <c r="Z204" t="n">
        <v>-0.3056</v>
      </c>
    </row>
    <row r="205">
      <c r="A205" t="inlineStr">
        <is>
          <t>honest</t>
        </is>
      </c>
      <c r="B205" t="n">
        <v>0.045128</v>
      </c>
      <c r="C205" t="n">
        <v>0.35828</v>
      </c>
      <c r="D205" t="n">
        <v>-1.1219</v>
      </c>
      <c r="E205" t="n">
        <v>-0.08090700000000001</v>
      </c>
      <c r="F205" t="n">
        <v>0.67977</v>
      </c>
      <c r="G205" t="n">
        <v>0.30182</v>
      </c>
      <c r="H205" t="n">
        <v>1.2288</v>
      </c>
      <c r="I205" t="n">
        <v>-0.44192</v>
      </c>
      <c r="J205" t="n">
        <v>-0.91295</v>
      </c>
      <c r="K205" t="n">
        <v>-0.44178</v>
      </c>
      <c r="L205" t="n">
        <v>-1.1636</v>
      </c>
      <c r="M205" t="n">
        <v>0.6767</v>
      </c>
      <c r="N205" t="n">
        <v>-3.5537</v>
      </c>
      <c r="O205" t="n">
        <v>0.10936</v>
      </c>
      <c r="P205" t="n">
        <v>-0.46606</v>
      </c>
      <c r="Q205" t="n">
        <v>0.6440399999999999</v>
      </c>
      <c r="R205" t="n">
        <v>0.36961</v>
      </c>
      <c r="S205" t="n">
        <v>-0.40332</v>
      </c>
      <c r="T205" t="n">
        <v>0.32351</v>
      </c>
      <c r="U205" t="n">
        <v>-0.7707000000000001</v>
      </c>
      <c r="V205" t="n">
        <v>1.1337</v>
      </c>
      <c r="W205" t="n">
        <v>0.40322</v>
      </c>
      <c r="X205" t="n">
        <v>-0.72449</v>
      </c>
      <c r="Y205" t="n">
        <v>0.058686</v>
      </c>
      <c r="Z205" t="n">
        <v>-1.2545</v>
      </c>
    </row>
    <row r="206">
      <c r="A206" t="inlineStr">
        <is>
          <t>math</t>
        </is>
      </c>
      <c r="B206" t="n">
        <v>1.6972</v>
      </c>
      <c r="C206" t="n">
        <v>0.1863</v>
      </c>
      <c r="D206" t="n">
        <v>0.19201</v>
      </c>
      <c r="E206" t="n">
        <v>-0.3597</v>
      </c>
      <c r="F206" t="n">
        <v>0.74586</v>
      </c>
      <c r="G206" t="n">
        <v>0.0086141</v>
      </c>
      <c r="H206" t="n">
        <v>1.4957</v>
      </c>
      <c r="I206" t="n">
        <v>-0.95617</v>
      </c>
      <c r="J206" t="n">
        <v>0.89838</v>
      </c>
      <c r="K206" t="n">
        <v>0.61614</v>
      </c>
      <c r="L206" t="n">
        <v>-1.3137</v>
      </c>
      <c r="M206" t="n">
        <v>-0.22309</v>
      </c>
      <c r="N206" t="n">
        <v>-2.9864</v>
      </c>
      <c r="O206" t="n">
        <v>0.21491</v>
      </c>
      <c r="P206" t="n">
        <v>1.6063</v>
      </c>
      <c r="Q206" t="n">
        <v>0.6311099999999999</v>
      </c>
      <c r="R206" t="n">
        <v>0.6533099999999999</v>
      </c>
      <c r="S206" t="n">
        <v>0.019968</v>
      </c>
      <c r="T206" t="n">
        <v>-0.85753</v>
      </c>
      <c r="U206" t="n">
        <v>-0.21647</v>
      </c>
      <c r="V206" t="n">
        <v>-0.33906</v>
      </c>
      <c r="W206" t="n">
        <v>-0.021083</v>
      </c>
      <c r="X206" t="n">
        <v>-0.76852</v>
      </c>
      <c r="Y206" t="n">
        <v>0.64244</v>
      </c>
      <c r="Z206" t="n">
        <v>-0.68292</v>
      </c>
    </row>
    <row r="207">
      <c r="A207" t="inlineStr">
        <is>
          <t>players</t>
        </is>
      </c>
      <c r="B207" t="n">
        <v>0.92866</v>
      </c>
      <c r="C207" t="n">
        <v>0.72802</v>
      </c>
      <c r="D207" t="n">
        <v>-0.52351</v>
      </c>
      <c r="E207" t="n">
        <v>-1.4832</v>
      </c>
      <c r="F207" t="n">
        <v>-0.00094552</v>
      </c>
      <c r="G207" t="n">
        <v>0.38935</v>
      </c>
      <c r="H207" t="n">
        <v>0.27315</v>
      </c>
      <c r="I207" t="n">
        <v>-0.61414</v>
      </c>
      <c r="J207" t="n">
        <v>-0.49954</v>
      </c>
      <c r="K207" t="n">
        <v>-0.83551</v>
      </c>
      <c r="L207" t="n">
        <v>0.47096</v>
      </c>
      <c r="M207" t="n">
        <v>0.44344</v>
      </c>
      <c r="N207" t="n">
        <v>-4.1297</v>
      </c>
      <c r="O207" t="n">
        <v>0.7302999999999999</v>
      </c>
      <c r="P207" t="n">
        <v>0.7006599999999999</v>
      </c>
      <c r="Q207" t="n">
        <v>0.029244</v>
      </c>
      <c r="R207" t="n">
        <v>-0.2581</v>
      </c>
      <c r="S207" t="n">
        <v>-1.3786</v>
      </c>
      <c r="T207" t="n">
        <v>0.6304</v>
      </c>
      <c r="U207" t="n">
        <v>-0.027787</v>
      </c>
      <c r="V207" t="n">
        <v>-0.88323</v>
      </c>
      <c r="W207" t="n">
        <v>1.0347</v>
      </c>
      <c r="X207" t="n">
        <v>-0.041421</v>
      </c>
      <c r="Y207" t="n">
        <v>-1.2988</v>
      </c>
      <c r="Z207" t="n">
        <v>-0.96979</v>
      </c>
    </row>
    <row r="208">
      <c r="A208" t="inlineStr">
        <is>
          <t>choose</t>
        </is>
      </c>
      <c r="B208" t="n">
        <v>0.0083701</v>
      </c>
      <c r="C208" t="n">
        <v>0.34513</v>
      </c>
      <c r="D208" t="n">
        <v>-0.84528</v>
      </c>
      <c r="E208" t="n">
        <v>0.066952</v>
      </c>
      <c r="F208" t="n">
        <v>-0.37061</v>
      </c>
      <c r="G208" t="n">
        <v>-0.43915</v>
      </c>
      <c r="H208" t="n">
        <v>1.2058</v>
      </c>
      <c r="I208" t="n">
        <v>-0.7652</v>
      </c>
      <c r="J208" t="n">
        <v>0.11774</v>
      </c>
      <c r="K208" t="n">
        <v>-0.76853</v>
      </c>
      <c r="L208" t="n">
        <v>-0.50942</v>
      </c>
      <c r="M208" t="n">
        <v>-0.19276</v>
      </c>
      <c r="N208" t="n">
        <v>-4.1139</v>
      </c>
      <c r="O208" t="n">
        <v>-0.34271</v>
      </c>
      <c r="P208" t="n">
        <v>-0.93036</v>
      </c>
      <c r="Q208" t="n">
        <v>0.41134</v>
      </c>
      <c r="R208" t="n">
        <v>0.042738</v>
      </c>
      <c r="S208" t="n">
        <v>-0.80496</v>
      </c>
      <c r="T208" t="n">
        <v>0.82584</v>
      </c>
      <c r="U208" t="n">
        <v>-0.68941</v>
      </c>
      <c r="V208" t="n">
        <v>-0.10578</v>
      </c>
      <c r="W208" t="n">
        <v>0.040933</v>
      </c>
      <c r="X208" t="n">
        <v>-0.44437</v>
      </c>
      <c r="Y208" t="n">
        <v>0.34397</v>
      </c>
      <c r="Z208" t="n">
        <v>-0.88031</v>
      </c>
    </row>
    <row r="209">
      <c r="A209" t="inlineStr">
        <is>
          <t>shoot</t>
        </is>
      </c>
      <c r="B209" t="n">
        <v>-0.11891</v>
      </c>
      <c r="C209" t="n">
        <v>0.71501</v>
      </c>
      <c r="D209" t="n">
        <v>0.73317</v>
      </c>
      <c r="E209" t="n">
        <v>-0.11079</v>
      </c>
      <c r="F209" t="n">
        <v>-0.0033952</v>
      </c>
      <c r="G209" t="n">
        <v>-0.12924</v>
      </c>
      <c r="H209" t="n">
        <v>1.0041</v>
      </c>
      <c r="I209" t="n">
        <v>-0.048679</v>
      </c>
      <c r="J209" t="n">
        <v>0.52301</v>
      </c>
      <c r="K209" t="n">
        <v>-0.05362</v>
      </c>
      <c r="L209" t="n">
        <v>0.01503</v>
      </c>
      <c r="M209" t="n">
        <v>0.80499</v>
      </c>
      <c r="N209" t="n">
        <v>-3.4188</v>
      </c>
      <c r="O209" t="n">
        <v>-0.018921</v>
      </c>
      <c r="P209" t="n">
        <v>-0.00012056</v>
      </c>
      <c r="Q209" t="n">
        <v>0.77689</v>
      </c>
      <c r="R209" t="n">
        <v>0.64383</v>
      </c>
      <c r="S209" t="n">
        <v>-1.181</v>
      </c>
      <c r="T209" t="n">
        <v>-0.90116</v>
      </c>
      <c r="U209" t="n">
        <v>-0.14035</v>
      </c>
      <c r="V209" t="n">
        <v>-0.42169</v>
      </c>
      <c r="W209" t="n">
        <v>0.15361</v>
      </c>
      <c r="X209" t="n">
        <v>0.59726</v>
      </c>
      <c r="Y209" t="n">
        <v>-0.5543400000000001</v>
      </c>
      <c r="Z209" t="n">
        <v>0.020806</v>
      </c>
    </row>
    <row r="210">
      <c r="A210" t="inlineStr">
        <is>
          <t>bot</t>
        </is>
      </c>
      <c r="B210" t="n">
        <v>0.56601</v>
      </c>
      <c r="C210" t="n">
        <v>0.12731</v>
      </c>
      <c r="D210" t="n">
        <v>-0.3279</v>
      </c>
      <c r="E210" t="n">
        <v>-0.028099</v>
      </c>
      <c r="F210" t="n">
        <v>0.051303</v>
      </c>
      <c r="G210" t="n">
        <v>-0.35351</v>
      </c>
      <c r="H210" t="n">
        <v>0.72046</v>
      </c>
      <c r="I210" t="n">
        <v>1.1771</v>
      </c>
      <c r="J210" t="n">
        <v>0.50724</v>
      </c>
      <c r="K210" t="n">
        <v>0.19381</v>
      </c>
      <c r="L210" t="n">
        <v>-0.41146</v>
      </c>
      <c r="M210" t="n">
        <v>1.3407</v>
      </c>
      <c r="N210" t="n">
        <v>-1.3985</v>
      </c>
      <c r="O210" t="n">
        <v>-0.5960299999999999</v>
      </c>
      <c r="P210" t="n">
        <v>-1.2277</v>
      </c>
      <c r="Q210" t="n">
        <v>-0.6071299999999999</v>
      </c>
      <c r="R210" t="n">
        <v>-0.43011</v>
      </c>
      <c r="S210" t="n">
        <v>-0.25133</v>
      </c>
      <c r="T210" t="n">
        <v>-0.021151</v>
      </c>
      <c r="U210" t="n">
        <v>0.82933</v>
      </c>
      <c r="V210" t="n">
        <v>0.11821</v>
      </c>
      <c r="W210" t="n">
        <v>-1.3439</v>
      </c>
      <c r="X210" t="n">
        <v>-0.38575</v>
      </c>
      <c r="Y210" t="n">
        <v>0.50761</v>
      </c>
      <c r="Z210" t="n">
        <v>-0.05012</v>
      </c>
    </row>
    <row r="211">
      <c r="A211" t="inlineStr">
        <is>
          <t>hilarious</t>
        </is>
      </c>
      <c r="B211" t="n">
        <v>0.49131</v>
      </c>
      <c r="C211" t="n">
        <v>-0.60914</v>
      </c>
      <c r="D211" t="n">
        <v>0.78052</v>
      </c>
      <c r="E211" t="n">
        <v>-0.80065</v>
      </c>
      <c r="F211" t="n">
        <v>0.90338</v>
      </c>
      <c r="G211" t="n">
        <v>-0.11482</v>
      </c>
      <c r="H211" t="n">
        <v>2.1985</v>
      </c>
      <c r="I211" t="n">
        <v>-0.5714900000000001</v>
      </c>
      <c r="J211" t="n">
        <v>-1.2778</v>
      </c>
      <c r="K211" t="n">
        <v>-0.6736</v>
      </c>
      <c r="L211" t="n">
        <v>-0.60044</v>
      </c>
      <c r="M211" t="n">
        <v>1.4886</v>
      </c>
      <c r="N211" t="n">
        <v>-2.8662</v>
      </c>
      <c r="O211" t="n">
        <v>-0.80629</v>
      </c>
      <c r="P211" t="n">
        <v>0.9629799999999999</v>
      </c>
      <c r="Q211" t="n">
        <v>0.5112</v>
      </c>
      <c r="R211" t="n">
        <v>0.5285</v>
      </c>
      <c r="S211" t="n">
        <v>-0.29295</v>
      </c>
      <c r="T211" t="n">
        <v>-0.75236</v>
      </c>
      <c r="U211" t="n">
        <v>-0.061051</v>
      </c>
      <c r="V211" t="n">
        <v>1.0312</v>
      </c>
      <c r="W211" t="n">
        <v>0.2832</v>
      </c>
      <c r="X211" t="n">
        <v>-0.37604</v>
      </c>
      <c r="Y211" t="n">
        <v>-0.30948</v>
      </c>
      <c r="Z211" t="n">
        <v>-0.12308</v>
      </c>
    </row>
    <row r="212">
      <c r="A212" t="inlineStr">
        <is>
          <t>thankful</t>
        </is>
      </c>
      <c r="B212" t="n">
        <v>-1.5817</v>
      </c>
      <c r="C212" t="n">
        <v>1.1934</v>
      </c>
      <c r="D212" t="n">
        <v>-0.50159</v>
      </c>
      <c r="E212" t="n">
        <v>0.072795</v>
      </c>
      <c r="F212" t="n">
        <v>-0.32589</v>
      </c>
      <c r="G212" t="n">
        <v>0.10494</v>
      </c>
      <c r="H212" t="n">
        <v>1.7157</v>
      </c>
      <c r="I212" t="n">
        <v>-0.6976</v>
      </c>
      <c r="J212" t="n">
        <v>-1.9022</v>
      </c>
      <c r="K212" t="n">
        <v>-0.14361</v>
      </c>
      <c r="L212" t="n">
        <v>-1.2185</v>
      </c>
      <c r="M212" t="n">
        <v>0.043884</v>
      </c>
      <c r="N212" t="n">
        <v>-3.5217</v>
      </c>
      <c r="O212" t="n">
        <v>0.92279</v>
      </c>
      <c r="P212" t="n">
        <v>-0.70194</v>
      </c>
      <c r="Q212" t="n">
        <v>-0.019674</v>
      </c>
      <c r="R212" t="n">
        <v>0.25228</v>
      </c>
      <c r="S212" t="n">
        <v>-0.073215</v>
      </c>
      <c r="T212" t="n">
        <v>0.68774</v>
      </c>
      <c r="U212" t="n">
        <v>-0.5525600000000001</v>
      </c>
      <c r="V212" t="n">
        <v>0.16208</v>
      </c>
      <c r="W212" t="n">
        <v>0.044736</v>
      </c>
      <c r="X212" t="n">
        <v>-1.0709</v>
      </c>
      <c r="Y212" t="n">
        <v>0.52915</v>
      </c>
      <c r="Z212" t="n">
        <v>-0.41683</v>
      </c>
    </row>
    <row r="213">
      <c r="A213" t="inlineStr">
        <is>
          <t>caught</t>
        </is>
      </c>
      <c r="B213" t="n">
        <v>-0.5676</v>
      </c>
      <c r="C213" t="n">
        <v>1.0308</v>
      </c>
      <c r="D213" t="n">
        <v>1.0898</v>
      </c>
      <c r="E213" t="n">
        <v>0.050014</v>
      </c>
      <c r="F213" t="n">
        <v>0.15663</v>
      </c>
      <c r="G213" t="n">
        <v>-0.094723</v>
      </c>
      <c r="H213" t="n">
        <v>1.1283</v>
      </c>
      <c r="I213" t="n">
        <v>-0.56651</v>
      </c>
      <c r="J213" t="n">
        <v>-0.48151</v>
      </c>
      <c r="K213" t="n">
        <v>0.81052</v>
      </c>
      <c r="L213" t="n">
        <v>0.33153</v>
      </c>
      <c r="M213" t="n">
        <v>1.2479</v>
      </c>
      <c r="N213" t="n">
        <v>-3.4592</v>
      </c>
      <c r="O213" t="n">
        <v>-0.5177</v>
      </c>
      <c r="P213" t="n">
        <v>0.32478</v>
      </c>
      <c r="Q213" t="n">
        <v>0.62884</v>
      </c>
      <c r="R213" t="n">
        <v>0.37452</v>
      </c>
      <c r="S213" t="n">
        <v>0.22173</v>
      </c>
      <c r="T213" t="n">
        <v>-0.16186</v>
      </c>
      <c r="U213" t="n">
        <v>-1.2065</v>
      </c>
      <c r="V213" t="n">
        <v>0.83222</v>
      </c>
      <c r="W213" t="n">
        <v>0.81365</v>
      </c>
      <c r="X213" t="n">
        <v>0.95466</v>
      </c>
      <c r="Y213" t="n">
        <v>-1.01</v>
      </c>
      <c r="Z213" t="n">
        <v>-0.09416099999999999</v>
      </c>
    </row>
    <row r="214">
      <c r="A214" t="inlineStr">
        <is>
          <t>office</t>
        </is>
      </c>
      <c r="B214" t="n">
        <v>-0.37218</v>
      </c>
      <c r="C214" t="n">
        <v>0.3608</v>
      </c>
      <c r="D214" t="n">
        <v>0.39346</v>
      </c>
      <c r="E214" t="n">
        <v>-1.0362</v>
      </c>
      <c r="F214" t="n">
        <v>0.81756</v>
      </c>
      <c r="G214" t="n">
        <v>-0.43873</v>
      </c>
      <c r="H214" t="n">
        <v>0.46278</v>
      </c>
      <c r="I214" t="n">
        <v>-0.47501</v>
      </c>
      <c r="J214" t="n">
        <v>1.3921</v>
      </c>
      <c r="K214" t="n">
        <v>0.47833</v>
      </c>
      <c r="L214" t="n">
        <v>0.14137</v>
      </c>
      <c r="M214" t="n">
        <v>-0.093291</v>
      </c>
      <c r="N214" t="n">
        <v>-3.7895</v>
      </c>
      <c r="O214" t="n">
        <v>0.29779</v>
      </c>
      <c r="P214" t="n">
        <v>0.8751100000000001</v>
      </c>
      <c r="Q214" t="n">
        <v>-0.51239</v>
      </c>
      <c r="R214" t="n">
        <v>0.65852</v>
      </c>
      <c r="S214" t="n">
        <v>0.0068109</v>
      </c>
      <c r="T214" t="n">
        <v>-0.42191</v>
      </c>
      <c r="U214" t="n">
        <v>-0.5459000000000001</v>
      </c>
      <c r="V214" t="n">
        <v>-0.22178</v>
      </c>
      <c r="W214" t="n">
        <v>-1.1347</v>
      </c>
      <c r="X214" t="n">
        <v>-0.23231</v>
      </c>
      <c r="Y214" t="n">
        <v>-0.51381</v>
      </c>
      <c r="Z214" t="n">
        <v>-0.45113</v>
      </c>
    </row>
    <row r="215">
      <c r="A215" t="inlineStr">
        <is>
          <t>seconds</t>
        </is>
      </c>
      <c r="B215" t="n">
        <v>0.82094</v>
      </c>
      <c r="C215" t="n">
        <v>-0.22677</v>
      </c>
      <c r="D215" t="n">
        <v>0.48257</v>
      </c>
      <c r="E215" t="n">
        <v>0.17242</v>
      </c>
      <c r="F215" t="n">
        <v>-0.7567700000000001</v>
      </c>
      <c r="G215" t="n">
        <v>-0.079568</v>
      </c>
      <c r="H215" t="n">
        <v>1.7126</v>
      </c>
      <c r="I215" t="n">
        <v>-0.7388400000000001</v>
      </c>
      <c r="J215" t="n">
        <v>-1.2817</v>
      </c>
      <c r="K215" t="n">
        <v>0.37736</v>
      </c>
      <c r="L215" t="n">
        <v>0.22949</v>
      </c>
      <c r="M215" t="n">
        <v>0.61394</v>
      </c>
      <c r="N215" t="n">
        <v>-2.8817</v>
      </c>
      <c r="O215" t="n">
        <v>0.31429</v>
      </c>
      <c r="P215" t="n">
        <v>0.10816</v>
      </c>
      <c r="Q215" t="n">
        <v>0.28964</v>
      </c>
      <c r="R215" t="n">
        <v>-0.23726</v>
      </c>
      <c r="S215" t="n">
        <v>-0.33611</v>
      </c>
      <c r="T215" t="n">
        <v>0.053211</v>
      </c>
      <c r="U215" t="n">
        <v>-1.1799</v>
      </c>
      <c r="V215" t="n">
        <v>-0.92799</v>
      </c>
      <c r="W215" t="n">
        <v>-0.46688</v>
      </c>
      <c r="X215" t="n">
        <v>1.3254</v>
      </c>
      <c r="Y215" t="n">
        <v>0.17679</v>
      </c>
      <c r="Z215" t="n">
        <v>-0.7023</v>
      </c>
    </row>
    <row r="216">
      <c r="A216" t="inlineStr">
        <is>
          <t>tbh</t>
        </is>
      </c>
      <c r="B216" t="n">
        <v>0.34607</v>
      </c>
      <c r="C216" t="n">
        <v>-0.1766</v>
      </c>
      <c r="D216" t="n">
        <v>0.27412</v>
      </c>
      <c r="E216" t="n">
        <v>-0.65055</v>
      </c>
      <c r="F216" t="n">
        <v>0.017419</v>
      </c>
      <c r="G216" t="n">
        <v>-0.2685</v>
      </c>
      <c r="H216" t="n">
        <v>1.6049</v>
      </c>
      <c r="I216" t="n">
        <v>-0.45136</v>
      </c>
      <c r="J216" t="n">
        <v>-1.3126</v>
      </c>
      <c r="K216" t="n">
        <v>0.013737</v>
      </c>
      <c r="L216" t="n">
        <v>-0.99288</v>
      </c>
      <c r="M216" t="n">
        <v>0.7557</v>
      </c>
      <c r="N216" t="n">
        <v>-3.3361</v>
      </c>
      <c r="O216" t="n">
        <v>-0.61053</v>
      </c>
      <c r="P216" t="n">
        <v>0.6538</v>
      </c>
      <c r="Q216" t="n">
        <v>0.80067</v>
      </c>
      <c r="R216" t="n">
        <v>-0.031056</v>
      </c>
      <c r="S216" t="n">
        <v>-1.2088</v>
      </c>
      <c r="T216" t="n">
        <v>0.036773</v>
      </c>
      <c r="U216" t="n">
        <v>-0.18688</v>
      </c>
      <c r="V216" t="n">
        <v>0.3451</v>
      </c>
      <c r="W216" t="n">
        <v>0.57143</v>
      </c>
      <c r="X216" t="n">
        <v>-0.36312</v>
      </c>
      <c r="Y216" t="n">
        <v>0.67304</v>
      </c>
      <c r="Z216" t="n">
        <v>-0.57852</v>
      </c>
    </row>
    <row r="217">
      <c r="A217" t="inlineStr">
        <is>
          <t>coach</t>
        </is>
      </c>
      <c r="B217" t="n">
        <v>-0.32431</v>
      </c>
      <c r="C217" t="n">
        <v>0.60788</v>
      </c>
      <c r="D217" t="n">
        <v>-0.4037</v>
      </c>
      <c r="E217" t="n">
        <v>-0.95895</v>
      </c>
      <c r="F217" t="n">
        <v>-0.31788</v>
      </c>
      <c r="G217" t="n">
        <v>-0.23623</v>
      </c>
      <c r="H217" t="n">
        <v>-0.17378</v>
      </c>
      <c r="I217" t="n">
        <v>0.53778</v>
      </c>
      <c r="J217" t="n">
        <v>0.094678</v>
      </c>
      <c r="K217" t="n">
        <v>-1.2879</v>
      </c>
      <c r="L217" t="n">
        <v>0.4431</v>
      </c>
      <c r="M217" t="n">
        <v>0.74955</v>
      </c>
      <c r="N217" t="n">
        <v>-3.8334</v>
      </c>
      <c r="O217" t="n">
        <v>-0.1137</v>
      </c>
      <c r="P217" t="n">
        <v>1.5714</v>
      </c>
      <c r="Q217" t="n">
        <v>-0.6404300000000001</v>
      </c>
      <c r="R217" t="n">
        <v>0.29227</v>
      </c>
      <c r="S217" t="n">
        <v>-0.7724800000000001</v>
      </c>
      <c r="T217" t="n">
        <v>-0.49959</v>
      </c>
      <c r="U217" t="n">
        <v>0.10898</v>
      </c>
      <c r="V217" t="n">
        <v>0.06850299999999999</v>
      </c>
      <c r="W217" t="n">
        <v>0.72868</v>
      </c>
      <c r="X217" t="n">
        <v>-0.071418</v>
      </c>
      <c r="Y217" t="n">
        <v>-0.95804</v>
      </c>
      <c r="Z217" t="n">
        <v>-0.89536</v>
      </c>
    </row>
    <row r="218">
      <c r="A218" t="inlineStr">
        <is>
          <t>fighting</t>
        </is>
      </c>
      <c r="B218" t="n">
        <v>-0.3286</v>
      </c>
      <c r="C218" t="n">
        <v>1.1874</v>
      </c>
      <c r="D218" t="n">
        <v>-0.20121</v>
      </c>
      <c r="E218" t="n">
        <v>0.53896</v>
      </c>
      <c r="F218" t="n">
        <v>-0.30103</v>
      </c>
      <c r="G218" t="n">
        <v>-0.0038795</v>
      </c>
      <c r="H218" t="n">
        <v>1.4943</v>
      </c>
      <c r="I218" t="n">
        <v>-0.18801</v>
      </c>
      <c r="J218" t="n">
        <v>-0.11949</v>
      </c>
      <c r="K218" t="n">
        <v>0.46841</v>
      </c>
      <c r="L218" t="n">
        <v>-0.53027</v>
      </c>
      <c r="M218" t="n">
        <v>0.97315</v>
      </c>
      <c r="N218" t="n">
        <v>-3.1748</v>
      </c>
      <c r="O218" t="n">
        <v>0.41732</v>
      </c>
      <c r="P218" t="n">
        <v>0.082693</v>
      </c>
      <c r="Q218" t="n">
        <v>-0.14431</v>
      </c>
      <c r="R218" t="n">
        <v>-0.9059</v>
      </c>
      <c r="S218" t="n">
        <v>-0.55655</v>
      </c>
      <c r="T218" t="n">
        <v>0.19184</v>
      </c>
      <c r="U218" t="n">
        <v>-0.67453</v>
      </c>
      <c r="V218" t="n">
        <v>-0.020831</v>
      </c>
      <c r="W218" t="n">
        <v>1.1033</v>
      </c>
      <c r="X218" t="n">
        <v>-0.36247</v>
      </c>
      <c r="Y218" t="n">
        <v>-0.63041</v>
      </c>
      <c r="Z218" t="n">
        <v>0.32451</v>
      </c>
    </row>
    <row r="219">
      <c r="A219" t="inlineStr">
        <is>
          <t>attractive</t>
        </is>
      </c>
      <c r="B219" t="n">
        <v>-0.15989</v>
      </c>
      <c r="C219" t="n">
        <v>-1.38</v>
      </c>
      <c r="D219" t="n">
        <v>-0.46164</v>
      </c>
      <c r="E219" t="n">
        <v>-0.54125</v>
      </c>
      <c r="F219" t="n">
        <v>0.82811</v>
      </c>
      <c r="G219" t="n">
        <v>0.9038</v>
      </c>
      <c r="H219" t="n">
        <v>1.5821</v>
      </c>
      <c r="I219" t="n">
        <v>-0.96135</v>
      </c>
      <c r="J219" t="n">
        <v>-1.6072</v>
      </c>
      <c r="K219" t="n">
        <v>-0.33851</v>
      </c>
      <c r="L219" t="n">
        <v>-0.48359</v>
      </c>
      <c r="M219" t="n">
        <v>0.33524</v>
      </c>
      <c r="N219" t="n">
        <v>-3.4502</v>
      </c>
      <c r="O219" t="n">
        <v>-0.9023099999999999</v>
      </c>
      <c r="P219" t="n">
        <v>-0.4847</v>
      </c>
      <c r="Q219" t="n">
        <v>0.47829</v>
      </c>
      <c r="R219" t="n">
        <v>0.024129</v>
      </c>
      <c r="S219" t="n">
        <v>-0.83291</v>
      </c>
      <c r="T219" t="n">
        <v>0.75487</v>
      </c>
      <c r="U219" t="n">
        <v>-0.41278</v>
      </c>
      <c r="V219" t="n">
        <v>0.76207</v>
      </c>
      <c r="W219" t="n">
        <v>1.1239</v>
      </c>
      <c r="X219" t="n">
        <v>-0.36969</v>
      </c>
      <c r="Y219" t="n">
        <v>-0.29658</v>
      </c>
      <c r="Z219" t="n">
        <v>-1.4827</v>
      </c>
    </row>
    <row r="220">
      <c r="A220" t="inlineStr">
        <is>
          <t>booty</t>
        </is>
      </c>
      <c r="B220" t="n">
        <v>-1.2759</v>
      </c>
      <c r="C220" t="n">
        <v>0.43065</v>
      </c>
      <c r="D220" t="n">
        <v>0.019919</v>
      </c>
      <c r="E220" t="n">
        <v>0.42788</v>
      </c>
      <c r="F220" t="n">
        <v>1.528</v>
      </c>
      <c r="G220" t="n">
        <v>-0.015327</v>
      </c>
      <c r="H220" t="n">
        <v>0.7856</v>
      </c>
      <c r="I220" t="n">
        <v>-0.35104</v>
      </c>
      <c r="J220" t="n">
        <v>-0.48629</v>
      </c>
      <c r="K220" t="n">
        <v>0.21887</v>
      </c>
      <c r="L220" t="n">
        <v>-0.20361</v>
      </c>
      <c r="M220" t="n">
        <v>0.65942</v>
      </c>
      <c r="N220" t="n">
        <v>-3.0586</v>
      </c>
      <c r="O220" t="n">
        <v>-1.2139</v>
      </c>
      <c r="P220" t="n">
        <v>-0.82365</v>
      </c>
      <c r="Q220" t="n">
        <v>-0.063029</v>
      </c>
      <c r="R220" t="n">
        <v>0.45136</v>
      </c>
      <c r="S220" t="n">
        <v>-1.3628</v>
      </c>
      <c r="T220" t="n">
        <v>-0.3883</v>
      </c>
      <c r="U220" t="n">
        <v>0.8873</v>
      </c>
      <c r="V220" t="n">
        <v>0.43502</v>
      </c>
      <c r="W220" t="n">
        <v>1.6224</v>
      </c>
      <c r="X220" t="n">
        <v>1.675</v>
      </c>
      <c r="Y220" t="n">
        <v>-0.43014</v>
      </c>
      <c r="Z220" t="n">
        <v>0.57917</v>
      </c>
    </row>
    <row r="221">
      <c r="A221" t="inlineStr">
        <is>
          <t>hermano</t>
        </is>
      </c>
      <c r="B221" t="n">
        <v>-0.65221</v>
      </c>
      <c r="C221" t="n">
        <v>0.48815</v>
      </c>
      <c r="D221" t="n">
        <v>0.42024</v>
      </c>
      <c r="E221" t="n">
        <v>0.18563</v>
      </c>
      <c r="F221" t="n">
        <v>0.1408</v>
      </c>
      <c r="G221" t="n">
        <v>-0.3121</v>
      </c>
      <c r="H221" t="n">
        <v>-0.98708</v>
      </c>
      <c r="I221" t="n">
        <v>3.1948</v>
      </c>
      <c r="J221" t="n">
        <v>-1.3583</v>
      </c>
      <c r="K221" t="n">
        <v>-1.0131</v>
      </c>
      <c r="L221" t="n">
        <v>0.30267</v>
      </c>
      <c r="M221" t="n">
        <v>-2.3477</v>
      </c>
      <c r="N221" t="n">
        <v>-1.4391</v>
      </c>
      <c r="O221" t="n">
        <v>-0.8211000000000001</v>
      </c>
      <c r="P221" t="n">
        <v>1.4062</v>
      </c>
      <c r="Q221" t="n">
        <v>-0.12117</v>
      </c>
      <c r="R221" t="n">
        <v>0.41973</v>
      </c>
      <c r="S221" t="n">
        <v>0.10483</v>
      </c>
      <c r="T221" t="n">
        <v>-0.0033114</v>
      </c>
      <c r="U221" t="n">
        <v>0.13237</v>
      </c>
      <c r="V221" t="n">
        <v>1.3281</v>
      </c>
      <c r="W221" t="n">
        <v>0.02584</v>
      </c>
      <c r="X221" t="n">
        <v>0.61982</v>
      </c>
      <c r="Y221" t="n">
        <v>0.45363</v>
      </c>
      <c r="Z221" t="n">
        <v>0.53674</v>
      </c>
    </row>
    <row r="222">
      <c r="A222" t="inlineStr">
        <is>
          <t>sean</t>
        </is>
      </c>
      <c r="B222" t="n">
        <v>1.0045</v>
      </c>
      <c r="C222" t="n">
        <v>0.38473</v>
      </c>
      <c r="D222" t="n">
        <v>0.23437</v>
      </c>
      <c r="E222" t="n">
        <v>1.0208</v>
      </c>
      <c r="F222" t="n">
        <v>-0.34721</v>
      </c>
      <c r="G222" t="n">
        <v>0.83182</v>
      </c>
      <c r="H222" t="n">
        <v>-0.21198</v>
      </c>
      <c r="I222" t="n">
        <v>1.8105</v>
      </c>
      <c r="J222" t="n">
        <v>-1.8279</v>
      </c>
      <c r="K222" t="n">
        <v>-1.5633</v>
      </c>
      <c r="L222" t="n">
        <v>0.5194800000000001</v>
      </c>
      <c r="M222" t="n">
        <v>-0.31015</v>
      </c>
      <c r="N222" t="n">
        <v>-2.4808</v>
      </c>
      <c r="O222" t="n">
        <v>-0.13088</v>
      </c>
      <c r="P222" t="n">
        <v>0.70789</v>
      </c>
      <c r="Q222" t="n">
        <v>-0.1068</v>
      </c>
      <c r="R222" t="n">
        <v>-0.029448</v>
      </c>
      <c r="S222" t="n">
        <v>-1.0807</v>
      </c>
      <c r="T222" t="n">
        <v>0.75206</v>
      </c>
      <c r="U222" t="n">
        <v>0.26138</v>
      </c>
      <c r="V222" t="n">
        <v>0.39548</v>
      </c>
      <c r="W222" t="n">
        <v>0.27914</v>
      </c>
      <c r="X222" t="n">
        <v>-0.61399</v>
      </c>
      <c r="Y222" t="n">
        <v>-0.27882</v>
      </c>
      <c r="Z222" t="n">
        <v>0.14137</v>
      </c>
    </row>
    <row r="223">
      <c r="A223" t="inlineStr">
        <is>
          <t>four</t>
        </is>
      </c>
      <c r="B223" t="n">
        <v>0.58806</v>
      </c>
      <c r="C223" t="n">
        <v>0.39977</v>
      </c>
      <c r="D223" t="n">
        <v>0.84307</v>
      </c>
      <c r="E223" t="n">
        <v>-0.063675</v>
      </c>
      <c r="F223" t="n">
        <v>-0.16753</v>
      </c>
      <c r="G223" t="n">
        <v>0.37486</v>
      </c>
      <c r="H223" t="n">
        <v>0.93533</v>
      </c>
      <c r="I223" t="n">
        <v>-1.0507</v>
      </c>
      <c r="J223" t="n">
        <v>-0.57041</v>
      </c>
      <c r="K223" t="n">
        <v>-0.027532</v>
      </c>
      <c r="L223" t="n">
        <v>0.76356</v>
      </c>
      <c r="M223" t="n">
        <v>-0.10157</v>
      </c>
      <c r="N223" t="n">
        <v>-3.6861</v>
      </c>
      <c r="O223" t="n">
        <v>1.3102</v>
      </c>
      <c r="P223" t="n">
        <v>0.008272099999999999</v>
      </c>
      <c r="Q223" t="n">
        <v>-0.51605</v>
      </c>
      <c r="R223" t="n">
        <v>0.34933</v>
      </c>
      <c r="S223" t="n">
        <v>-0.18487</v>
      </c>
      <c r="T223" t="n">
        <v>-0.19589</v>
      </c>
      <c r="U223" t="n">
        <v>0.31658</v>
      </c>
      <c r="V223" t="n">
        <v>-0.99501</v>
      </c>
      <c r="W223" t="n">
        <v>0.065084</v>
      </c>
      <c r="X223" t="n">
        <v>0.34442</v>
      </c>
      <c r="Y223" t="n">
        <v>-0.9952299999999999</v>
      </c>
      <c r="Z223" t="n">
        <v>-0.42175</v>
      </c>
    </row>
    <row r="224">
      <c r="A224" t="inlineStr">
        <is>
          <t>count</t>
        </is>
      </c>
      <c r="B224" t="n">
        <v>0.36356</v>
      </c>
      <c r="C224" t="n">
        <v>0.82645</v>
      </c>
      <c r="D224" t="n">
        <v>-0.18201</v>
      </c>
      <c r="E224" t="n">
        <v>0.16448</v>
      </c>
      <c r="F224" t="n">
        <v>-0.13462</v>
      </c>
      <c r="G224" t="n">
        <v>-0.094857</v>
      </c>
      <c r="H224" t="n">
        <v>0.88207</v>
      </c>
      <c r="I224" t="n">
        <v>-1.19</v>
      </c>
      <c r="J224" t="n">
        <v>-0.47288</v>
      </c>
      <c r="K224" t="n">
        <v>0.31592</v>
      </c>
      <c r="L224" t="n">
        <v>0.42089</v>
      </c>
      <c r="M224" t="n">
        <v>0.3391</v>
      </c>
      <c r="N224" t="n">
        <v>-3.4529</v>
      </c>
      <c r="O224" t="n">
        <v>0.21674</v>
      </c>
      <c r="P224" t="n">
        <v>-0.5834</v>
      </c>
      <c r="Q224" t="n">
        <v>-0.050428</v>
      </c>
      <c r="R224" t="n">
        <v>-0.1051</v>
      </c>
      <c r="S224" t="n">
        <v>-0.73683</v>
      </c>
      <c r="T224" t="n">
        <v>0.42569</v>
      </c>
      <c r="U224" t="n">
        <v>-0.33646</v>
      </c>
      <c r="V224" t="n">
        <v>-0.72037</v>
      </c>
      <c r="W224" t="n">
        <v>0.31767</v>
      </c>
      <c r="X224" t="n">
        <v>0.34675</v>
      </c>
      <c r="Y224" t="n">
        <v>0.5150400000000001</v>
      </c>
      <c r="Z224" t="n">
        <v>-0.1402</v>
      </c>
    </row>
    <row r="225">
      <c r="A225" t="inlineStr">
        <is>
          <t>scary</t>
        </is>
      </c>
      <c r="B225" t="n">
        <v>0.17994</v>
      </c>
      <c r="C225" t="n">
        <v>-0.57694</v>
      </c>
      <c r="D225" t="n">
        <v>0.8329800000000001</v>
      </c>
      <c r="E225" t="n">
        <v>-0.18335</v>
      </c>
      <c r="F225" t="n">
        <v>0.23584</v>
      </c>
      <c r="G225" t="n">
        <v>0.96756</v>
      </c>
      <c r="H225" t="n">
        <v>2.4071</v>
      </c>
      <c r="I225" t="n">
        <v>-0.43545</v>
      </c>
      <c r="J225" t="n">
        <v>-0.31162</v>
      </c>
      <c r="K225" t="n">
        <v>0.087948</v>
      </c>
      <c r="L225" t="n">
        <v>-1.1125</v>
      </c>
      <c r="M225" t="n">
        <v>0.6993</v>
      </c>
      <c r="N225" t="n">
        <v>-3.0468</v>
      </c>
      <c r="O225" t="n">
        <v>-0.10877</v>
      </c>
      <c r="P225" t="n">
        <v>0.9278</v>
      </c>
      <c r="Q225" t="n">
        <v>1.0455</v>
      </c>
      <c r="R225" t="n">
        <v>0.75207</v>
      </c>
      <c r="S225" t="n">
        <v>-0.11061</v>
      </c>
      <c r="T225" t="n">
        <v>0.16354</v>
      </c>
      <c r="U225" t="n">
        <v>-0.017512</v>
      </c>
      <c r="V225" t="n">
        <v>0.64305</v>
      </c>
      <c r="W225" t="n">
        <v>0.52858</v>
      </c>
      <c r="X225" t="n">
        <v>0.30863</v>
      </c>
      <c r="Y225" t="n">
        <v>-0.38665</v>
      </c>
      <c r="Z225" t="n">
        <v>0.48076</v>
      </c>
    </row>
    <row r="226">
      <c r="A226" t="inlineStr">
        <is>
          <t>relationships</t>
        </is>
      </c>
      <c r="B226" t="n">
        <v>0.34753</v>
      </c>
      <c r="C226" t="n">
        <v>0.96756</v>
      </c>
      <c r="D226" t="n">
        <v>-0.8328100000000001</v>
      </c>
      <c r="E226" t="n">
        <v>0.45733</v>
      </c>
      <c r="F226" t="n">
        <v>1.1598</v>
      </c>
      <c r="G226" t="n">
        <v>1.0311</v>
      </c>
      <c r="H226" t="n">
        <v>1.4437</v>
      </c>
      <c r="I226" t="n">
        <v>-1.3766</v>
      </c>
      <c r="J226" t="n">
        <v>-0.4632</v>
      </c>
      <c r="K226" t="n">
        <v>0.054187</v>
      </c>
      <c r="L226" t="n">
        <v>-1.3152</v>
      </c>
      <c r="M226" t="n">
        <v>0.09704</v>
      </c>
      <c r="N226" t="n">
        <v>-3.6095</v>
      </c>
      <c r="O226" t="n">
        <v>1.0224</v>
      </c>
      <c r="P226" t="n">
        <v>-0.45522</v>
      </c>
      <c r="Q226" t="n">
        <v>1.6134</v>
      </c>
      <c r="R226" t="n">
        <v>-0.91147</v>
      </c>
      <c r="S226" t="n">
        <v>-0.61292</v>
      </c>
      <c r="T226" t="n">
        <v>1.7352</v>
      </c>
      <c r="U226" t="n">
        <v>-0.61014</v>
      </c>
      <c r="V226" t="n">
        <v>0.23049</v>
      </c>
      <c r="W226" t="n">
        <v>0.21651</v>
      </c>
      <c r="X226" t="n">
        <v>-0.89552</v>
      </c>
      <c r="Y226" t="n">
        <v>-0.29515</v>
      </c>
      <c r="Z226" t="n">
        <v>-0.61392</v>
      </c>
    </row>
    <row r="227">
      <c r="A227" t="inlineStr">
        <is>
          <t>turned</t>
        </is>
      </c>
      <c r="B227" t="n">
        <v>-0.58976</v>
      </c>
      <c r="C227" t="n">
        <v>0.16351</v>
      </c>
      <c r="D227" t="n">
        <v>1.213</v>
      </c>
      <c r="E227" t="n">
        <v>-0.43141</v>
      </c>
      <c r="F227" t="n">
        <v>0.13011</v>
      </c>
      <c r="G227" t="n">
        <v>0.15107</v>
      </c>
      <c r="H227" t="n">
        <v>1.0589</v>
      </c>
      <c r="I227" t="n">
        <v>-0.896</v>
      </c>
      <c r="J227" t="n">
        <v>-0.62264</v>
      </c>
      <c r="K227" t="n">
        <v>0.20822</v>
      </c>
      <c r="L227" t="n">
        <v>0.21937</v>
      </c>
      <c r="M227" t="n">
        <v>1.084</v>
      </c>
      <c r="N227" t="n">
        <v>-3.9974</v>
      </c>
      <c r="O227" t="n">
        <v>0.096777</v>
      </c>
      <c r="P227" t="n">
        <v>0.39257</v>
      </c>
      <c r="Q227" t="n">
        <v>0.42594</v>
      </c>
      <c r="R227" t="n">
        <v>0.78264</v>
      </c>
      <c r="S227" t="n">
        <v>0.21843</v>
      </c>
      <c r="T227" t="n">
        <v>0.31109</v>
      </c>
      <c r="U227" t="n">
        <v>-0.78987</v>
      </c>
      <c r="V227" t="n">
        <v>0.39336</v>
      </c>
      <c r="W227" t="n">
        <v>0.40831</v>
      </c>
      <c r="X227" t="n">
        <v>0.56625</v>
      </c>
      <c r="Y227" t="n">
        <v>-0.39079</v>
      </c>
      <c r="Z227" t="n">
        <v>-0.21147</v>
      </c>
    </row>
    <row r="228">
      <c r="A228" t="inlineStr">
        <is>
          <t>facts</t>
        </is>
      </c>
      <c r="B228" t="n">
        <v>0.85247</v>
      </c>
      <c r="C228" t="n">
        <v>-0.22076</v>
      </c>
      <c r="D228" t="n">
        <v>0.011022</v>
      </c>
      <c r="E228" t="n">
        <v>0.3823</v>
      </c>
      <c r="F228" t="n">
        <v>0.51051</v>
      </c>
      <c r="G228" t="n">
        <v>-0.3286</v>
      </c>
      <c r="H228" t="n">
        <v>1.2454</v>
      </c>
      <c r="I228" t="n">
        <v>0.24611</v>
      </c>
      <c r="J228" t="n">
        <v>0.032764</v>
      </c>
      <c r="K228" t="n">
        <v>-0.93185</v>
      </c>
      <c r="L228" t="n">
        <v>0.055352</v>
      </c>
      <c r="M228" t="n">
        <v>0.090545</v>
      </c>
      <c r="N228" t="n">
        <v>-2.8406</v>
      </c>
      <c r="O228" t="n">
        <v>-0.46562</v>
      </c>
      <c r="P228" t="n">
        <v>-0.43535</v>
      </c>
      <c r="Q228" t="n">
        <v>0.09306</v>
      </c>
      <c r="R228" t="n">
        <v>-1.18</v>
      </c>
      <c r="S228" t="n">
        <v>-0.16207</v>
      </c>
      <c r="T228" t="n">
        <v>0.3098</v>
      </c>
      <c r="U228" t="n">
        <v>-0.09866</v>
      </c>
      <c r="V228" t="n">
        <v>0.33044</v>
      </c>
      <c r="W228" t="n">
        <v>0.53683</v>
      </c>
      <c r="X228" t="n">
        <v>-0.94278</v>
      </c>
      <c r="Y228" t="n">
        <v>0.047016</v>
      </c>
      <c r="Z228" t="n">
        <v>-0.90598</v>
      </c>
    </row>
    <row r="229">
      <c r="A229" t="inlineStr">
        <is>
          <t>father</t>
        </is>
      </c>
      <c r="B229" t="n">
        <v>-1.2006</v>
      </c>
      <c r="C229" t="n">
        <v>0.59454</v>
      </c>
      <c r="D229" t="n">
        <v>0.27821</v>
      </c>
      <c r="E229" t="n">
        <v>0.86424</v>
      </c>
      <c r="F229" t="n">
        <v>0.021296</v>
      </c>
      <c r="G229" t="n">
        <v>-1.1184</v>
      </c>
      <c r="H229" t="n">
        <v>1.1299</v>
      </c>
      <c r="I229" t="n">
        <v>0.26826</v>
      </c>
      <c r="J229" t="n">
        <v>-0.41652</v>
      </c>
      <c r="K229" t="n">
        <v>-0.22056</v>
      </c>
      <c r="L229" t="n">
        <v>0.203</v>
      </c>
      <c r="M229" t="n">
        <v>0.57734</v>
      </c>
      <c r="N229" t="n">
        <v>-3.8551</v>
      </c>
      <c r="O229" t="n">
        <v>0.58745</v>
      </c>
      <c r="P229" t="n">
        <v>-0.21923</v>
      </c>
      <c r="Q229" t="n">
        <v>-0.30499</v>
      </c>
      <c r="R229" t="n">
        <v>0.75124</v>
      </c>
      <c r="S229" t="n">
        <v>0.31219</v>
      </c>
      <c r="T229" t="n">
        <v>0.29848</v>
      </c>
      <c r="U229" t="n">
        <v>-0.43404</v>
      </c>
      <c r="V229" t="n">
        <v>1.0534</v>
      </c>
      <c r="W229" t="n">
        <v>0.85965</v>
      </c>
      <c r="X229" t="n">
        <v>-0.90158</v>
      </c>
      <c r="Y229" t="n">
        <v>-0.47079</v>
      </c>
      <c r="Z229" t="n">
        <v>-0.37878</v>
      </c>
    </row>
    <row r="230">
      <c r="A230" t="inlineStr">
        <is>
          <t>north</t>
        </is>
      </c>
      <c r="B230" t="n">
        <v>-0.6343299999999999</v>
      </c>
      <c r="C230" t="n">
        <v>-0.10921</v>
      </c>
      <c r="D230" t="n">
        <v>0.18588</v>
      </c>
      <c r="E230" t="n">
        <v>-1.1485</v>
      </c>
      <c r="F230" t="n">
        <v>-1.2371</v>
      </c>
      <c r="G230" t="n">
        <v>0.059973</v>
      </c>
      <c r="H230" t="n">
        <v>0.44818</v>
      </c>
      <c r="I230" t="n">
        <v>-0.57546</v>
      </c>
      <c r="J230" t="n">
        <v>1.036</v>
      </c>
      <c r="K230" t="n">
        <v>0.55754</v>
      </c>
      <c r="L230" t="n">
        <v>-0.14212</v>
      </c>
      <c r="M230" t="n">
        <v>0.11916</v>
      </c>
      <c r="N230" t="n">
        <v>-4.0766</v>
      </c>
      <c r="O230" t="n">
        <v>1.1592</v>
      </c>
      <c r="P230" t="n">
        <v>0.96385</v>
      </c>
      <c r="Q230" t="n">
        <v>-1.0751</v>
      </c>
      <c r="R230" t="n">
        <v>0.072889</v>
      </c>
      <c r="S230" t="n">
        <v>0.08232200000000001</v>
      </c>
      <c r="T230" t="n">
        <v>0.10785</v>
      </c>
      <c r="U230" t="n">
        <v>0.32655</v>
      </c>
      <c r="V230" t="n">
        <v>0.20089</v>
      </c>
      <c r="W230" t="n">
        <v>-0.89903</v>
      </c>
      <c r="X230" t="n">
        <v>0.45692</v>
      </c>
      <c r="Y230" t="n">
        <v>-1.7969</v>
      </c>
      <c r="Z230" t="n">
        <v>-0.052046</v>
      </c>
    </row>
    <row r="231">
      <c r="A231" t="inlineStr">
        <is>
          <t>reasons</t>
        </is>
      </c>
      <c r="B231" t="n">
        <v>0.80098</v>
      </c>
      <c r="C231" t="n">
        <v>0.65709</v>
      </c>
      <c r="D231" t="n">
        <v>-0.48551</v>
      </c>
      <c r="E231" t="n">
        <v>0.32469</v>
      </c>
      <c r="F231" t="n">
        <v>0.47926</v>
      </c>
      <c r="G231" t="n">
        <v>-0.17366</v>
      </c>
      <c r="H231" t="n">
        <v>1.786</v>
      </c>
      <c r="I231" t="n">
        <v>-1.2606</v>
      </c>
      <c r="J231" t="n">
        <v>-0.63473</v>
      </c>
      <c r="K231" t="n">
        <v>-0.46124</v>
      </c>
      <c r="L231" t="n">
        <v>-0.42287</v>
      </c>
      <c r="M231" t="n">
        <v>-0.08020099999999999</v>
      </c>
      <c r="N231" t="n">
        <v>-3.527</v>
      </c>
      <c r="O231" t="n">
        <v>0.32713</v>
      </c>
      <c r="P231" t="n">
        <v>-0.15349</v>
      </c>
      <c r="Q231" t="n">
        <v>-0.045381</v>
      </c>
      <c r="R231" t="n">
        <v>-0.17459</v>
      </c>
      <c r="S231" t="n">
        <v>-0.23084</v>
      </c>
      <c r="T231" t="n">
        <v>0.65017</v>
      </c>
      <c r="U231" t="n">
        <v>-0.29495</v>
      </c>
      <c r="V231" t="n">
        <v>0.42561</v>
      </c>
      <c r="W231" t="n">
        <v>-0.037146</v>
      </c>
      <c r="X231" t="n">
        <v>-0.53642</v>
      </c>
      <c r="Y231" t="n">
        <v>-0.31798</v>
      </c>
      <c r="Z231" t="n">
        <v>-1.2393</v>
      </c>
    </row>
    <row r="232">
      <c r="A232" t="inlineStr">
        <is>
          <t>whenever</t>
        </is>
      </c>
      <c r="B232" t="n">
        <v>-0.47558</v>
      </c>
      <c r="C232" t="n">
        <v>0.40807</v>
      </c>
      <c r="D232" t="n">
        <v>0.27766</v>
      </c>
      <c r="E232" t="n">
        <v>0.51451</v>
      </c>
      <c r="F232" t="n">
        <v>-0.68124</v>
      </c>
      <c r="G232" t="n">
        <v>-0.57891</v>
      </c>
      <c r="H232" t="n">
        <v>1.8553</v>
      </c>
      <c r="I232" t="n">
        <v>-0.66821</v>
      </c>
      <c r="J232" t="n">
        <v>-0.34955</v>
      </c>
      <c r="K232" t="n">
        <v>0.20241</v>
      </c>
      <c r="L232" t="n">
        <v>-0.58195</v>
      </c>
      <c r="M232" t="n">
        <v>0.28852</v>
      </c>
      <c r="N232" t="n">
        <v>-3.6269</v>
      </c>
      <c r="O232" t="n">
        <v>-0.52803</v>
      </c>
      <c r="P232" t="n">
        <v>0.20851</v>
      </c>
      <c r="Q232" t="n">
        <v>1.0891</v>
      </c>
      <c r="R232" t="n">
        <v>0.45915</v>
      </c>
      <c r="S232" t="n">
        <v>-0.78132</v>
      </c>
      <c r="T232" t="n">
        <v>0.23743</v>
      </c>
      <c r="U232" t="n">
        <v>-0.9334</v>
      </c>
      <c r="V232" t="n">
        <v>0.42769</v>
      </c>
      <c r="W232" t="n">
        <v>-0.21752</v>
      </c>
      <c r="X232" t="n">
        <v>0.60027</v>
      </c>
      <c r="Y232" t="n">
        <v>0.18558</v>
      </c>
      <c r="Z232" t="n">
        <v>-0.6927</v>
      </c>
    </row>
    <row r="233">
      <c r="A233" t="inlineStr">
        <is>
          <t>lights</t>
        </is>
      </c>
      <c r="B233" t="n">
        <v>-0.85097</v>
      </c>
      <c r="C233" t="n">
        <v>-0.42152</v>
      </c>
      <c r="D233" t="n">
        <v>1.326</v>
      </c>
      <c r="E233" t="n">
        <v>-0.13128</v>
      </c>
      <c r="F233" t="n">
        <v>-0.62242</v>
      </c>
      <c r="G233" t="n">
        <v>0.39746</v>
      </c>
      <c r="H233" t="n">
        <v>1.2528</v>
      </c>
      <c r="I233" t="n">
        <v>-0.61511</v>
      </c>
      <c r="J233" t="n">
        <v>0.45056</v>
      </c>
      <c r="K233" t="n">
        <v>-0.31783</v>
      </c>
      <c r="L233" t="n">
        <v>-0.34301</v>
      </c>
      <c r="M233" t="n">
        <v>-0.2863</v>
      </c>
      <c r="N233" t="n">
        <v>-3.6237</v>
      </c>
      <c r="O233" t="n">
        <v>0.21411</v>
      </c>
      <c r="P233" t="n">
        <v>-0.48978</v>
      </c>
      <c r="Q233" t="n">
        <v>0.50751</v>
      </c>
      <c r="R233" t="n">
        <v>-0.68765</v>
      </c>
      <c r="S233" t="n">
        <v>-0.094328</v>
      </c>
      <c r="T233" t="n">
        <v>0.56599</v>
      </c>
      <c r="U233" t="n">
        <v>0.26151</v>
      </c>
      <c r="V233" t="n">
        <v>-0.82699</v>
      </c>
      <c r="W233" t="n">
        <v>-0.68715</v>
      </c>
      <c r="X233" t="n">
        <v>1.3926</v>
      </c>
      <c r="Y233" t="n">
        <v>-0.24623</v>
      </c>
      <c r="Z233" t="n">
        <v>0.29694</v>
      </c>
    </row>
    <row r="234">
      <c r="A234" t="inlineStr">
        <is>
          <t>feat</t>
        </is>
      </c>
      <c r="B234" t="n">
        <v>-0.74394</v>
      </c>
      <c r="C234" t="n">
        <v>-0.19184</v>
      </c>
      <c r="D234" t="n">
        <v>0.64183</v>
      </c>
      <c r="E234" t="n">
        <v>1.0467</v>
      </c>
      <c r="F234" t="n">
        <v>-0.53572</v>
      </c>
      <c r="G234" t="n">
        <v>-0.1984</v>
      </c>
      <c r="H234" t="n">
        <v>0.5694399999999999</v>
      </c>
      <c r="I234" t="n">
        <v>1.2957</v>
      </c>
      <c r="J234" t="n">
        <v>0.81984</v>
      </c>
      <c r="K234" t="n">
        <v>-1.2989</v>
      </c>
      <c r="L234" t="n">
        <v>-0.40469</v>
      </c>
      <c r="M234" t="n">
        <v>1.1792</v>
      </c>
      <c r="N234" t="n">
        <v>-2.6097</v>
      </c>
      <c r="O234" t="n">
        <v>-1.4365</v>
      </c>
      <c r="P234" t="n">
        <v>-0.18516</v>
      </c>
      <c r="Q234" t="n">
        <v>-0.01776</v>
      </c>
      <c r="R234" t="n">
        <v>-0.75385</v>
      </c>
      <c r="S234" t="n">
        <v>0.67804</v>
      </c>
      <c r="T234" t="n">
        <v>-0.27589</v>
      </c>
      <c r="U234" t="n">
        <v>0.75813</v>
      </c>
      <c r="V234" t="n">
        <v>0.16709</v>
      </c>
      <c r="W234" t="n">
        <v>-0.050842</v>
      </c>
      <c r="X234" t="n">
        <v>0.23142</v>
      </c>
      <c r="Y234" t="n">
        <v>-0.85087</v>
      </c>
      <c r="Z234" t="n">
        <v>0.7052</v>
      </c>
    </row>
    <row r="235">
      <c r="A235" t="inlineStr">
        <is>
          <t>hermoso</t>
        </is>
      </c>
      <c r="B235" t="n">
        <v>-1.2628</v>
      </c>
      <c r="C235" t="n">
        <v>-0.88129</v>
      </c>
      <c r="D235" t="n">
        <v>0.0067416</v>
      </c>
      <c r="E235" t="n">
        <v>0.40231</v>
      </c>
      <c r="F235" t="n">
        <v>1.0341</v>
      </c>
      <c r="G235" t="n">
        <v>-0.15835</v>
      </c>
      <c r="H235" t="n">
        <v>-0.08373700000000001</v>
      </c>
      <c r="I235" t="n">
        <v>3.2081</v>
      </c>
      <c r="J235" t="n">
        <v>-1.7856</v>
      </c>
      <c r="K235" t="n">
        <v>-1.7852</v>
      </c>
      <c r="L235" t="n">
        <v>0.9170700000000001</v>
      </c>
      <c r="M235" t="n">
        <v>-1.6074</v>
      </c>
      <c r="N235" t="n">
        <v>-0.44445</v>
      </c>
      <c r="O235" t="n">
        <v>-0.4844</v>
      </c>
      <c r="P235" t="n">
        <v>0.95169</v>
      </c>
      <c r="Q235" t="n">
        <v>-0.33715</v>
      </c>
      <c r="R235" t="n">
        <v>0.41177</v>
      </c>
      <c r="S235" t="n">
        <v>-0.36765</v>
      </c>
      <c r="T235" t="n">
        <v>-0.83388</v>
      </c>
      <c r="U235" t="n">
        <v>-0.35494</v>
      </c>
      <c r="V235" t="n">
        <v>0.47021</v>
      </c>
      <c r="W235" t="n">
        <v>-0.0014045</v>
      </c>
      <c r="X235" t="n">
        <v>1.07</v>
      </c>
      <c r="Y235" t="n">
        <v>0.78665</v>
      </c>
      <c r="Z235" t="n">
        <v>1.041</v>
      </c>
    </row>
    <row r="236">
      <c r="A236" t="inlineStr">
        <is>
          <t>everywhere</t>
        </is>
      </c>
      <c r="B236" t="n">
        <v>-0.044119</v>
      </c>
      <c r="C236" t="n">
        <v>-0.5135</v>
      </c>
      <c r="D236" t="n">
        <v>0.20058</v>
      </c>
      <c r="E236" t="n">
        <v>-0.16952</v>
      </c>
      <c r="F236" t="n">
        <v>-0.20174</v>
      </c>
      <c r="G236" t="n">
        <v>0.21978</v>
      </c>
      <c r="H236" t="n">
        <v>0.84292</v>
      </c>
      <c r="I236" t="n">
        <v>-0.6123</v>
      </c>
      <c r="J236" t="n">
        <v>-1.2632</v>
      </c>
      <c r="K236" t="n">
        <v>1.1645</v>
      </c>
      <c r="L236" t="n">
        <v>-0.45212</v>
      </c>
      <c r="M236" t="n">
        <v>0.08790199999999999</v>
      </c>
      <c r="N236" t="n">
        <v>-2.9077</v>
      </c>
      <c r="O236" t="n">
        <v>-0.39555</v>
      </c>
      <c r="P236" t="n">
        <v>0.50566</v>
      </c>
      <c r="Q236" t="n">
        <v>1.0176</v>
      </c>
      <c r="R236" t="n">
        <v>-0.20052</v>
      </c>
      <c r="S236" t="n">
        <v>-0.916</v>
      </c>
      <c r="T236" t="n">
        <v>1.023</v>
      </c>
      <c r="U236" t="n">
        <v>-0.49128</v>
      </c>
      <c r="V236" t="n">
        <v>-0.15098</v>
      </c>
      <c r="W236" t="n">
        <v>-0.39681</v>
      </c>
      <c r="X236" t="n">
        <v>0.44786</v>
      </c>
      <c r="Y236" t="n">
        <v>-0.22478</v>
      </c>
      <c r="Z236" t="n">
        <v>0.80725</v>
      </c>
    </row>
    <row r="237">
      <c r="A237" t="inlineStr">
        <is>
          <t>confused</t>
        </is>
      </c>
      <c r="B237" t="n">
        <v>0.20062</v>
      </c>
      <c r="C237" t="n">
        <v>-0.25641</v>
      </c>
      <c r="D237" t="n">
        <v>0.28745</v>
      </c>
      <c r="E237" t="n">
        <v>-0.47947</v>
      </c>
      <c r="F237" t="n">
        <v>0.27697</v>
      </c>
      <c r="G237" t="n">
        <v>0.3756</v>
      </c>
      <c r="H237" t="n">
        <v>1.6418</v>
      </c>
      <c r="I237" t="n">
        <v>-0.64137</v>
      </c>
      <c r="J237" t="n">
        <v>-0.83247</v>
      </c>
      <c r="K237" t="n">
        <v>0.43777</v>
      </c>
      <c r="L237" t="n">
        <v>-1.3069</v>
      </c>
      <c r="M237" t="n">
        <v>1.0325</v>
      </c>
      <c r="N237" t="n">
        <v>-3.1162</v>
      </c>
      <c r="O237" t="n">
        <v>-0.43718</v>
      </c>
      <c r="P237" t="n">
        <v>0.29939</v>
      </c>
      <c r="Q237" t="n">
        <v>0.22477</v>
      </c>
      <c r="R237" t="n">
        <v>0.42488</v>
      </c>
      <c r="S237" t="n">
        <v>-0.13024</v>
      </c>
      <c r="T237" t="n">
        <v>0.24584</v>
      </c>
      <c r="U237" t="n">
        <v>-0.89579</v>
      </c>
      <c r="V237" t="n">
        <v>1.1125</v>
      </c>
      <c r="W237" t="n">
        <v>0.47297</v>
      </c>
      <c r="X237" t="n">
        <v>-4.4347e-06</v>
      </c>
      <c r="Y237" t="n">
        <v>0.014274</v>
      </c>
      <c r="Z237" t="n">
        <v>-0.4804</v>
      </c>
    </row>
    <row r="238">
      <c r="A238" t="inlineStr">
        <is>
          <t>lyrics</t>
        </is>
      </c>
      <c r="B238" t="n">
        <v>0.84771</v>
      </c>
      <c r="C238" t="n">
        <v>-0.32735</v>
      </c>
      <c r="D238" t="n">
        <v>1.2383</v>
      </c>
      <c r="E238" t="n">
        <v>0.6101</v>
      </c>
      <c r="F238" t="n">
        <v>0.45704</v>
      </c>
      <c r="G238" t="n">
        <v>-0.76896</v>
      </c>
      <c r="H238" t="n">
        <v>1.819</v>
      </c>
      <c r="I238" t="n">
        <v>0.032016</v>
      </c>
      <c r="J238" t="n">
        <v>-0.077982</v>
      </c>
      <c r="K238" t="n">
        <v>-0.5743</v>
      </c>
      <c r="L238" t="n">
        <v>-0.51481</v>
      </c>
      <c r="M238" t="n">
        <v>1.0622</v>
      </c>
      <c r="N238" t="n">
        <v>-3.183</v>
      </c>
      <c r="O238" t="n">
        <v>-0.61373</v>
      </c>
      <c r="P238" t="n">
        <v>-0.34348</v>
      </c>
      <c r="Q238" t="n">
        <v>1.3318</v>
      </c>
      <c r="R238" t="n">
        <v>0.097867</v>
      </c>
      <c r="S238" t="n">
        <v>0.2192</v>
      </c>
      <c r="T238" t="n">
        <v>0.25605</v>
      </c>
      <c r="U238" t="n">
        <v>0.44495</v>
      </c>
      <c r="V238" t="n">
        <v>-0.13848</v>
      </c>
      <c r="W238" t="n">
        <v>0.2417</v>
      </c>
      <c r="X238" t="n">
        <v>0.12875</v>
      </c>
      <c r="Y238" t="n">
        <v>-0.22512</v>
      </c>
      <c r="Z238" t="n">
        <v>0.10195</v>
      </c>
    </row>
    <row r="239">
      <c r="A239" t="inlineStr">
        <is>
          <t>brothers</t>
        </is>
      </c>
      <c r="B239" t="n">
        <v>-0.42029</v>
      </c>
      <c r="C239" t="n">
        <v>0.66578</v>
      </c>
      <c r="D239" t="n">
        <v>1.2996</v>
      </c>
      <c r="E239" t="n">
        <v>0.024282</v>
      </c>
      <c r="F239" t="n">
        <v>-0.23939</v>
      </c>
      <c r="G239" t="n">
        <v>-0.19579</v>
      </c>
      <c r="H239" t="n">
        <v>1.0185</v>
      </c>
      <c r="I239" t="n">
        <v>0.33655</v>
      </c>
      <c r="J239" t="n">
        <v>-0.59955</v>
      </c>
      <c r="K239" t="n">
        <v>-1.0235</v>
      </c>
      <c r="L239" t="n">
        <v>0.07642400000000001</v>
      </c>
      <c r="M239" t="n">
        <v>-0.29332</v>
      </c>
      <c r="N239" t="n">
        <v>-3.2969</v>
      </c>
      <c r="O239" t="n">
        <v>0.069219</v>
      </c>
      <c r="P239" t="n">
        <v>-0.67314</v>
      </c>
      <c r="Q239" t="n">
        <v>0.01654</v>
      </c>
      <c r="R239" t="n">
        <v>-0.08565</v>
      </c>
      <c r="S239" t="n">
        <v>-0.57847</v>
      </c>
      <c r="T239" t="n">
        <v>0.59471</v>
      </c>
      <c r="U239" t="n">
        <v>0.38701</v>
      </c>
      <c r="V239" t="n">
        <v>0.20007</v>
      </c>
      <c r="W239" t="n">
        <v>0.31525</v>
      </c>
      <c r="X239" t="n">
        <v>-0.19351</v>
      </c>
      <c r="Y239" t="n">
        <v>-0.91503</v>
      </c>
      <c r="Z239" t="n">
        <v>0.43971</v>
      </c>
    </row>
    <row r="240">
      <c r="A240" t="inlineStr">
        <is>
          <t>completely</t>
        </is>
      </c>
      <c r="B240" t="n">
        <v>0.067162</v>
      </c>
      <c r="C240" t="n">
        <v>-0.47794</v>
      </c>
      <c r="D240" t="n">
        <v>-0.08359900000000001</v>
      </c>
      <c r="E240" t="n">
        <v>-1.0124</v>
      </c>
      <c r="F240" t="n">
        <v>-0.17569</v>
      </c>
      <c r="G240" t="n">
        <v>0.83655</v>
      </c>
      <c r="H240" t="n">
        <v>1.1572</v>
      </c>
      <c r="I240" t="n">
        <v>-1.3077</v>
      </c>
      <c r="J240" t="n">
        <v>-1.0314</v>
      </c>
      <c r="K240" t="n">
        <v>0.25218</v>
      </c>
      <c r="L240" t="n">
        <v>-0.11255</v>
      </c>
      <c r="M240" t="n">
        <v>1.0458</v>
      </c>
      <c r="N240" t="n">
        <v>-3.8369</v>
      </c>
      <c r="O240" t="n">
        <v>-0.19657</v>
      </c>
      <c r="P240" t="n">
        <v>0.23889</v>
      </c>
      <c r="Q240" t="n">
        <v>0.88225</v>
      </c>
      <c r="R240" t="n">
        <v>0.49131</v>
      </c>
      <c r="S240" t="n">
        <v>0.82169</v>
      </c>
      <c r="T240" t="n">
        <v>0.6907799999999999</v>
      </c>
      <c r="U240" t="n">
        <v>-1.7241</v>
      </c>
      <c r="V240" t="n">
        <v>0.10478</v>
      </c>
      <c r="W240" t="n">
        <v>-0.045817</v>
      </c>
      <c r="X240" t="n">
        <v>0.13771</v>
      </c>
      <c r="Y240" t="n">
        <v>-0.080621</v>
      </c>
      <c r="Z240" t="n">
        <v>-0.98934</v>
      </c>
    </row>
    <row r="241">
      <c r="A241" t="inlineStr">
        <is>
          <t>release</t>
        </is>
      </c>
      <c r="B241" t="n">
        <v>0.40815</v>
      </c>
      <c r="C241" t="n">
        <v>0.8683</v>
      </c>
      <c r="D241" t="n">
        <v>-0.008002199999999999</v>
      </c>
      <c r="E241" t="n">
        <v>-0.23987</v>
      </c>
      <c r="F241" t="n">
        <v>0.21431</v>
      </c>
      <c r="G241" t="n">
        <v>-1.0758</v>
      </c>
      <c r="H241" t="n">
        <v>1.0619</v>
      </c>
      <c r="I241" t="n">
        <v>0.053956</v>
      </c>
      <c r="J241" t="n">
        <v>0.81245</v>
      </c>
      <c r="K241" t="n">
        <v>-0.78886</v>
      </c>
      <c r="L241" t="n">
        <v>0.76977</v>
      </c>
      <c r="M241" t="n">
        <v>1.2186</v>
      </c>
      <c r="N241" t="n">
        <v>-3.4993</v>
      </c>
      <c r="O241" t="n">
        <v>0.66176</v>
      </c>
      <c r="P241" t="n">
        <v>-0.16499</v>
      </c>
      <c r="Q241" t="n">
        <v>0.055358</v>
      </c>
      <c r="R241" t="n">
        <v>0.068936</v>
      </c>
      <c r="S241" t="n">
        <v>0.12018</v>
      </c>
      <c r="T241" t="n">
        <v>-0.22751</v>
      </c>
      <c r="U241" t="n">
        <v>-0.48973</v>
      </c>
      <c r="V241" t="n">
        <v>-1.1694</v>
      </c>
      <c r="W241" t="n">
        <v>-0.56897</v>
      </c>
      <c r="X241" t="n">
        <v>0.25517</v>
      </c>
      <c r="Y241" t="n">
        <v>-0.4511</v>
      </c>
      <c r="Z241" t="n">
        <v>-0.18325</v>
      </c>
    </row>
    <row r="242">
      <c r="A242" t="inlineStr">
        <is>
          <t>somewhere</t>
        </is>
      </c>
      <c r="B242" t="n">
        <v>-1.2207</v>
      </c>
      <c r="C242" t="n">
        <v>0.24452</v>
      </c>
      <c r="D242" t="n">
        <v>0.73456</v>
      </c>
      <c r="E242" t="n">
        <v>0.060484</v>
      </c>
      <c r="F242" t="n">
        <v>-0.94007</v>
      </c>
      <c r="G242" t="n">
        <v>0.30293</v>
      </c>
      <c r="H242" t="n">
        <v>0.92924</v>
      </c>
      <c r="I242" t="n">
        <v>-0.85364</v>
      </c>
      <c r="J242" t="n">
        <v>-0.095655</v>
      </c>
      <c r="K242" t="n">
        <v>0.48787</v>
      </c>
      <c r="L242" t="n">
        <v>-0.95185</v>
      </c>
      <c r="M242" t="n">
        <v>0.46773</v>
      </c>
      <c r="N242" t="n">
        <v>-4.1868</v>
      </c>
      <c r="O242" t="n">
        <v>0.11455</v>
      </c>
      <c r="P242" t="n">
        <v>0.55127</v>
      </c>
      <c r="Q242" t="n">
        <v>0.73099</v>
      </c>
      <c r="R242" t="n">
        <v>0.32974</v>
      </c>
      <c r="S242" t="n">
        <v>-0.44861</v>
      </c>
      <c r="T242" t="n">
        <v>0.25552</v>
      </c>
      <c r="U242" t="n">
        <v>-0.83749</v>
      </c>
      <c r="V242" t="n">
        <v>0.041164</v>
      </c>
      <c r="W242" t="n">
        <v>-0.68175</v>
      </c>
      <c r="X242" t="n">
        <v>0.35445</v>
      </c>
      <c r="Y242" t="n">
        <v>-0.16383</v>
      </c>
      <c r="Z242" t="n">
        <v>0.15674</v>
      </c>
    </row>
    <row r="243">
      <c r="A243" t="inlineStr">
        <is>
          <t>fool</t>
        </is>
      </c>
      <c r="B243" t="n">
        <v>-0.2875</v>
      </c>
      <c r="C243" t="n">
        <v>0.70136</v>
      </c>
      <c r="D243" t="n">
        <v>-0.053231</v>
      </c>
      <c r="E243" t="n">
        <v>0.53328</v>
      </c>
      <c r="F243" t="n">
        <v>0.1847</v>
      </c>
      <c r="G243" t="n">
        <v>0.043655</v>
      </c>
      <c r="H243" t="n">
        <v>0.66766</v>
      </c>
      <c r="I243" t="n">
        <v>-0.29819</v>
      </c>
      <c r="J243" t="n">
        <v>-0.12127</v>
      </c>
      <c r="K243" t="n">
        <v>0.12744</v>
      </c>
      <c r="L243" t="n">
        <v>-1.3963</v>
      </c>
      <c r="M243" t="n">
        <v>1.339</v>
      </c>
      <c r="N243" t="n">
        <v>-3.6382</v>
      </c>
      <c r="O243" t="n">
        <v>-0.21475</v>
      </c>
      <c r="P243" t="n">
        <v>0.16296</v>
      </c>
      <c r="Q243" t="n">
        <v>0.34167</v>
      </c>
      <c r="R243" t="n">
        <v>0.32164</v>
      </c>
      <c r="S243" t="n">
        <v>-0.42494</v>
      </c>
      <c r="T243" t="n">
        <v>0.20903</v>
      </c>
      <c r="U243" t="n">
        <v>-0.1431</v>
      </c>
      <c r="V243" t="n">
        <v>1.5817</v>
      </c>
      <c r="W243" t="n">
        <v>0.87796</v>
      </c>
      <c r="X243" t="n">
        <v>0.51432</v>
      </c>
      <c r="Y243" t="n">
        <v>0.10648</v>
      </c>
      <c r="Z243" t="n">
        <v>0.19072</v>
      </c>
    </row>
    <row r="244">
      <c r="A244" t="inlineStr">
        <is>
          <t>writing</t>
        </is>
      </c>
      <c r="B244" t="n">
        <v>0.47162</v>
      </c>
      <c r="C244" t="n">
        <v>0.66614</v>
      </c>
      <c r="D244" t="n">
        <v>0.70081</v>
      </c>
      <c r="E244" t="n">
        <v>0.22768</v>
      </c>
      <c r="F244" t="n">
        <v>1.5459</v>
      </c>
      <c r="G244" t="n">
        <v>-0.36022</v>
      </c>
      <c r="H244" t="n">
        <v>1.7913</v>
      </c>
      <c r="I244" t="n">
        <v>-1.4681</v>
      </c>
      <c r="J244" t="n">
        <v>0.2308</v>
      </c>
      <c r="K244" t="n">
        <v>-0.81623</v>
      </c>
      <c r="L244" t="n">
        <v>-0.68465</v>
      </c>
      <c r="M244" t="n">
        <v>0.81374</v>
      </c>
      <c r="N244" t="n">
        <v>-3.4263</v>
      </c>
      <c r="O244" t="n">
        <v>-0.48557</v>
      </c>
      <c r="P244" t="n">
        <v>0.77121</v>
      </c>
      <c r="Q244" t="n">
        <v>0.17818</v>
      </c>
      <c r="R244" t="n">
        <v>0.10702</v>
      </c>
      <c r="S244" t="n">
        <v>0.58844</v>
      </c>
      <c r="T244" t="n">
        <v>-0.64797</v>
      </c>
      <c r="U244" t="n">
        <v>-0.88656</v>
      </c>
      <c r="V244" t="n">
        <v>-0.70526</v>
      </c>
      <c r="W244" t="n">
        <v>-0.50338</v>
      </c>
      <c r="X244" t="n">
        <v>-1.2819</v>
      </c>
      <c r="Y244" t="n">
        <v>0.30536</v>
      </c>
      <c r="Z244" t="n">
        <v>-0.54335</v>
      </c>
    </row>
    <row r="245">
      <c r="A245" t="inlineStr">
        <is>
          <t>usually</t>
        </is>
      </c>
      <c r="B245" t="n">
        <v>0.034289</v>
      </c>
      <c r="C245" t="n">
        <v>0.17377</v>
      </c>
      <c r="D245" t="n">
        <v>-0.41827</v>
      </c>
      <c r="E245" t="n">
        <v>-0.4276</v>
      </c>
      <c r="F245" t="n">
        <v>-0.10436</v>
      </c>
      <c r="G245" t="n">
        <v>0.9351699999999999</v>
      </c>
      <c r="H245" t="n">
        <v>1.849</v>
      </c>
      <c r="I245" t="n">
        <v>-1.4892</v>
      </c>
      <c r="J245" t="n">
        <v>-0.16769</v>
      </c>
      <c r="K245" t="n">
        <v>-0.31248</v>
      </c>
      <c r="L245" t="n">
        <v>0.0073328</v>
      </c>
      <c r="M245" t="n">
        <v>0.38948</v>
      </c>
      <c r="N245" t="n">
        <v>-3.7615</v>
      </c>
      <c r="O245" t="n">
        <v>0.44704</v>
      </c>
      <c r="P245" t="n">
        <v>-0.32349</v>
      </c>
      <c r="Q245" t="n">
        <v>1.2373</v>
      </c>
      <c r="R245" t="n">
        <v>0.32766</v>
      </c>
      <c r="S245" t="n">
        <v>-0.41888</v>
      </c>
      <c r="T245" t="n">
        <v>0.83309</v>
      </c>
      <c r="U245" t="n">
        <v>-1.0101</v>
      </c>
      <c r="V245" t="n">
        <v>0.99446</v>
      </c>
      <c r="W245" t="n">
        <v>0.034381</v>
      </c>
      <c r="X245" t="n">
        <v>-0.31239</v>
      </c>
      <c r="Y245" t="n">
        <v>0.56341</v>
      </c>
      <c r="Z245" t="n">
        <v>-0.59989</v>
      </c>
    </row>
    <row r="246">
      <c r="A246" t="inlineStr">
        <is>
          <t>famous</t>
        </is>
      </c>
      <c r="B246" t="n">
        <v>0.039869</v>
      </c>
      <c r="C246" t="n">
        <v>0.082689</v>
      </c>
      <c r="D246" t="n">
        <v>0.19099</v>
      </c>
      <c r="E246" t="n">
        <v>-0.49366</v>
      </c>
      <c r="F246" t="n">
        <v>0.22099</v>
      </c>
      <c r="G246" t="n">
        <v>0.30519</v>
      </c>
      <c r="H246" t="n">
        <v>1.2337</v>
      </c>
      <c r="I246" t="n">
        <v>0.17109</v>
      </c>
      <c r="J246" t="n">
        <v>-0.11226</v>
      </c>
      <c r="K246" t="n">
        <v>-0.053095</v>
      </c>
      <c r="L246" t="n">
        <v>-0.28459</v>
      </c>
      <c r="M246" t="n">
        <v>0.35004</v>
      </c>
      <c r="N246" t="n">
        <v>-3.2753</v>
      </c>
      <c r="O246" t="n">
        <v>-0.72902</v>
      </c>
      <c r="P246" t="n">
        <v>-0.2271</v>
      </c>
      <c r="Q246" t="n">
        <v>0.85738</v>
      </c>
      <c r="R246" t="n">
        <v>0.69781</v>
      </c>
      <c r="S246" t="n">
        <v>-0.92372</v>
      </c>
      <c r="T246" t="n">
        <v>-0.29794</v>
      </c>
      <c r="U246" t="n">
        <v>0.15974</v>
      </c>
      <c r="V246" t="n">
        <v>0.3467</v>
      </c>
      <c r="W246" t="n">
        <v>0.52696</v>
      </c>
      <c r="X246" t="n">
        <v>-1.3404</v>
      </c>
      <c r="Y246" t="n">
        <v>-1.0554</v>
      </c>
      <c r="Z246" t="n">
        <v>-0.63587</v>
      </c>
    </row>
    <row r="247">
      <c r="A247" t="inlineStr">
        <is>
          <t>toca</t>
        </is>
      </c>
      <c r="B247" t="n">
        <v>0.18456</v>
      </c>
      <c r="C247" t="n">
        <v>0.4263</v>
      </c>
      <c r="D247" t="n">
        <v>0.47789</v>
      </c>
      <c r="E247" t="n">
        <v>0.25387</v>
      </c>
      <c r="F247" t="n">
        <v>-0.14668</v>
      </c>
      <c r="G247" t="n">
        <v>0.78343</v>
      </c>
      <c r="H247" t="n">
        <v>-0.10615</v>
      </c>
      <c r="I247" t="n">
        <v>1.8496</v>
      </c>
      <c r="J247" t="n">
        <v>0.44459</v>
      </c>
      <c r="K247" t="n">
        <v>-1.7612</v>
      </c>
      <c r="L247" t="n">
        <v>-0.032623</v>
      </c>
      <c r="M247" t="n">
        <v>-2.8665</v>
      </c>
      <c r="N247" t="n">
        <v>-1.0723</v>
      </c>
      <c r="O247" t="n">
        <v>0.11795</v>
      </c>
      <c r="P247" t="n">
        <v>1.0457</v>
      </c>
      <c r="Q247" t="n">
        <v>0.55391</v>
      </c>
      <c r="R247" t="n">
        <v>-0.37425</v>
      </c>
      <c r="S247" t="n">
        <v>0.54896</v>
      </c>
      <c r="T247" t="n">
        <v>-0.25627</v>
      </c>
      <c r="U247" t="n">
        <v>-0.085146</v>
      </c>
      <c r="V247" t="n">
        <v>-0.39387</v>
      </c>
      <c r="W247" t="n">
        <v>-0.14373</v>
      </c>
      <c r="X247" t="n">
        <v>0.75987</v>
      </c>
      <c r="Y247" t="n">
        <v>1.2971</v>
      </c>
      <c r="Z247" t="n">
        <v>1.3549</v>
      </c>
    </row>
    <row r="248">
      <c r="A248" t="inlineStr">
        <is>
          <t>acting</t>
        </is>
      </c>
      <c r="B248" t="n">
        <v>0.052382</v>
      </c>
      <c r="C248" t="n">
        <v>0.70743</v>
      </c>
      <c r="D248" t="n">
        <v>0.448</v>
      </c>
      <c r="E248" t="n">
        <v>-0.41754</v>
      </c>
      <c r="F248" t="n">
        <v>1.0628</v>
      </c>
      <c r="G248" t="n">
        <v>0.75339</v>
      </c>
      <c r="H248" t="n">
        <v>0.85226</v>
      </c>
      <c r="I248" t="n">
        <v>-0.43025</v>
      </c>
      <c r="J248" t="n">
        <v>0.22719</v>
      </c>
      <c r="K248" t="n">
        <v>-0.053197</v>
      </c>
      <c r="L248" t="n">
        <v>-1.255</v>
      </c>
      <c r="M248" t="n">
        <v>1.141</v>
      </c>
      <c r="N248" t="n">
        <v>-3.5264</v>
      </c>
      <c r="O248" t="n">
        <v>-0.5198700000000001</v>
      </c>
      <c r="P248" t="n">
        <v>0.23522</v>
      </c>
      <c r="Q248" t="n">
        <v>0.8797</v>
      </c>
      <c r="R248" t="n">
        <v>-0.21993</v>
      </c>
      <c r="S248" t="n">
        <v>-0.54243</v>
      </c>
      <c r="T248" t="n">
        <v>-0.047995</v>
      </c>
      <c r="U248" t="n">
        <v>-0.49577</v>
      </c>
      <c r="V248" t="n">
        <v>0.85709</v>
      </c>
      <c r="W248" t="n">
        <v>1.3881</v>
      </c>
      <c r="X248" t="n">
        <v>-0.66864</v>
      </c>
      <c r="Y248" t="n">
        <v>-0.44075</v>
      </c>
      <c r="Z248" t="n">
        <v>-0.56514</v>
      </c>
    </row>
    <row r="249">
      <c r="A249" t="inlineStr">
        <is>
          <t>often</t>
        </is>
      </c>
      <c r="B249" t="n">
        <v>0.043623</v>
      </c>
      <c r="C249" t="n">
        <v>-0.42988</v>
      </c>
      <c r="D249" t="n">
        <v>-0.8168</v>
      </c>
      <c r="E249" t="n">
        <v>-0.093511</v>
      </c>
      <c r="F249" t="n">
        <v>-0.19595</v>
      </c>
      <c r="G249" t="n">
        <v>0.62685</v>
      </c>
      <c r="H249" t="n">
        <v>1.5326</v>
      </c>
      <c r="I249" t="n">
        <v>-1.3656</v>
      </c>
      <c r="J249" t="n">
        <v>-0.22624</v>
      </c>
      <c r="K249" t="n">
        <v>-0.20569</v>
      </c>
      <c r="L249" t="n">
        <v>0.042017</v>
      </c>
      <c r="M249" t="n">
        <v>0.47914</v>
      </c>
      <c r="N249" t="n">
        <v>-3.7139</v>
      </c>
      <c r="O249" t="n">
        <v>0.4994</v>
      </c>
      <c r="P249" t="n">
        <v>-0.39773</v>
      </c>
      <c r="Q249" t="n">
        <v>1.1578</v>
      </c>
      <c r="R249" t="n">
        <v>-0.03029</v>
      </c>
      <c r="S249" t="n">
        <v>-0.15746</v>
      </c>
      <c r="T249" t="n">
        <v>1.2516</v>
      </c>
      <c r="U249" t="n">
        <v>-1.6536</v>
      </c>
      <c r="V249" t="n">
        <v>0.59399</v>
      </c>
      <c r="W249" t="n">
        <v>-0.16196</v>
      </c>
      <c r="X249" t="n">
        <v>-0.82308</v>
      </c>
      <c r="Y249" t="n">
        <v>0.27985</v>
      </c>
      <c r="Z249" t="n">
        <v>-0.71606</v>
      </c>
    </row>
    <row r="250">
      <c r="A250" t="inlineStr">
        <is>
          <t>performance</t>
        </is>
      </c>
      <c r="B250" t="n">
        <v>-0.061537</v>
      </c>
      <c r="C250" t="n">
        <v>-0.22383</v>
      </c>
      <c r="D250" t="n">
        <v>0.26648</v>
      </c>
      <c r="E250" t="n">
        <v>-0.64877</v>
      </c>
      <c r="F250" t="n">
        <v>1.0662</v>
      </c>
      <c r="G250" t="n">
        <v>-0.12977</v>
      </c>
      <c r="H250" t="n">
        <v>1.1463</v>
      </c>
      <c r="I250" t="n">
        <v>0.099069</v>
      </c>
      <c r="J250" t="n">
        <v>0.5093</v>
      </c>
      <c r="K250" t="n">
        <v>-1.6321</v>
      </c>
      <c r="L250" t="n">
        <v>-0.019711</v>
      </c>
      <c r="M250" t="n">
        <v>0.58263</v>
      </c>
      <c r="N250" t="n">
        <v>-3.5154</v>
      </c>
      <c r="O250" t="n">
        <v>0.66394</v>
      </c>
      <c r="P250" t="n">
        <v>0.51503</v>
      </c>
      <c r="Q250" t="n">
        <v>0.53479</v>
      </c>
      <c r="R250" t="n">
        <v>-0.53347</v>
      </c>
      <c r="S250" t="n">
        <v>-0.0050854</v>
      </c>
      <c r="T250" t="n">
        <v>-0.56047</v>
      </c>
      <c r="U250" t="n">
        <v>0.23826</v>
      </c>
      <c r="V250" t="n">
        <v>-1.2561</v>
      </c>
      <c r="W250" t="n">
        <v>0.18834</v>
      </c>
      <c r="X250" t="n">
        <v>-0.21685</v>
      </c>
      <c r="Y250" t="n">
        <v>-0.3822</v>
      </c>
      <c r="Z250" t="n">
        <v>-0.45664</v>
      </c>
    </row>
    <row r="251">
      <c r="A251" t="inlineStr">
        <is>
          <t>french</t>
        </is>
      </c>
      <c r="B251" t="n">
        <v>0.032345</v>
      </c>
      <c r="C251" t="n">
        <v>-0.23005</v>
      </c>
      <c r="D251" t="n">
        <v>-0.23824</v>
      </c>
      <c r="E251" t="n">
        <v>0.21445</v>
      </c>
      <c r="F251" t="n">
        <v>-0.016903</v>
      </c>
      <c r="G251" t="n">
        <v>-0.40386</v>
      </c>
      <c r="H251" t="n">
        <v>1.2358</v>
      </c>
      <c r="I251" t="n">
        <v>-1.0788</v>
      </c>
      <c r="J251" t="n">
        <v>0.5573</v>
      </c>
      <c r="K251" t="n">
        <v>-0.37364</v>
      </c>
      <c r="L251" t="n">
        <v>0.48901</v>
      </c>
      <c r="M251" t="n">
        <v>-0.32968</v>
      </c>
      <c r="N251" t="n">
        <v>-3.6225</v>
      </c>
      <c r="O251" t="n">
        <v>-0.7805299999999999</v>
      </c>
      <c r="P251" t="n">
        <v>0.299</v>
      </c>
      <c r="Q251" t="n">
        <v>-0.43676</v>
      </c>
      <c r="R251" t="n">
        <v>0.80754</v>
      </c>
      <c r="S251" t="n">
        <v>-0.23902</v>
      </c>
      <c r="T251" t="n">
        <v>-0.67589</v>
      </c>
      <c r="U251" t="n">
        <v>0.90773</v>
      </c>
      <c r="V251" t="n">
        <v>-0.15814</v>
      </c>
      <c r="W251" t="n">
        <v>0.5248</v>
      </c>
      <c r="X251" t="n">
        <v>-0.74391</v>
      </c>
      <c r="Y251" t="n">
        <v>-1.0375</v>
      </c>
      <c r="Z251" t="n">
        <v>0.52758</v>
      </c>
    </row>
    <row r="252">
      <c r="A252" t="inlineStr">
        <is>
          <t>hat</t>
        </is>
      </c>
      <c r="B252" t="n">
        <v>0.12782</v>
      </c>
      <c r="C252" t="n">
        <v>-1.3741</v>
      </c>
      <c r="D252" t="n">
        <v>-0.2691</v>
      </c>
      <c r="E252" t="n">
        <v>-1.8568</v>
      </c>
      <c r="F252" t="n">
        <v>0.43623</v>
      </c>
      <c r="G252" t="n">
        <v>0.64086</v>
      </c>
      <c r="H252" t="n">
        <v>-0.58174</v>
      </c>
      <c r="I252" t="n">
        <v>-0.46048</v>
      </c>
      <c r="J252" t="n">
        <v>0.029651</v>
      </c>
      <c r="K252" t="n">
        <v>-0.21927</v>
      </c>
      <c r="L252" t="n">
        <v>1.0443</v>
      </c>
      <c r="M252" t="n">
        <v>1.0684</v>
      </c>
      <c r="N252" t="n">
        <v>-3.0252</v>
      </c>
      <c r="O252" t="n">
        <v>-1.1388</v>
      </c>
      <c r="P252" t="n">
        <v>-0.15265</v>
      </c>
      <c r="Q252" t="n">
        <v>-0.42817</v>
      </c>
      <c r="R252" t="n">
        <v>1.3622</v>
      </c>
      <c r="S252" t="n">
        <v>-0.053427</v>
      </c>
      <c r="T252" t="n">
        <v>-1.2111</v>
      </c>
      <c r="U252" t="n">
        <v>-0.29012</v>
      </c>
      <c r="V252" t="n">
        <v>-0.019759</v>
      </c>
      <c r="W252" t="n">
        <v>0.78843</v>
      </c>
      <c r="X252" t="n">
        <v>0.11146</v>
      </c>
      <c r="Y252" t="n">
        <v>0.004119</v>
      </c>
      <c r="Z252" t="n">
        <v>0.16901</v>
      </c>
    </row>
    <row r="253">
      <c r="A253" t="inlineStr">
        <is>
          <t>reality</t>
        </is>
      </c>
      <c r="B253" t="n">
        <v>0.43862</v>
      </c>
      <c r="C253" t="n">
        <v>-0.015304</v>
      </c>
      <c r="D253" t="n">
        <v>-0.23216</v>
      </c>
      <c r="E253" t="n">
        <v>0.37073</v>
      </c>
      <c r="F253" t="n">
        <v>0.59433</v>
      </c>
      <c r="G253" t="n">
        <v>-0.048274</v>
      </c>
      <c r="H253" t="n">
        <v>1.3368</v>
      </c>
      <c r="I253" t="n">
        <v>-0.088604</v>
      </c>
      <c r="J253" t="n">
        <v>-0.11646</v>
      </c>
      <c r="K253" t="n">
        <v>-0.7630400000000001</v>
      </c>
      <c r="L253" t="n">
        <v>-0.7481100000000001</v>
      </c>
      <c r="M253" t="n">
        <v>0.11079</v>
      </c>
      <c r="N253" t="n">
        <v>-3.4392</v>
      </c>
      <c r="O253" t="n">
        <v>0.32851</v>
      </c>
      <c r="P253" t="n">
        <v>0.38304</v>
      </c>
      <c r="Q253" t="n">
        <v>0.83053</v>
      </c>
      <c r="R253" t="n">
        <v>-0.40193</v>
      </c>
      <c r="S253" t="n">
        <v>0.20066</v>
      </c>
      <c r="T253" t="n">
        <v>0.81153</v>
      </c>
      <c r="U253" t="n">
        <v>-0.52704</v>
      </c>
      <c r="V253" t="n">
        <v>-0.21561</v>
      </c>
      <c r="W253" t="n">
        <v>-0.14561</v>
      </c>
      <c r="X253" t="n">
        <v>-0.03104</v>
      </c>
      <c r="Y253" t="n">
        <v>-0.34831</v>
      </c>
      <c r="Z253" t="n">
        <v>-0.10453</v>
      </c>
    </row>
    <row r="254">
      <c r="A254" t="inlineStr">
        <is>
          <t>action</t>
        </is>
      </c>
      <c r="B254" t="n">
        <v>0.32668</v>
      </c>
      <c r="C254" t="n">
        <v>0.13222</v>
      </c>
      <c r="D254" t="n">
        <v>-1.0072</v>
      </c>
      <c r="E254" t="n">
        <v>0.039418</v>
      </c>
      <c r="F254" t="n">
        <v>0.6719000000000001</v>
      </c>
      <c r="G254" t="n">
        <v>-0.20832</v>
      </c>
      <c r="H254" t="n">
        <v>1.08</v>
      </c>
      <c r="I254" t="n">
        <v>-0.16197</v>
      </c>
      <c r="J254" t="n">
        <v>0.92399</v>
      </c>
      <c r="K254" t="n">
        <v>-0.32308</v>
      </c>
      <c r="L254" t="n">
        <v>0.26439</v>
      </c>
      <c r="M254" t="n">
        <v>0.81291</v>
      </c>
      <c r="N254" t="n">
        <v>-3.3277</v>
      </c>
      <c r="O254" t="n">
        <v>0.57036</v>
      </c>
      <c r="P254" t="n">
        <v>0.3416</v>
      </c>
      <c r="Q254" t="n">
        <v>0.71646</v>
      </c>
      <c r="R254" t="n">
        <v>-0.34915</v>
      </c>
      <c r="S254" t="n">
        <v>0.00021202</v>
      </c>
      <c r="T254" t="n">
        <v>-0.1148</v>
      </c>
      <c r="U254" t="n">
        <v>-0.22729</v>
      </c>
      <c r="V254" t="n">
        <v>-0.79288</v>
      </c>
      <c r="W254" t="n">
        <v>0.007933900000000001</v>
      </c>
      <c r="X254" t="n">
        <v>-0.26529</v>
      </c>
      <c r="Y254" t="n">
        <v>-0.79078</v>
      </c>
      <c r="Z254" t="n">
        <v>0.0046833</v>
      </c>
    </row>
    <row r="255">
      <c r="A255" t="inlineStr">
        <is>
          <t>tous</t>
        </is>
      </c>
      <c r="B255" t="n">
        <v>0.92965</v>
      </c>
      <c r="C255" t="n">
        <v>-0.12339</v>
      </c>
      <c r="D255" t="n">
        <v>-2.1698</v>
      </c>
      <c r="E255" t="n">
        <v>0.87893</v>
      </c>
      <c r="F255" t="n">
        <v>-0.72688</v>
      </c>
      <c r="G255" t="n">
        <v>0.57383</v>
      </c>
      <c r="H255" t="n">
        <v>-0.15757</v>
      </c>
      <c r="I255" t="n">
        <v>-0.20646</v>
      </c>
      <c r="J255" t="n">
        <v>-0.53828</v>
      </c>
      <c r="K255" t="n">
        <v>-0.6692900000000001</v>
      </c>
      <c r="L255" t="n">
        <v>0.23996</v>
      </c>
      <c r="M255" t="n">
        <v>-1.0466</v>
      </c>
      <c r="N255" t="n">
        <v>-1.4497</v>
      </c>
      <c r="O255" t="n">
        <v>0.62863</v>
      </c>
      <c r="P255" t="n">
        <v>0.29123</v>
      </c>
      <c r="Q255" t="n">
        <v>1.5643</v>
      </c>
      <c r="R255" t="n">
        <v>-0.92073</v>
      </c>
      <c r="S255" t="n">
        <v>-1.0308</v>
      </c>
      <c r="T255" t="n">
        <v>-3.5063</v>
      </c>
      <c r="U255" t="n">
        <v>1.6695</v>
      </c>
      <c r="V255" t="n">
        <v>0.46881</v>
      </c>
      <c r="W255" t="n">
        <v>-1.2169</v>
      </c>
      <c r="X255" t="n">
        <v>0.048551</v>
      </c>
      <c r="Y255" t="n">
        <v>-1.0259</v>
      </c>
      <c r="Z255" t="n">
        <v>-0.31217</v>
      </c>
    </row>
    <row r="256">
      <c r="A256" t="inlineStr">
        <is>
          <t>basically</t>
        </is>
      </c>
      <c r="B256" t="n">
        <v>0.10155</v>
      </c>
      <c r="C256" t="n">
        <v>0.29879</v>
      </c>
      <c r="D256" t="n">
        <v>0.86955</v>
      </c>
      <c r="E256" t="n">
        <v>-0.94176</v>
      </c>
      <c r="F256" t="n">
        <v>-0.084589</v>
      </c>
      <c r="G256" t="n">
        <v>-0.27671</v>
      </c>
      <c r="H256" t="n">
        <v>1.6418</v>
      </c>
      <c r="I256" t="n">
        <v>-1.2734</v>
      </c>
      <c r="J256" t="n">
        <v>-1.2425</v>
      </c>
      <c r="K256" t="n">
        <v>0.33412</v>
      </c>
      <c r="L256" t="n">
        <v>0.14184</v>
      </c>
      <c r="M256" t="n">
        <v>0.45175</v>
      </c>
      <c r="N256" t="n">
        <v>-3.7</v>
      </c>
      <c r="O256" t="n">
        <v>-0.5741000000000001</v>
      </c>
      <c r="P256" t="n">
        <v>0.44415</v>
      </c>
      <c r="Q256" t="n">
        <v>0.58785</v>
      </c>
      <c r="R256" t="n">
        <v>0.2303</v>
      </c>
      <c r="S256" t="n">
        <v>0.3363</v>
      </c>
      <c r="T256" t="n">
        <v>0.15089</v>
      </c>
      <c r="U256" t="n">
        <v>-0.42222</v>
      </c>
      <c r="V256" t="n">
        <v>0.41328</v>
      </c>
      <c r="W256" t="n">
        <v>0.5221</v>
      </c>
      <c r="X256" t="n">
        <v>-0.27462</v>
      </c>
      <c r="Y256" t="n">
        <v>0.016932</v>
      </c>
      <c r="Z256" t="n">
        <v>-0.62635</v>
      </c>
    </row>
    <row r="257">
      <c r="A257" t="inlineStr">
        <is>
          <t>sigh</t>
        </is>
      </c>
      <c r="B257" t="n">
        <v>-0.06490600000000001</v>
      </c>
      <c r="C257" t="n">
        <v>-0.068692</v>
      </c>
      <c r="D257" t="n">
        <v>0.045796</v>
      </c>
      <c r="E257" t="n">
        <v>-0.1352</v>
      </c>
      <c r="F257" t="n">
        <v>-0.33921</v>
      </c>
      <c r="G257" t="n">
        <v>-0.1869</v>
      </c>
      <c r="H257" t="n">
        <v>2.0157</v>
      </c>
      <c r="I257" t="n">
        <v>-0.30695</v>
      </c>
      <c r="J257" t="n">
        <v>-0.5779300000000001</v>
      </c>
      <c r="K257" t="n">
        <v>0.70605</v>
      </c>
      <c r="L257" t="n">
        <v>-1.1024</v>
      </c>
      <c r="M257" t="n">
        <v>0.6367</v>
      </c>
      <c r="N257" t="n">
        <v>-2.6485</v>
      </c>
      <c r="O257" t="n">
        <v>-0.062111</v>
      </c>
      <c r="P257" t="n">
        <v>0.7697000000000001</v>
      </c>
      <c r="Q257" t="n">
        <v>0.35408</v>
      </c>
      <c r="R257" t="n">
        <v>0.38852</v>
      </c>
      <c r="S257" t="n">
        <v>-0.69563</v>
      </c>
      <c r="T257" t="n">
        <v>-0.1723</v>
      </c>
      <c r="U257" t="n">
        <v>-0.89372</v>
      </c>
      <c r="V257" t="n">
        <v>0.26682</v>
      </c>
      <c r="W257" t="n">
        <v>0.10256</v>
      </c>
      <c r="X257" t="n">
        <v>0.26332</v>
      </c>
      <c r="Y257" t="n">
        <v>0.98885</v>
      </c>
      <c r="Z257" t="n">
        <v>-0.16172</v>
      </c>
    </row>
    <row r="258">
      <c r="A258" t="inlineStr">
        <is>
          <t>argentina</t>
        </is>
      </c>
      <c r="B258" t="n">
        <v>-0.27073</v>
      </c>
      <c r="C258" t="n">
        <v>0.38372</v>
      </c>
      <c r="D258" t="n">
        <v>0.18891</v>
      </c>
      <c r="E258" t="n">
        <v>-1.2852</v>
      </c>
      <c r="F258" t="n">
        <v>-0.77133</v>
      </c>
      <c r="G258" t="n">
        <v>-0.25838</v>
      </c>
      <c r="H258" t="n">
        <v>0.0012678</v>
      </c>
      <c r="I258" t="n">
        <v>1.9221</v>
      </c>
      <c r="J258" t="n">
        <v>-0.64225</v>
      </c>
      <c r="K258" t="n">
        <v>-0.8569</v>
      </c>
      <c r="L258" t="n">
        <v>0.29261</v>
      </c>
      <c r="M258" t="n">
        <v>-1.9232</v>
      </c>
      <c r="N258" t="n">
        <v>-2.4372</v>
      </c>
      <c r="O258" t="n">
        <v>0.52307</v>
      </c>
      <c r="P258" t="n">
        <v>0.85019</v>
      </c>
      <c r="Q258" t="n">
        <v>-0.23369</v>
      </c>
      <c r="R258" t="n">
        <v>-1.2787</v>
      </c>
      <c r="S258" t="n">
        <v>-0.12687</v>
      </c>
      <c r="T258" t="n">
        <v>0.8771099999999999</v>
      </c>
      <c r="U258" t="n">
        <v>0.27588</v>
      </c>
      <c r="V258" t="n">
        <v>-0.34398</v>
      </c>
      <c r="W258" t="n">
        <v>-0.5009400000000001</v>
      </c>
      <c r="X258" t="n">
        <v>0.038049</v>
      </c>
      <c r="Y258" t="n">
        <v>-1.0912</v>
      </c>
      <c r="Z258" t="n">
        <v>0.40273</v>
      </c>
    </row>
    <row r="259">
      <c r="A259" t="inlineStr">
        <is>
          <t>ideas</t>
        </is>
      </c>
      <c r="B259" t="n">
        <v>0.44718</v>
      </c>
      <c r="C259" t="n">
        <v>-0.15463</v>
      </c>
      <c r="D259" t="n">
        <v>-0.091087</v>
      </c>
      <c r="E259" t="n">
        <v>0.59785</v>
      </c>
      <c r="F259" t="n">
        <v>1.5199</v>
      </c>
      <c r="G259" t="n">
        <v>1.1169</v>
      </c>
      <c r="H259" t="n">
        <v>0.36175</v>
      </c>
      <c r="I259" t="n">
        <v>-0.24884</v>
      </c>
      <c r="J259" t="n">
        <v>-0.81853</v>
      </c>
      <c r="K259" t="n">
        <v>-1.2022</v>
      </c>
      <c r="L259" t="n">
        <v>0.20377</v>
      </c>
      <c r="M259" t="n">
        <v>-1.2674</v>
      </c>
      <c r="N259" t="n">
        <v>-3.4163</v>
      </c>
      <c r="O259" t="n">
        <v>0.89619</v>
      </c>
      <c r="P259" t="n">
        <v>0.29395</v>
      </c>
      <c r="Q259" t="n">
        <v>0.46895</v>
      </c>
      <c r="R259" t="n">
        <v>0.62795</v>
      </c>
      <c r="S259" t="n">
        <v>-0.43023</v>
      </c>
      <c r="T259" t="n">
        <v>1.3666</v>
      </c>
      <c r="U259" t="n">
        <v>-0.11776</v>
      </c>
      <c r="V259" t="n">
        <v>0.037592</v>
      </c>
      <c r="W259" t="n">
        <v>-1.7202</v>
      </c>
      <c r="X259" t="n">
        <v>-1.1257</v>
      </c>
      <c r="Y259" t="n">
        <v>0.21561</v>
      </c>
      <c r="Z259" t="n">
        <v>-0.49251</v>
      </c>
    </row>
    <row r="260">
      <c r="A260" t="inlineStr">
        <is>
          <t>tb</t>
        </is>
      </c>
      <c r="B260" t="n">
        <v>1.0418</v>
      </c>
      <c r="C260" t="n">
        <v>-0.27265</v>
      </c>
      <c r="D260" t="n">
        <v>0.21825</v>
      </c>
      <c r="E260" t="n">
        <v>-0.65194</v>
      </c>
      <c r="F260" t="n">
        <v>-0.056783</v>
      </c>
      <c r="G260" t="n">
        <v>-0.037894</v>
      </c>
      <c r="H260" t="n">
        <v>-0.51548</v>
      </c>
      <c r="I260" t="n">
        <v>1.1252</v>
      </c>
      <c r="J260" t="n">
        <v>0.67496</v>
      </c>
      <c r="K260" t="n">
        <v>-0.69168</v>
      </c>
      <c r="L260" t="n">
        <v>-0.54942</v>
      </c>
      <c r="M260" t="n">
        <v>-1.834</v>
      </c>
      <c r="N260" t="n">
        <v>-2.0523</v>
      </c>
      <c r="O260" t="n">
        <v>-0.7296899999999999</v>
      </c>
      <c r="P260" t="n">
        <v>0.21908</v>
      </c>
      <c r="Q260" t="n">
        <v>-0.85525</v>
      </c>
      <c r="R260" t="n">
        <v>-0.94595</v>
      </c>
      <c r="S260" t="n">
        <v>0.21759</v>
      </c>
      <c r="T260" t="n">
        <v>-0.46916</v>
      </c>
      <c r="U260" t="n">
        <v>0.27346</v>
      </c>
      <c r="V260" t="n">
        <v>-0.21359</v>
      </c>
      <c r="W260" t="n">
        <v>-0.13171</v>
      </c>
      <c r="X260" t="n">
        <v>0.35781</v>
      </c>
      <c r="Y260" t="n">
        <v>1.7851</v>
      </c>
      <c r="Z260" t="n">
        <v>-0.29847</v>
      </c>
    </row>
    <row r="261">
      <c r="A261" t="inlineStr">
        <is>
          <t>haters</t>
        </is>
      </c>
      <c r="B261" t="n">
        <v>1.4431</v>
      </c>
      <c r="C261" t="n">
        <v>0.69025</v>
      </c>
      <c r="D261" t="n">
        <v>-0.14233</v>
      </c>
      <c r="E261" t="n">
        <v>0.09138</v>
      </c>
      <c r="F261" t="n">
        <v>-0.35043</v>
      </c>
      <c r="G261" t="n">
        <v>0.06696199999999999</v>
      </c>
      <c r="H261" t="n">
        <v>0.63872</v>
      </c>
      <c r="I261" t="n">
        <v>0.47704</v>
      </c>
      <c r="J261" t="n">
        <v>-1.1988</v>
      </c>
      <c r="K261" t="n">
        <v>0.48296</v>
      </c>
      <c r="L261" t="n">
        <v>-0.73507</v>
      </c>
      <c r="M261" t="n">
        <v>-0.54797</v>
      </c>
      <c r="N261" t="n">
        <v>-2.9244</v>
      </c>
      <c r="O261" t="n">
        <v>-0.18596</v>
      </c>
      <c r="P261" t="n">
        <v>-0.68836</v>
      </c>
      <c r="Q261" t="n">
        <v>1.3674</v>
      </c>
      <c r="R261" t="n">
        <v>-0.80209</v>
      </c>
      <c r="S261" t="n">
        <v>-1.0843</v>
      </c>
      <c r="T261" t="n">
        <v>0.57206</v>
      </c>
      <c r="U261" t="n">
        <v>0.022485</v>
      </c>
      <c r="V261" t="n">
        <v>0.048123</v>
      </c>
      <c r="W261" t="n">
        <v>1.3948</v>
      </c>
      <c r="X261" t="n">
        <v>-0.28984</v>
      </c>
      <c r="Y261" t="n">
        <v>-0.29731</v>
      </c>
      <c r="Z261" t="n">
        <v>-0.52033</v>
      </c>
    </row>
    <row r="262">
      <c r="A262" t="inlineStr">
        <is>
          <t>spanish</t>
        </is>
      </c>
      <c r="B262" t="n">
        <v>0.70687</v>
      </c>
      <c r="C262" t="n">
        <v>0.27737</v>
      </c>
      <c r="D262" t="n">
        <v>0.29135</v>
      </c>
      <c r="E262" t="n">
        <v>-0.32655</v>
      </c>
      <c r="F262" t="n">
        <v>0.53873</v>
      </c>
      <c r="G262" t="n">
        <v>-0.6552</v>
      </c>
      <c r="H262" t="n">
        <v>1.3572</v>
      </c>
      <c r="I262" t="n">
        <v>-0.252</v>
      </c>
      <c r="J262" t="n">
        <v>-0.31642</v>
      </c>
      <c r="K262" t="n">
        <v>-0.42327</v>
      </c>
      <c r="L262" t="n">
        <v>-0.42736</v>
      </c>
      <c r="M262" t="n">
        <v>-0.94879</v>
      </c>
      <c r="N262" t="n">
        <v>-3.5532</v>
      </c>
      <c r="O262" t="n">
        <v>-0.41173</v>
      </c>
      <c r="P262" t="n">
        <v>1.2858</v>
      </c>
      <c r="Q262" t="n">
        <v>-0.14992</v>
      </c>
      <c r="R262" t="n">
        <v>0.7192499999999999</v>
      </c>
      <c r="S262" t="n">
        <v>-0.16208</v>
      </c>
      <c r="T262" t="n">
        <v>0.62338</v>
      </c>
      <c r="U262" t="n">
        <v>0.38048</v>
      </c>
      <c r="V262" t="n">
        <v>-0.045843</v>
      </c>
      <c r="W262" t="n">
        <v>0.47896</v>
      </c>
      <c r="X262" t="n">
        <v>-0.52391</v>
      </c>
      <c r="Y262" t="n">
        <v>-0.7980699999999999</v>
      </c>
      <c r="Z262" t="n">
        <v>0.27835</v>
      </c>
    </row>
    <row r="263">
      <c r="A263" t="inlineStr">
        <is>
          <t>honey</t>
        </is>
      </c>
      <c r="B263" t="n">
        <v>-1.1577</v>
      </c>
      <c r="C263" t="n">
        <v>6.9084e-05</v>
      </c>
      <c r="D263" t="n">
        <v>-0.047085</v>
      </c>
      <c r="E263" t="n">
        <v>1.0946</v>
      </c>
      <c r="F263" t="n">
        <v>-0.57535</v>
      </c>
      <c r="G263" t="n">
        <v>0.14699</v>
      </c>
      <c r="H263" t="n">
        <v>1.1171</v>
      </c>
      <c r="I263" t="n">
        <v>-0.25332</v>
      </c>
      <c r="J263" t="n">
        <v>-0.3211</v>
      </c>
      <c r="K263" t="n">
        <v>0.15969</v>
      </c>
      <c r="L263" t="n">
        <v>0.17062</v>
      </c>
      <c r="M263" t="n">
        <v>0.10785</v>
      </c>
      <c r="N263" t="n">
        <v>-3.2352</v>
      </c>
      <c r="O263" t="n">
        <v>-1.189</v>
      </c>
      <c r="P263" t="n">
        <v>-0.16816</v>
      </c>
      <c r="Q263" t="n">
        <v>-0.85082</v>
      </c>
      <c r="R263" t="n">
        <v>0.9559299999999999</v>
      </c>
      <c r="S263" t="n">
        <v>-0.80499</v>
      </c>
      <c r="T263" t="n">
        <v>0.097743</v>
      </c>
      <c r="U263" t="n">
        <v>0.79175</v>
      </c>
      <c r="V263" t="n">
        <v>0.10002</v>
      </c>
      <c r="W263" t="n">
        <v>0.37295</v>
      </c>
      <c r="X263" t="n">
        <v>-0.29056</v>
      </c>
      <c r="Y263" t="n">
        <v>1.1269</v>
      </c>
      <c r="Z263" t="n">
        <v>0.58791</v>
      </c>
    </row>
    <row r="264">
      <c r="A264" t="inlineStr">
        <is>
          <t>thankyou</t>
        </is>
      </c>
      <c r="B264" t="n">
        <v>-1.0148</v>
      </c>
      <c r="C264" t="n">
        <v>0.63602</v>
      </c>
      <c r="D264" t="n">
        <v>-0.32181</v>
      </c>
      <c r="E264" t="n">
        <v>-0.10618</v>
      </c>
      <c r="F264" t="n">
        <v>-0.78187</v>
      </c>
      <c r="G264" t="n">
        <v>-1.1146</v>
      </c>
      <c r="H264" t="n">
        <v>1.4299</v>
      </c>
      <c r="I264" t="n">
        <v>0.76108</v>
      </c>
      <c r="J264" t="n">
        <v>-1.6094</v>
      </c>
      <c r="K264" t="n">
        <v>0.31389</v>
      </c>
      <c r="L264" t="n">
        <v>-0.84797</v>
      </c>
      <c r="M264" t="n">
        <v>0.41291</v>
      </c>
      <c r="N264" t="n">
        <v>-2.341</v>
      </c>
      <c r="O264" t="n">
        <v>-0.28066</v>
      </c>
      <c r="P264" t="n">
        <v>0.21862</v>
      </c>
      <c r="Q264" t="n">
        <v>-0.6299400000000001</v>
      </c>
      <c r="R264" t="n">
        <v>1.0663</v>
      </c>
      <c r="S264" t="n">
        <v>-0.76411</v>
      </c>
      <c r="T264" t="n">
        <v>-0.96146</v>
      </c>
      <c r="U264" t="n">
        <v>0.37067</v>
      </c>
      <c r="V264" t="n">
        <v>-0.29075</v>
      </c>
      <c r="W264" t="n">
        <v>-0.014232</v>
      </c>
      <c r="X264" t="n">
        <v>-1.6547</v>
      </c>
      <c r="Y264" t="n">
        <v>2.0954</v>
      </c>
      <c r="Z264" t="n">
        <v>-0.57089</v>
      </c>
    </row>
    <row r="265">
      <c r="A265" t="inlineStr">
        <is>
          <t>apparently</t>
        </is>
      </c>
      <c r="B265" t="n">
        <v>0.064398</v>
      </c>
      <c r="C265" t="n">
        <v>0.15736</v>
      </c>
      <c r="D265" t="n">
        <v>0.6581</v>
      </c>
      <c r="E265" t="n">
        <v>-0.6632400000000001</v>
      </c>
      <c r="F265" t="n">
        <v>-0.46587</v>
      </c>
      <c r="G265" t="n">
        <v>-0.47057</v>
      </c>
      <c r="H265" t="n">
        <v>1.4282</v>
      </c>
      <c r="I265" t="n">
        <v>-0.94465</v>
      </c>
      <c r="J265" t="n">
        <v>-0.82479</v>
      </c>
      <c r="K265" t="n">
        <v>0.4744</v>
      </c>
      <c r="L265" t="n">
        <v>0.51497</v>
      </c>
      <c r="M265" t="n">
        <v>0.3877</v>
      </c>
      <c r="N265" t="n">
        <v>-3.7751</v>
      </c>
      <c r="O265" t="n">
        <v>-0.41114</v>
      </c>
      <c r="P265" t="n">
        <v>0.82111</v>
      </c>
      <c r="Q265" t="n">
        <v>0.19181</v>
      </c>
      <c r="R265" t="n">
        <v>0.62215</v>
      </c>
      <c r="S265" t="n">
        <v>0.066903</v>
      </c>
      <c r="T265" t="n">
        <v>0.09596</v>
      </c>
      <c r="U265" t="n">
        <v>-0.61224</v>
      </c>
      <c r="V265" t="n">
        <v>0.45109</v>
      </c>
      <c r="W265" t="n">
        <v>0.351</v>
      </c>
      <c r="X265" t="n">
        <v>-0.20295</v>
      </c>
      <c r="Y265" t="n">
        <v>-0.43811</v>
      </c>
      <c r="Z265" t="n">
        <v>-0.6543</v>
      </c>
    </row>
    <row r="266">
      <c r="A266" t="inlineStr">
        <is>
          <t>crack</t>
        </is>
      </c>
      <c r="B266" t="n">
        <v>0.034745</v>
      </c>
      <c r="C266" t="n">
        <v>0.33101</v>
      </c>
      <c r="D266" t="n">
        <v>0.19566</v>
      </c>
      <c r="E266" t="n">
        <v>0.098956</v>
      </c>
      <c r="F266" t="n">
        <v>0.82131</v>
      </c>
      <c r="G266" t="n">
        <v>0.38986</v>
      </c>
      <c r="H266" t="n">
        <v>0.25083</v>
      </c>
      <c r="I266" t="n">
        <v>0.31054</v>
      </c>
      <c r="J266" t="n">
        <v>-0.78801</v>
      </c>
      <c r="K266" t="n">
        <v>-0.31732</v>
      </c>
      <c r="L266" t="n">
        <v>0.43446</v>
      </c>
      <c r="M266" t="n">
        <v>-0.94569</v>
      </c>
      <c r="N266" t="n">
        <v>-2.8173</v>
      </c>
      <c r="O266" t="n">
        <v>-1.0493</v>
      </c>
      <c r="P266" t="n">
        <v>1.0235</v>
      </c>
      <c r="Q266" t="n">
        <v>-0.33736</v>
      </c>
      <c r="R266" t="n">
        <v>0.21296</v>
      </c>
      <c r="S266" t="n">
        <v>-0.5419</v>
      </c>
      <c r="T266" t="n">
        <v>0.16642</v>
      </c>
      <c r="U266" t="n">
        <v>-0.16589</v>
      </c>
      <c r="V266" t="n">
        <v>0.36591</v>
      </c>
      <c r="W266" t="n">
        <v>0.40401</v>
      </c>
      <c r="X266" t="n">
        <v>1.3286</v>
      </c>
      <c r="Y266" t="n">
        <v>-0.14232</v>
      </c>
      <c r="Z266" t="n">
        <v>0.45473</v>
      </c>
    </row>
    <row r="267">
      <c r="A267" t="inlineStr">
        <is>
          <t>tree</t>
        </is>
      </c>
      <c r="B267" t="n">
        <v>-1.5226</v>
      </c>
      <c r="C267" t="n">
        <v>-0.68566</v>
      </c>
      <c r="D267" t="n">
        <v>1.1082</v>
      </c>
      <c r="E267" t="n">
        <v>0.6348200000000001</v>
      </c>
      <c r="F267" t="n">
        <v>-0.11657</v>
      </c>
      <c r="G267" t="n">
        <v>0.46269</v>
      </c>
      <c r="H267" t="n">
        <v>1.1379</v>
      </c>
      <c r="I267" t="n">
        <v>-1.1312</v>
      </c>
      <c r="J267" t="n">
        <v>0.665</v>
      </c>
      <c r="K267" t="n">
        <v>0.14649</v>
      </c>
      <c r="L267" t="n">
        <v>0.31165</v>
      </c>
      <c r="M267" t="n">
        <v>-0.01846</v>
      </c>
      <c r="N267" t="n">
        <v>-3.5233</v>
      </c>
      <c r="O267" t="n">
        <v>0.18662</v>
      </c>
      <c r="P267" t="n">
        <v>-0.54836</v>
      </c>
      <c r="Q267" t="n">
        <v>-0.54557</v>
      </c>
      <c r="R267" t="n">
        <v>0.74326</v>
      </c>
      <c r="S267" t="n">
        <v>0.13081</v>
      </c>
      <c r="T267" t="n">
        <v>0.011478</v>
      </c>
      <c r="U267" t="n">
        <v>0.33892</v>
      </c>
      <c r="V267" t="n">
        <v>-0.54205</v>
      </c>
      <c r="W267" t="n">
        <v>-0.10345</v>
      </c>
      <c r="X267" t="n">
        <v>0.34124</v>
      </c>
      <c r="Y267" t="n">
        <v>0.08645</v>
      </c>
      <c r="Z267" t="n">
        <v>0.53662</v>
      </c>
    </row>
    <row r="268">
      <c r="A268" t="inlineStr">
        <is>
          <t>thru</t>
        </is>
      </c>
      <c r="B268" t="n">
        <v>-0.47535</v>
      </c>
      <c r="C268" t="n">
        <v>1.4591</v>
      </c>
      <c r="D268" t="n">
        <v>0.80636</v>
      </c>
      <c r="E268" t="n">
        <v>0.63028</v>
      </c>
      <c r="F268" t="n">
        <v>-0.027425</v>
      </c>
      <c r="G268" t="n">
        <v>0.13492</v>
      </c>
      <c r="H268" t="n">
        <v>0.03255</v>
      </c>
      <c r="I268" t="n">
        <v>-0.81331</v>
      </c>
      <c r="J268" t="n">
        <v>0.15986</v>
      </c>
      <c r="K268" t="n">
        <v>0.6255500000000001</v>
      </c>
      <c r="L268" t="n">
        <v>-1.1095</v>
      </c>
      <c r="M268" t="n">
        <v>0.72907</v>
      </c>
      <c r="N268" t="n">
        <v>-4.2011</v>
      </c>
      <c r="O268" t="n">
        <v>0.5583399999999999</v>
      </c>
      <c r="P268" t="n">
        <v>-0.035074</v>
      </c>
      <c r="Q268" t="n">
        <v>0.49191</v>
      </c>
      <c r="R268" t="n">
        <v>0.51908</v>
      </c>
      <c r="S268" t="n">
        <v>-0.46322</v>
      </c>
      <c r="T268" t="n">
        <v>-0.18285</v>
      </c>
      <c r="U268" t="n">
        <v>-0.3671</v>
      </c>
      <c r="V268" t="n">
        <v>-0.41865</v>
      </c>
      <c r="W268" t="n">
        <v>-0.66771</v>
      </c>
      <c r="X268" t="n">
        <v>1.3072</v>
      </c>
      <c r="Y268" t="n">
        <v>-0.094336</v>
      </c>
      <c r="Z268" t="n">
        <v>0.1178</v>
      </c>
    </row>
    <row r="269">
      <c r="A269" t="inlineStr">
        <is>
          <t>earlier</t>
        </is>
      </c>
      <c r="B269" t="n">
        <v>-0.26113</v>
      </c>
      <c r="C269" t="n">
        <v>0.40345</v>
      </c>
      <c r="D269" t="n">
        <v>1.1443</v>
      </c>
      <c r="E269" t="n">
        <v>-0.41922</v>
      </c>
      <c r="F269" t="n">
        <v>-0.022028</v>
      </c>
      <c r="G269" t="n">
        <v>-0.3973</v>
      </c>
      <c r="H269" t="n">
        <v>0.7734799999999999</v>
      </c>
      <c r="I269" t="n">
        <v>-0.91986</v>
      </c>
      <c r="J269" t="n">
        <v>-0.7429</v>
      </c>
      <c r="K269" t="n">
        <v>0.47288</v>
      </c>
      <c r="L269" t="n">
        <v>-0.25045</v>
      </c>
      <c r="M269" t="n">
        <v>0.89724</v>
      </c>
      <c r="N269" t="n">
        <v>-3.7292</v>
      </c>
      <c r="O269" t="n">
        <v>0.24486</v>
      </c>
      <c r="P269" t="n">
        <v>1.5853</v>
      </c>
      <c r="Q269" t="n">
        <v>0.32482</v>
      </c>
      <c r="R269" t="n">
        <v>0.78159</v>
      </c>
      <c r="S269" t="n">
        <v>-0.44149</v>
      </c>
      <c r="T269" t="n">
        <v>-0.73541</v>
      </c>
      <c r="U269" t="n">
        <v>-0.72117</v>
      </c>
      <c r="V269" t="n">
        <v>0.07419000000000001</v>
      </c>
      <c r="W269" t="n">
        <v>-0.43432</v>
      </c>
      <c r="X269" t="n">
        <v>0.41985</v>
      </c>
      <c r="Y269" t="n">
        <v>0.10919</v>
      </c>
      <c r="Z269" t="n">
        <v>-0.044016</v>
      </c>
    </row>
    <row r="270">
      <c r="A270" t="inlineStr">
        <is>
          <t>beyonce</t>
        </is>
      </c>
      <c r="B270" t="n">
        <v>-0.09649199999999999</v>
      </c>
      <c r="C270" t="n">
        <v>0.037891</v>
      </c>
      <c r="D270" t="n">
        <v>0.80589</v>
      </c>
      <c r="E270" t="n">
        <v>0.18337</v>
      </c>
      <c r="F270" t="n">
        <v>-0.27446</v>
      </c>
      <c r="G270" t="n">
        <v>-0.25349</v>
      </c>
      <c r="H270" t="n">
        <v>0.83314</v>
      </c>
      <c r="I270" t="n">
        <v>0.37725</v>
      </c>
      <c r="J270" t="n">
        <v>-0.73831</v>
      </c>
      <c r="K270" t="n">
        <v>-1.1767</v>
      </c>
      <c r="L270" t="n">
        <v>-0.027829</v>
      </c>
      <c r="M270" t="n">
        <v>0.78207</v>
      </c>
      <c r="N270" t="n">
        <v>-3.1712</v>
      </c>
      <c r="O270" t="n">
        <v>-1.0581</v>
      </c>
      <c r="P270" t="n">
        <v>-0.3669</v>
      </c>
      <c r="Q270" t="n">
        <v>0.81512</v>
      </c>
      <c r="R270" t="n">
        <v>-0.80498</v>
      </c>
      <c r="S270" t="n">
        <v>-0.18248</v>
      </c>
      <c r="T270" t="n">
        <v>-0.65261</v>
      </c>
      <c r="U270" t="n">
        <v>0.41624</v>
      </c>
      <c r="V270" t="n">
        <v>0.058277</v>
      </c>
      <c r="W270" t="n">
        <v>0.78047</v>
      </c>
      <c r="X270" t="n">
        <v>0.067802</v>
      </c>
      <c r="Y270" t="n">
        <v>-1.0324</v>
      </c>
      <c r="Z270" t="n">
        <v>-0.042793</v>
      </c>
    </row>
    <row r="271">
      <c r="A271" t="inlineStr">
        <is>
          <t>easily</t>
        </is>
      </c>
      <c r="B271" t="n">
        <v>0.37945</v>
      </c>
      <c r="C271" t="n">
        <v>-0.39129</v>
      </c>
      <c r="D271" t="n">
        <v>-0.76653</v>
      </c>
      <c r="E271" t="n">
        <v>-0.58858</v>
      </c>
      <c r="F271" t="n">
        <v>0.058445</v>
      </c>
      <c r="G271" t="n">
        <v>0.90238</v>
      </c>
      <c r="H271" t="n">
        <v>0.9779</v>
      </c>
      <c r="I271" t="n">
        <v>-0.88878</v>
      </c>
      <c r="J271" t="n">
        <v>-0.65978</v>
      </c>
      <c r="K271" t="n">
        <v>-0.19867</v>
      </c>
      <c r="L271" t="n">
        <v>-0.28618</v>
      </c>
      <c r="M271" t="n">
        <v>0.99965</v>
      </c>
      <c r="N271" t="n">
        <v>-3.5359</v>
      </c>
      <c r="O271" t="n">
        <v>-0.2344</v>
      </c>
      <c r="P271" t="n">
        <v>-0.24922</v>
      </c>
      <c r="Q271" t="n">
        <v>0.96548</v>
      </c>
      <c r="R271" t="n">
        <v>0.25937</v>
      </c>
      <c r="S271" t="n">
        <v>-0.42306</v>
      </c>
      <c r="T271" t="n">
        <v>1.7598</v>
      </c>
      <c r="U271" t="n">
        <v>-1.8199</v>
      </c>
      <c r="V271" t="n">
        <v>0.12013</v>
      </c>
      <c r="W271" t="n">
        <v>0.038816</v>
      </c>
      <c r="X271" t="n">
        <v>0.29139</v>
      </c>
      <c r="Y271" t="n">
        <v>0.2147</v>
      </c>
      <c r="Z271" t="n">
        <v>-1.0045</v>
      </c>
    </row>
    <row r="272">
      <c r="A272" t="inlineStr">
        <is>
          <t>usted</t>
        </is>
      </c>
      <c r="B272" t="n">
        <v>-0.38635</v>
      </c>
      <c r="C272" t="n">
        <v>0.24203</v>
      </c>
      <c r="D272" t="n">
        <v>-0.56507</v>
      </c>
      <c r="E272" t="n">
        <v>0.36288</v>
      </c>
      <c r="F272" t="n">
        <v>0.27187</v>
      </c>
      <c r="G272" t="n">
        <v>-0.34529</v>
      </c>
      <c r="H272" t="n">
        <v>-0.90464</v>
      </c>
      <c r="I272" t="n">
        <v>2.9433</v>
      </c>
      <c r="J272" t="n">
        <v>-0.63427</v>
      </c>
      <c r="K272" t="n">
        <v>-0.61121</v>
      </c>
      <c r="L272" t="n">
        <v>0.43575</v>
      </c>
      <c r="M272" t="n">
        <v>-2.6471</v>
      </c>
      <c r="N272" t="n">
        <v>-1.2659</v>
      </c>
      <c r="O272" t="n">
        <v>-0.57238</v>
      </c>
      <c r="P272" t="n">
        <v>1.5107</v>
      </c>
      <c r="Q272" t="n">
        <v>-0.12659</v>
      </c>
      <c r="R272" t="n">
        <v>0.19447</v>
      </c>
      <c r="S272" t="n">
        <v>0.48449</v>
      </c>
      <c r="T272" t="n">
        <v>0.6218900000000001</v>
      </c>
      <c r="U272" t="n">
        <v>-0.38673</v>
      </c>
      <c r="V272" t="n">
        <v>2.0278</v>
      </c>
      <c r="W272" t="n">
        <v>-0.49977</v>
      </c>
      <c r="X272" t="n">
        <v>-0.12791</v>
      </c>
      <c r="Y272" t="n">
        <v>0.82576</v>
      </c>
      <c r="Z272" t="n">
        <v>-0.51015</v>
      </c>
    </row>
    <row r="273">
      <c r="A273" t="inlineStr">
        <is>
          <t>texas</t>
        </is>
      </c>
      <c r="B273" t="n">
        <v>-0.43933</v>
      </c>
      <c r="C273" t="n">
        <v>0.59484</v>
      </c>
      <c r="D273" t="n">
        <v>-0.21573</v>
      </c>
      <c r="E273" t="n">
        <v>-1.063</v>
      </c>
      <c r="F273" t="n">
        <v>-0.68292</v>
      </c>
      <c r="G273" t="n">
        <v>-0.12815</v>
      </c>
      <c r="H273" t="n">
        <v>0.42667</v>
      </c>
      <c r="I273" t="n">
        <v>-0.35689</v>
      </c>
      <c r="J273" t="n">
        <v>0.3395</v>
      </c>
      <c r="K273" t="n">
        <v>-0.024025</v>
      </c>
      <c r="L273" t="n">
        <v>-0.0058822</v>
      </c>
      <c r="M273" t="n">
        <v>-0.53376</v>
      </c>
      <c r="N273" t="n">
        <v>-3.6359</v>
      </c>
      <c r="O273" t="n">
        <v>0.47907</v>
      </c>
      <c r="P273" t="n">
        <v>1.2912</v>
      </c>
      <c r="Q273" t="n">
        <v>-1.2059</v>
      </c>
      <c r="R273" t="n">
        <v>0.009515600000000001</v>
      </c>
      <c r="S273" t="n">
        <v>-0.40329</v>
      </c>
      <c r="T273" t="n">
        <v>0.36027</v>
      </c>
      <c r="U273" t="n">
        <v>0.24772</v>
      </c>
      <c r="V273" t="n">
        <v>0.18636</v>
      </c>
      <c r="W273" t="n">
        <v>-0.068714</v>
      </c>
      <c r="X273" t="n">
        <v>0.38414</v>
      </c>
      <c r="Y273" t="n">
        <v>-1.6705</v>
      </c>
      <c r="Z273" t="n">
        <v>0.63536</v>
      </c>
    </row>
    <row r="274">
      <c r="A274" t="inlineStr">
        <is>
          <t>olympics</t>
        </is>
      </c>
      <c r="B274" t="n">
        <v>0.1217</v>
      </c>
      <c r="C274" t="n">
        <v>-0.083583</v>
      </c>
      <c r="D274" t="n">
        <v>0.043455</v>
      </c>
      <c r="E274" t="n">
        <v>-1.7671</v>
      </c>
      <c r="F274" t="n">
        <v>-0.31688</v>
      </c>
      <c r="G274" t="n">
        <v>-0.55056</v>
      </c>
      <c r="H274" t="n">
        <v>1.3655</v>
      </c>
      <c r="I274" t="n">
        <v>-0.87097</v>
      </c>
      <c r="J274" t="n">
        <v>-0.52207</v>
      </c>
      <c r="K274" t="n">
        <v>-0.56577</v>
      </c>
      <c r="L274" t="n">
        <v>0.053372</v>
      </c>
      <c r="M274" t="n">
        <v>0.42362</v>
      </c>
      <c r="N274" t="n">
        <v>-3.4565</v>
      </c>
      <c r="O274" t="n">
        <v>0.59013</v>
      </c>
      <c r="P274" t="n">
        <v>0.5490699999999999</v>
      </c>
      <c r="Q274" t="n">
        <v>0.4295</v>
      </c>
      <c r="R274" t="n">
        <v>-0.53818</v>
      </c>
      <c r="S274" t="n">
        <v>-0.66683</v>
      </c>
      <c r="T274" t="n">
        <v>-0.13851</v>
      </c>
      <c r="U274" t="n">
        <v>0.1125</v>
      </c>
      <c r="V274" t="n">
        <v>-1.4011</v>
      </c>
      <c r="W274" t="n">
        <v>0.56526</v>
      </c>
      <c r="X274" t="n">
        <v>-0.10435</v>
      </c>
      <c r="Y274" t="n">
        <v>-1.291</v>
      </c>
      <c r="Z274" t="n">
        <v>0.32752</v>
      </c>
    </row>
    <row r="275">
      <c r="A275" t="inlineStr">
        <is>
          <t>holding</t>
        </is>
      </c>
      <c r="B275" t="n">
        <v>-1.1848</v>
      </c>
      <c r="C275" t="n">
        <v>0.27513</v>
      </c>
      <c r="D275" t="n">
        <v>0.49909</v>
      </c>
      <c r="E275" t="n">
        <v>0.58169</v>
      </c>
      <c r="F275" t="n">
        <v>0.069497</v>
      </c>
      <c r="G275" t="n">
        <v>-0.07917200000000001</v>
      </c>
      <c r="H275" t="n">
        <v>0.6974900000000001</v>
      </c>
      <c r="I275" t="n">
        <v>-1.083</v>
      </c>
      <c r="J275" t="n">
        <v>-0.16125</v>
      </c>
      <c r="K275" t="n">
        <v>0.55638</v>
      </c>
      <c r="L275" t="n">
        <v>0.19053</v>
      </c>
      <c r="M275" t="n">
        <v>0.59271</v>
      </c>
      <c r="N275" t="n">
        <v>-3.542</v>
      </c>
      <c r="O275" t="n">
        <v>0.13479</v>
      </c>
      <c r="P275" t="n">
        <v>-0.36436</v>
      </c>
      <c r="Q275" t="n">
        <v>0.23156</v>
      </c>
      <c r="R275" t="n">
        <v>-0.35137</v>
      </c>
      <c r="S275" t="n">
        <v>-0.17598</v>
      </c>
      <c r="T275" t="n">
        <v>-0.21793</v>
      </c>
      <c r="U275" t="n">
        <v>-0.96499</v>
      </c>
      <c r="V275" t="n">
        <v>-0.0056965</v>
      </c>
      <c r="W275" t="n">
        <v>0.53965</v>
      </c>
      <c r="X275" t="n">
        <v>0.65249</v>
      </c>
      <c r="Y275" t="n">
        <v>-0.66048</v>
      </c>
      <c r="Z275" t="n">
        <v>-1.0342</v>
      </c>
    </row>
    <row r="276">
      <c r="A276" t="inlineStr">
        <is>
          <t>chick</t>
        </is>
      </c>
      <c r="B276" t="n">
        <v>-0.6583599999999999</v>
      </c>
      <c r="C276" t="n">
        <v>0.46099</v>
      </c>
      <c r="D276" t="n">
        <v>0.38178</v>
      </c>
      <c r="E276" t="n">
        <v>-0.081939</v>
      </c>
      <c r="F276" t="n">
        <v>0.77903</v>
      </c>
      <c r="G276" t="n">
        <v>0.020124</v>
      </c>
      <c r="H276" t="n">
        <v>0.41713</v>
      </c>
      <c r="I276" t="n">
        <v>-0.40115</v>
      </c>
      <c r="J276" t="n">
        <v>-0.5442399999999999</v>
      </c>
      <c r="K276" t="n">
        <v>0.059658</v>
      </c>
      <c r="L276" t="n">
        <v>-0.41962</v>
      </c>
      <c r="M276" t="n">
        <v>0.65221</v>
      </c>
      <c r="N276" t="n">
        <v>-3.7716</v>
      </c>
      <c r="O276" t="n">
        <v>-1.1714</v>
      </c>
      <c r="P276" t="n">
        <v>-0.3584</v>
      </c>
      <c r="Q276" t="n">
        <v>0.7789199999999999</v>
      </c>
      <c r="R276" t="n">
        <v>1.0567</v>
      </c>
      <c r="S276" t="n">
        <v>-0.65683</v>
      </c>
      <c r="T276" t="n">
        <v>-0.40829</v>
      </c>
      <c r="U276" t="n">
        <v>0.94454</v>
      </c>
      <c r="V276" t="n">
        <v>0.8682299999999999</v>
      </c>
      <c r="W276" t="n">
        <v>1.0069</v>
      </c>
      <c r="X276" t="n">
        <v>0.21079</v>
      </c>
      <c r="Y276" t="n">
        <v>-0.50646</v>
      </c>
      <c r="Z276" t="n">
        <v>0.38946</v>
      </c>
    </row>
    <row r="277">
      <c r="A277" t="inlineStr">
        <is>
          <t>ea</t>
        </is>
      </c>
      <c r="B277" t="n">
        <v>0.40862</v>
      </c>
      <c r="C277" t="n">
        <v>0.6283300000000001</v>
      </c>
      <c r="D277" t="n">
        <v>-0.20849</v>
      </c>
      <c r="E277" t="n">
        <v>-0.41521</v>
      </c>
      <c r="F277" t="n">
        <v>-0.25733</v>
      </c>
      <c r="G277" t="n">
        <v>0.14413</v>
      </c>
      <c r="H277" t="n">
        <v>-0.20449</v>
      </c>
      <c r="I277" t="n">
        <v>1.9508</v>
      </c>
      <c r="J277" t="n">
        <v>0.76384</v>
      </c>
      <c r="K277" t="n">
        <v>0.32332</v>
      </c>
      <c r="L277" t="n">
        <v>-1.0511</v>
      </c>
      <c r="M277" t="n">
        <v>-0.069816</v>
      </c>
      <c r="N277" t="n">
        <v>-1.862</v>
      </c>
      <c r="O277" t="n">
        <v>-0.50643</v>
      </c>
      <c r="P277" t="n">
        <v>0.81751</v>
      </c>
      <c r="Q277" t="n">
        <v>-0.51462</v>
      </c>
      <c r="R277" t="n">
        <v>0.41685</v>
      </c>
      <c r="S277" t="n">
        <v>-0.60181</v>
      </c>
      <c r="T277" t="n">
        <v>-0.31527</v>
      </c>
      <c r="U277" t="n">
        <v>0.40304</v>
      </c>
      <c r="V277" t="n">
        <v>-0.2959</v>
      </c>
      <c r="W277" t="n">
        <v>-0.3189</v>
      </c>
      <c r="X277" t="n">
        <v>-0.49874</v>
      </c>
      <c r="Y277" t="n">
        <v>1.4466</v>
      </c>
      <c r="Z277" t="n">
        <v>-0.34028</v>
      </c>
    </row>
    <row r="278">
      <c r="A278" t="inlineStr">
        <is>
          <t>clear</t>
        </is>
      </c>
      <c r="B278" t="n">
        <v>-0.43212</v>
      </c>
      <c r="C278" t="n">
        <v>-0.38297</v>
      </c>
      <c r="D278" t="n">
        <v>-0.68571</v>
      </c>
      <c r="E278" t="n">
        <v>0.062526</v>
      </c>
      <c r="F278" t="n">
        <v>-0.07393</v>
      </c>
      <c r="G278" t="n">
        <v>0.9360000000000001</v>
      </c>
      <c r="H278" t="n">
        <v>0.54701</v>
      </c>
      <c r="I278" t="n">
        <v>-0.49014</v>
      </c>
      <c r="J278" t="n">
        <v>0.8828</v>
      </c>
      <c r="K278" t="n">
        <v>0.35383</v>
      </c>
      <c r="L278" t="n">
        <v>0.050707</v>
      </c>
      <c r="M278" t="n">
        <v>0.80763</v>
      </c>
      <c r="N278" t="n">
        <v>-3.697</v>
      </c>
      <c r="O278" t="n">
        <v>0.3489</v>
      </c>
      <c r="P278" t="n">
        <v>-0.20597</v>
      </c>
      <c r="Q278" t="n">
        <v>-0.011939</v>
      </c>
      <c r="R278" t="n">
        <v>0.26052</v>
      </c>
      <c r="S278" t="n">
        <v>0.22147</v>
      </c>
      <c r="T278" t="n">
        <v>0.35086</v>
      </c>
      <c r="U278" t="n">
        <v>-0.38385</v>
      </c>
      <c r="V278" t="n">
        <v>-0.76061</v>
      </c>
      <c r="W278" t="n">
        <v>-0.32848</v>
      </c>
      <c r="X278" t="n">
        <v>0.87175</v>
      </c>
      <c r="Y278" t="n">
        <v>0.39457</v>
      </c>
      <c r="Z278" t="n">
        <v>-1.1324</v>
      </c>
    </row>
    <row r="279">
      <c r="A279" t="inlineStr">
        <is>
          <t>cook</t>
        </is>
      </c>
      <c r="B279" t="n">
        <v>-0.74302</v>
      </c>
      <c r="C279" t="n">
        <v>0.97194</v>
      </c>
      <c r="D279" t="n">
        <v>0.30526</v>
      </c>
      <c r="E279" t="n">
        <v>0.26471</v>
      </c>
      <c r="F279" t="n">
        <v>-0.17254</v>
      </c>
      <c r="G279" t="n">
        <v>0.37304</v>
      </c>
      <c r="H279" t="n">
        <v>0.025409</v>
      </c>
      <c r="I279" t="n">
        <v>-1.0575</v>
      </c>
      <c r="J279" t="n">
        <v>0.059584</v>
      </c>
      <c r="K279" t="n">
        <v>-0.3049</v>
      </c>
      <c r="L279" t="n">
        <v>0.27091</v>
      </c>
      <c r="M279" t="n">
        <v>-0.10807</v>
      </c>
      <c r="N279" t="n">
        <v>-3.641</v>
      </c>
      <c r="O279" t="n">
        <v>-0.86877</v>
      </c>
      <c r="P279" t="n">
        <v>-0.06168</v>
      </c>
      <c r="Q279" t="n">
        <v>-0.65966</v>
      </c>
      <c r="R279" t="n">
        <v>1.5298</v>
      </c>
      <c r="S279" t="n">
        <v>-1.0464</v>
      </c>
      <c r="T279" t="n">
        <v>-0.39893</v>
      </c>
      <c r="U279" t="n">
        <v>-0.082569</v>
      </c>
      <c r="V279" t="n">
        <v>0.95264</v>
      </c>
      <c r="W279" t="n">
        <v>0.48914</v>
      </c>
      <c r="X279" t="n">
        <v>-0.77895</v>
      </c>
      <c r="Y279" t="n">
        <v>0.5389</v>
      </c>
      <c r="Z279" t="n">
        <v>0.77497</v>
      </c>
    </row>
    <row r="280">
      <c r="A280" t="inlineStr">
        <is>
          <t>hermana</t>
        </is>
      </c>
      <c r="B280" t="n">
        <v>-0.95956</v>
      </c>
      <c r="C280" t="n">
        <v>0.23465</v>
      </c>
      <c r="D280" t="n">
        <v>0.89449</v>
      </c>
      <c r="E280" t="n">
        <v>0.039939</v>
      </c>
      <c r="F280" t="n">
        <v>0.0048155</v>
      </c>
      <c r="G280" t="n">
        <v>-0.04719</v>
      </c>
      <c r="H280" t="n">
        <v>-0.75874</v>
      </c>
      <c r="I280" t="n">
        <v>3.0188</v>
      </c>
      <c r="J280" t="n">
        <v>-1.205</v>
      </c>
      <c r="K280" t="n">
        <v>-0.73733</v>
      </c>
      <c r="L280" t="n">
        <v>-0.076877</v>
      </c>
      <c r="M280" t="n">
        <v>-2.7611</v>
      </c>
      <c r="N280" t="n">
        <v>-1.4542</v>
      </c>
      <c r="O280" t="n">
        <v>-1.1757</v>
      </c>
      <c r="P280" t="n">
        <v>0.55959</v>
      </c>
      <c r="Q280" t="n">
        <v>0.55779</v>
      </c>
      <c r="R280" t="n">
        <v>0.53222</v>
      </c>
      <c r="S280" t="n">
        <v>0.62577</v>
      </c>
      <c r="T280" t="n">
        <v>0.13848</v>
      </c>
      <c r="U280" t="n">
        <v>0.82531</v>
      </c>
      <c r="V280" t="n">
        <v>1.5459</v>
      </c>
      <c r="W280" t="n">
        <v>-0.21172</v>
      </c>
      <c r="X280" t="n">
        <v>0.24289</v>
      </c>
      <c r="Y280" t="n">
        <v>0.95805</v>
      </c>
      <c r="Z280" t="n">
        <v>0.33116</v>
      </c>
    </row>
    <row r="281">
      <c r="A281" t="inlineStr">
        <is>
          <t>tht</t>
        </is>
      </c>
      <c r="B281" t="n">
        <v>0.52076</v>
      </c>
      <c r="C281" t="n">
        <v>1.7794</v>
      </c>
      <c r="D281" t="n">
        <v>0.4848</v>
      </c>
      <c r="E281" t="n">
        <v>0.25791</v>
      </c>
      <c r="F281" t="n">
        <v>-0.13458</v>
      </c>
      <c r="G281" t="n">
        <v>0.17994</v>
      </c>
      <c r="H281" t="n">
        <v>0.13389</v>
      </c>
      <c r="I281" t="n">
        <v>-0.38016</v>
      </c>
      <c r="J281" t="n">
        <v>-0.12945</v>
      </c>
      <c r="K281" t="n">
        <v>0.22901</v>
      </c>
      <c r="L281" t="n">
        <v>-1.5866</v>
      </c>
      <c r="M281" t="n">
        <v>1.08</v>
      </c>
      <c r="N281" t="n">
        <v>-4.4146</v>
      </c>
      <c r="O281" t="n">
        <v>-0.26599</v>
      </c>
      <c r="P281" t="n">
        <v>-0.16444</v>
      </c>
      <c r="Q281" t="n">
        <v>0.55439</v>
      </c>
      <c r="R281" t="n">
        <v>1.1462</v>
      </c>
      <c r="S281" t="n">
        <v>-0.28234</v>
      </c>
      <c r="T281" t="n">
        <v>-0.019726</v>
      </c>
      <c r="U281" t="n">
        <v>0.57551</v>
      </c>
      <c r="V281" t="n">
        <v>0.93188</v>
      </c>
      <c r="W281" t="n">
        <v>0.69807</v>
      </c>
      <c r="X281" t="n">
        <v>0.84533</v>
      </c>
      <c r="Y281" t="n">
        <v>0.88169</v>
      </c>
      <c r="Z281" t="n">
        <v>-0.36526</v>
      </c>
    </row>
    <row r="282">
      <c r="A282" t="inlineStr">
        <is>
          <t>iphonegames</t>
        </is>
      </c>
      <c r="B282" t="n">
        <v>0.58672</v>
      </c>
      <c r="C282" t="n">
        <v>-1.863</v>
      </c>
      <c r="D282" t="n">
        <v>-1.257</v>
      </c>
      <c r="E282" t="n">
        <v>-2.3173</v>
      </c>
      <c r="F282" t="n">
        <v>-0.6929999999999999</v>
      </c>
      <c r="G282" t="n">
        <v>-0.36371</v>
      </c>
      <c r="H282" t="n">
        <v>0.029119</v>
      </c>
      <c r="I282" t="n">
        <v>-0.42389</v>
      </c>
      <c r="J282" t="n">
        <v>-1.8286</v>
      </c>
      <c r="K282" t="n">
        <v>-0.087726</v>
      </c>
      <c r="L282" t="n">
        <v>0.59032</v>
      </c>
      <c r="M282" t="n">
        <v>-0.21753</v>
      </c>
      <c r="N282" t="n">
        <v>-1.4293</v>
      </c>
      <c r="O282" t="n">
        <v>-1.4436</v>
      </c>
      <c r="P282" t="n">
        <v>-1.7803</v>
      </c>
      <c r="Q282" t="n">
        <v>2.0129</v>
      </c>
      <c r="R282" t="n">
        <v>0.34931</v>
      </c>
      <c r="S282" t="n">
        <v>-0.24462</v>
      </c>
      <c r="T282" t="n">
        <v>0.81495</v>
      </c>
      <c r="U282" t="n">
        <v>-0.31027</v>
      </c>
      <c r="V282" t="n">
        <v>-2.3995</v>
      </c>
      <c r="W282" t="n">
        <v>-2.5736</v>
      </c>
      <c r="X282" t="n">
        <v>-0.67946</v>
      </c>
      <c r="Y282" t="n">
        <v>-0.9337800000000001</v>
      </c>
      <c r="Z282" t="n">
        <v>-0.50872</v>
      </c>
    </row>
    <row r="283">
      <c r="A283" t="inlineStr">
        <is>
          <t>learned</t>
        </is>
      </c>
      <c r="B283" t="n">
        <v>0.51448</v>
      </c>
      <c r="C283" t="n">
        <v>1.1276</v>
      </c>
      <c r="D283" t="n">
        <v>0.31921</v>
      </c>
      <c r="E283" t="n">
        <v>0.20284</v>
      </c>
      <c r="F283" t="n">
        <v>-0.34432</v>
      </c>
      <c r="G283" t="n">
        <v>-0.074948</v>
      </c>
      <c r="H283" t="n">
        <v>1.3767</v>
      </c>
      <c r="I283" t="n">
        <v>-1.2654</v>
      </c>
      <c r="J283" t="n">
        <v>-0.45853</v>
      </c>
      <c r="K283" t="n">
        <v>-0.50039</v>
      </c>
      <c r="L283" t="n">
        <v>-0.5483</v>
      </c>
      <c r="M283" t="n">
        <v>0.82765</v>
      </c>
      <c r="N283" t="n">
        <v>-3.9009</v>
      </c>
      <c r="O283" t="n">
        <v>0.32691</v>
      </c>
      <c r="P283" t="n">
        <v>0.17389</v>
      </c>
      <c r="Q283" t="n">
        <v>0.159</v>
      </c>
      <c r="R283" t="n">
        <v>0.43104</v>
      </c>
      <c r="S283" t="n">
        <v>0.51287</v>
      </c>
      <c r="T283" t="n">
        <v>1.0553</v>
      </c>
      <c r="U283" t="n">
        <v>-0.72443</v>
      </c>
      <c r="V283" t="n">
        <v>0.36235</v>
      </c>
      <c r="W283" t="n">
        <v>0.35904</v>
      </c>
      <c r="X283" t="n">
        <v>-0.62698</v>
      </c>
      <c r="Y283" t="n">
        <v>0.45132</v>
      </c>
      <c r="Z283" t="n">
        <v>-0.17361</v>
      </c>
    </row>
    <row r="284">
      <c r="A284" t="inlineStr">
        <is>
          <t>healthy</t>
        </is>
      </c>
      <c r="B284" t="n">
        <v>-1.2018</v>
      </c>
      <c r="C284" t="n">
        <v>0.29865</v>
      </c>
      <c r="D284" t="n">
        <v>-1.3141</v>
      </c>
      <c r="E284" t="n">
        <v>0.47531</v>
      </c>
      <c r="F284" t="n">
        <v>0.84162</v>
      </c>
      <c r="G284" t="n">
        <v>1.322</v>
      </c>
      <c r="H284" t="n">
        <v>1.4045</v>
      </c>
      <c r="I284" t="n">
        <v>-1.4882</v>
      </c>
      <c r="J284" t="n">
        <v>-0.26373</v>
      </c>
      <c r="K284" t="n">
        <v>-0.37219</v>
      </c>
      <c r="L284" t="n">
        <v>0.058341</v>
      </c>
      <c r="M284" t="n">
        <v>-0.38926</v>
      </c>
      <c r="N284" t="n">
        <v>-3.468</v>
      </c>
      <c r="O284" t="n">
        <v>-0.12946</v>
      </c>
      <c r="P284" t="n">
        <v>0.1403</v>
      </c>
      <c r="Q284" t="n">
        <v>-1.0662</v>
      </c>
      <c r="R284" t="n">
        <v>0.48846</v>
      </c>
      <c r="S284" t="n">
        <v>-0.87117</v>
      </c>
      <c r="T284" t="n">
        <v>0.81184</v>
      </c>
      <c r="U284" t="n">
        <v>-0.6791199999999999</v>
      </c>
      <c r="V284" t="n">
        <v>-0.66368</v>
      </c>
      <c r="W284" t="n">
        <v>0.30836</v>
      </c>
      <c r="X284" t="n">
        <v>-1.252</v>
      </c>
      <c r="Y284" t="n">
        <v>0.90532</v>
      </c>
      <c r="Z284" t="n">
        <v>0.2924</v>
      </c>
    </row>
    <row r="285">
      <c r="A285" t="inlineStr">
        <is>
          <t>hip</t>
        </is>
      </c>
      <c r="B285" t="n">
        <v>-0.18404</v>
      </c>
      <c r="C285" t="n">
        <v>0.85597</v>
      </c>
      <c r="D285" t="n">
        <v>0.1009</v>
      </c>
      <c r="E285" t="n">
        <v>-0.048</v>
      </c>
      <c r="F285" t="n">
        <v>1.2539</v>
      </c>
      <c r="G285" t="n">
        <v>0.083976</v>
      </c>
      <c r="H285" t="n">
        <v>0.89761</v>
      </c>
      <c r="I285" t="n">
        <v>0.21399</v>
      </c>
      <c r="J285" t="n">
        <v>0.07338500000000001</v>
      </c>
      <c r="K285" t="n">
        <v>-0.85271</v>
      </c>
      <c r="L285" t="n">
        <v>-0.51859</v>
      </c>
      <c r="M285" t="n">
        <v>0.73885</v>
      </c>
      <c r="N285" t="n">
        <v>-3.0107</v>
      </c>
      <c r="O285" t="n">
        <v>-0.55907</v>
      </c>
      <c r="P285" t="n">
        <v>0.14871</v>
      </c>
      <c r="Q285" t="n">
        <v>0.36964</v>
      </c>
      <c r="R285" t="n">
        <v>-0.27905</v>
      </c>
      <c r="S285" t="n">
        <v>-0.07285700000000001</v>
      </c>
      <c r="T285" t="n">
        <v>-0.06301900000000001</v>
      </c>
      <c r="U285" t="n">
        <v>0.69974</v>
      </c>
      <c r="V285" t="n">
        <v>-0.26631</v>
      </c>
      <c r="W285" t="n">
        <v>0.44646</v>
      </c>
      <c r="X285" t="n">
        <v>0.85493</v>
      </c>
      <c r="Y285" t="n">
        <v>-0.7592</v>
      </c>
      <c r="Z285" t="n">
        <v>1.0222</v>
      </c>
    </row>
    <row r="286">
      <c r="A286" t="inlineStr">
        <is>
          <t>thanksgiving</t>
        </is>
      </c>
      <c r="B286" t="n">
        <v>-1.2037</v>
      </c>
      <c r="C286" t="n">
        <v>1.4408</v>
      </c>
      <c r="D286" t="n">
        <v>0.30581</v>
      </c>
      <c r="E286" t="n">
        <v>0.17194</v>
      </c>
      <c r="F286" t="n">
        <v>0.17356</v>
      </c>
      <c r="G286" t="n">
        <v>-0.28371</v>
      </c>
      <c r="H286" t="n">
        <v>1.7217</v>
      </c>
      <c r="I286" t="n">
        <v>-1.3005</v>
      </c>
      <c r="J286" t="n">
        <v>-1.2577</v>
      </c>
      <c r="K286" t="n">
        <v>-0.58394</v>
      </c>
      <c r="L286" t="n">
        <v>0.045501</v>
      </c>
      <c r="M286" t="n">
        <v>-0.4519</v>
      </c>
      <c r="N286" t="n">
        <v>-2.8615</v>
      </c>
      <c r="O286" t="n">
        <v>0.85765</v>
      </c>
      <c r="P286" t="n">
        <v>0.26661</v>
      </c>
      <c r="Q286" t="n">
        <v>-0.7324000000000001</v>
      </c>
      <c r="R286" t="n">
        <v>0.62441</v>
      </c>
      <c r="S286" t="n">
        <v>-1.2884</v>
      </c>
      <c r="T286" t="n">
        <v>-0.63727</v>
      </c>
      <c r="U286" t="n">
        <v>-0.082257</v>
      </c>
      <c r="V286" t="n">
        <v>-0.5311</v>
      </c>
      <c r="W286" t="n">
        <v>-0.1837</v>
      </c>
      <c r="X286" t="n">
        <v>-0.68585</v>
      </c>
      <c r="Y286" t="n">
        <v>-0.10761</v>
      </c>
      <c r="Z286" t="n">
        <v>1.1028</v>
      </c>
    </row>
    <row r="287">
      <c r="A287" t="inlineStr">
        <is>
          <t>chica</t>
        </is>
      </c>
      <c r="B287" t="n">
        <v>-1.1746</v>
      </c>
      <c r="C287" t="n">
        <v>-0.81528</v>
      </c>
      <c r="D287" t="n">
        <v>0.35385</v>
      </c>
      <c r="E287" t="n">
        <v>-0.081679</v>
      </c>
      <c r="F287" t="n">
        <v>0.53121</v>
      </c>
      <c r="G287" t="n">
        <v>0.42328</v>
      </c>
      <c r="H287" t="n">
        <v>0.0099544</v>
      </c>
      <c r="I287" t="n">
        <v>2.7194</v>
      </c>
      <c r="J287" t="n">
        <v>-0.98466</v>
      </c>
      <c r="K287" t="n">
        <v>-1.0453</v>
      </c>
      <c r="L287" t="n">
        <v>0.43236</v>
      </c>
      <c r="M287" t="n">
        <v>-2.3536</v>
      </c>
      <c r="N287" t="n">
        <v>-1.8685</v>
      </c>
      <c r="O287" t="n">
        <v>-1.0062</v>
      </c>
      <c r="P287" t="n">
        <v>0.32176</v>
      </c>
      <c r="Q287" t="n">
        <v>0.82991</v>
      </c>
      <c r="R287" t="n">
        <v>0.40593</v>
      </c>
      <c r="S287" t="n">
        <v>0.81955</v>
      </c>
      <c r="T287" t="n">
        <v>0.50263</v>
      </c>
      <c r="U287" t="n">
        <v>0.36252</v>
      </c>
      <c r="V287" t="n">
        <v>1.1204</v>
      </c>
      <c r="W287" t="n">
        <v>-0.20039</v>
      </c>
      <c r="X287" t="n">
        <v>-0.10136</v>
      </c>
      <c r="Y287" t="n">
        <v>0.27291</v>
      </c>
      <c r="Z287" t="n">
        <v>-0.29224</v>
      </c>
    </row>
    <row r="288">
      <c r="A288" t="inlineStr">
        <is>
          <t>officially</t>
        </is>
      </c>
      <c r="B288" t="n">
        <v>-0.63353</v>
      </c>
      <c r="C288" t="n">
        <v>1.2111</v>
      </c>
      <c r="D288" t="n">
        <v>0.67082</v>
      </c>
      <c r="E288" t="n">
        <v>-2.3081</v>
      </c>
      <c r="F288" t="n">
        <v>-0.12948</v>
      </c>
      <c r="G288" t="n">
        <v>-0.45425</v>
      </c>
      <c r="H288" t="n">
        <v>1.3896</v>
      </c>
      <c r="I288" t="n">
        <v>-0.45571</v>
      </c>
      <c r="J288" t="n">
        <v>-0.73533</v>
      </c>
      <c r="K288" t="n">
        <v>-0.44175</v>
      </c>
      <c r="L288" t="n">
        <v>0.9155799999999999</v>
      </c>
      <c r="M288" t="n">
        <v>0.85836</v>
      </c>
      <c r="N288" t="n">
        <v>-3.3941</v>
      </c>
      <c r="O288" t="n">
        <v>0.1947</v>
      </c>
      <c r="P288" t="n">
        <v>0.26885</v>
      </c>
      <c r="Q288" t="n">
        <v>0.06522</v>
      </c>
      <c r="R288" t="n">
        <v>0.24847</v>
      </c>
      <c r="S288" t="n">
        <v>0.35594</v>
      </c>
      <c r="T288" t="n">
        <v>0.00494</v>
      </c>
      <c r="U288" t="n">
        <v>-0.94842</v>
      </c>
      <c r="V288" t="n">
        <v>-0.089146</v>
      </c>
      <c r="W288" t="n">
        <v>0.29321</v>
      </c>
      <c r="X288" t="n">
        <v>0.17267</v>
      </c>
      <c r="Y288" t="n">
        <v>-0.19745</v>
      </c>
      <c r="Z288" t="n">
        <v>-0.11463</v>
      </c>
    </row>
    <row r="289">
      <c r="A289" t="inlineStr">
        <is>
          <t>wifi</t>
        </is>
      </c>
      <c r="B289" t="n">
        <v>1.0436</v>
      </c>
      <c r="C289" t="n">
        <v>0.34963</v>
      </c>
      <c r="D289" t="n">
        <v>0.53401</v>
      </c>
      <c r="E289" t="n">
        <v>-0.50679</v>
      </c>
      <c r="F289" t="n">
        <v>0.9988899999999999</v>
      </c>
      <c r="G289" t="n">
        <v>0.37622</v>
      </c>
      <c r="H289" t="n">
        <v>-0.17858</v>
      </c>
      <c r="I289" t="n">
        <v>0.34774</v>
      </c>
      <c r="J289" t="n">
        <v>0.59996</v>
      </c>
      <c r="K289" t="n">
        <v>1.4162</v>
      </c>
      <c r="L289" t="n">
        <v>0.0070862</v>
      </c>
      <c r="M289" t="n">
        <v>-0.96253</v>
      </c>
      <c r="N289" t="n">
        <v>-2.5824</v>
      </c>
      <c r="O289" t="n">
        <v>-0.68466</v>
      </c>
      <c r="P289" t="n">
        <v>0.44308</v>
      </c>
      <c r="Q289" t="n">
        <v>0.89373</v>
      </c>
      <c r="R289" t="n">
        <v>0.9857900000000001</v>
      </c>
      <c r="S289" t="n">
        <v>0.050084</v>
      </c>
      <c r="T289" t="n">
        <v>-0.060701</v>
      </c>
      <c r="U289" t="n">
        <v>-0.29792</v>
      </c>
      <c r="V289" t="n">
        <v>-0.38006</v>
      </c>
      <c r="W289" t="n">
        <v>-1.0661</v>
      </c>
      <c r="X289" t="n">
        <v>0.60984</v>
      </c>
      <c r="Y289" t="n">
        <v>0.40913</v>
      </c>
      <c r="Z289" t="n">
        <v>-0.30669</v>
      </c>
    </row>
    <row r="290">
      <c r="A290" t="inlineStr">
        <is>
          <t>hes</t>
        </is>
      </c>
      <c r="B290" t="n">
        <v>-0.39113</v>
      </c>
      <c r="C290" t="n">
        <v>0.4952</v>
      </c>
      <c r="D290" t="n">
        <v>0.62509</v>
      </c>
      <c r="E290" t="n">
        <v>-0.59949</v>
      </c>
      <c r="F290" t="n">
        <v>0.17472</v>
      </c>
      <c r="G290" t="n">
        <v>0.18181</v>
      </c>
      <c r="H290" t="n">
        <v>0.80448</v>
      </c>
      <c r="I290" t="n">
        <v>-0.13031</v>
      </c>
      <c r="J290" t="n">
        <v>-1.3493</v>
      </c>
      <c r="K290" t="n">
        <v>0.036938</v>
      </c>
      <c r="L290" t="n">
        <v>-0.51896</v>
      </c>
      <c r="M290" t="n">
        <v>0.88089</v>
      </c>
      <c r="N290" t="n">
        <v>-3.586</v>
      </c>
      <c r="O290" t="n">
        <v>-0.69365</v>
      </c>
      <c r="P290" t="n">
        <v>0.21403</v>
      </c>
      <c r="Q290" t="n">
        <v>0.44458</v>
      </c>
      <c r="R290" t="n">
        <v>0.29457</v>
      </c>
      <c r="S290" t="n">
        <v>-0.34499</v>
      </c>
      <c r="T290" t="n">
        <v>-0.58979</v>
      </c>
      <c r="U290" t="n">
        <v>-0.41891</v>
      </c>
      <c r="V290" t="n">
        <v>0.91755</v>
      </c>
      <c r="W290" t="n">
        <v>1.314</v>
      </c>
      <c r="X290" t="n">
        <v>-0.12019</v>
      </c>
      <c r="Y290" t="n">
        <v>0.11869</v>
      </c>
      <c r="Z290" t="n">
        <v>-0.66157</v>
      </c>
    </row>
    <row r="291">
      <c r="A291" t="inlineStr">
        <is>
          <t>reach</t>
        </is>
      </c>
      <c r="B291" t="n">
        <v>-0.21599</v>
      </c>
      <c r="C291" t="n">
        <v>0.99234</v>
      </c>
      <c r="D291" t="n">
        <v>-0.86448</v>
      </c>
      <c r="E291" t="n">
        <v>-0.21059</v>
      </c>
      <c r="F291" t="n">
        <v>-0.53163</v>
      </c>
      <c r="G291" t="n">
        <v>-0.38302</v>
      </c>
      <c r="H291" t="n">
        <v>0.27811</v>
      </c>
      <c r="I291" t="n">
        <v>-0.49974</v>
      </c>
      <c r="J291" t="n">
        <v>-0.063538</v>
      </c>
      <c r="K291" t="n">
        <v>-0.11285</v>
      </c>
      <c r="L291" t="n">
        <v>-0.25029</v>
      </c>
      <c r="M291" t="n">
        <v>0.31553</v>
      </c>
      <c r="N291" t="n">
        <v>-3.8225</v>
      </c>
      <c r="O291" t="n">
        <v>1.0802</v>
      </c>
      <c r="P291" t="n">
        <v>-0.63356</v>
      </c>
      <c r="Q291" t="n">
        <v>0.17267</v>
      </c>
      <c r="R291" t="n">
        <v>-0.06752</v>
      </c>
      <c r="S291" t="n">
        <v>-0.45797</v>
      </c>
      <c r="T291" t="n">
        <v>0.28527</v>
      </c>
      <c r="U291" t="n">
        <v>-1.1732</v>
      </c>
      <c r="V291" t="n">
        <v>-0.8917</v>
      </c>
      <c r="W291" t="n">
        <v>-0.49739</v>
      </c>
      <c r="X291" t="n">
        <v>1.035</v>
      </c>
      <c r="Y291" t="n">
        <v>0.16493</v>
      </c>
      <c r="Z291" t="n">
        <v>-0.86525</v>
      </c>
    </row>
    <row r="292">
      <c r="A292" t="inlineStr">
        <is>
          <t>chicas</t>
        </is>
      </c>
      <c r="B292" t="n">
        <v>0.73241</v>
      </c>
      <c r="C292" t="n">
        <v>-0.017844</v>
      </c>
      <c r="D292" t="n">
        <v>0.41656</v>
      </c>
      <c r="E292" t="n">
        <v>-0.3048</v>
      </c>
      <c r="F292" t="n">
        <v>-0.1287</v>
      </c>
      <c r="G292" t="n">
        <v>0.96038</v>
      </c>
      <c r="H292" t="n">
        <v>-0.1773</v>
      </c>
      <c r="I292" t="n">
        <v>2.2291</v>
      </c>
      <c r="J292" t="n">
        <v>-2.2222</v>
      </c>
      <c r="K292" t="n">
        <v>-1.2971</v>
      </c>
      <c r="L292" t="n">
        <v>0.52981</v>
      </c>
      <c r="M292" t="n">
        <v>-2.4871</v>
      </c>
      <c r="N292" t="n">
        <v>-1.0084</v>
      </c>
      <c r="O292" t="n">
        <v>-0.55039</v>
      </c>
      <c r="P292" t="n">
        <v>0.3636</v>
      </c>
      <c r="Q292" t="n">
        <v>0.64836</v>
      </c>
      <c r="R292" t="n">
        <v>0.56676</v>
      </c>
      <c r="S292" t="n">
        <v>-0.77606</v>
      </c>
      <c r="T292" t="n">
        <v>0.82652</v>
      </c>
      <c r="U292" t="n">
        <v>1.2539</v>
      </c>
      <c r="V292" t="n">
        <v>0.16155</v>
      </c>
      <c r="W292" t="n">
        <v>-0.8394</v>
      </c>
      <c r="X292" t="n">
        <v>-0.71484</v>
      </c>
      <c r="Y292" t="n">
        <v>0.18101</v>
      </c>
      <c r="Z292" t="n">
        <v>0.77932</v>
      </c>
    </row>
    <row r="293">
      <c r="A293" t="inlineStr">
        <is>
          <t>toy</t>
        </is>
      </c>
      <c r="B293" t="n">
        <v>-0.5956</v>
      </c>
      <c r="C293" t="n">
        <v>-0.67774</v>
      </c>
      <c r="D293" t="n">
        <v>0.63825</v>
      </c>
      <c r="E293" t="n">
        <v>-0.55081</v>
      </c>
      <c r="F293" t="n">
        <v>0.33101</v>
      </c>
      <c r="G293" t="n">
        <v>0.39515</v>
      </c>
      <c r="H293" t="n">
        <v>0.5764</v>
      </c>
      <c r="I293" t="n">
        <v>0.8087299999999999</v>
      </c>
      <c r="J293" t="n">
        <v>-0.08575199999999999</v>
      </c>
      <c r="K293" t="n">
        <v>-0.37013</v>
      </c>
      <c r="L293" t="n">
        <v>0.3577</v>
      </c>
      <c r="M293" t="n">
        <v>-1.2089</v>
      </c>
      <c r="N293" t="n">
        <v>-2.4995</v>
      </c>
      <c r="O293" t="n">
        <v>-0.76751</v>
      </c>
      <c r="P293" t="n">
        <v>0.48339</v>
      </c>
      <c r="Q293" t="n">
        <v>0.8476900000000001</v>
      </c>
      <c r="R293" t="n">
        <v>1.4479</v>
      </c>
      <c r="S293" t="n">
        <v>-0.15244</v>
      </c>
      <c r="T293" t="n">
        <v>0.40267</v>
      </c>
      <c r="U293" t="n">
        <v>0.17948</v>
      </c>
      <c r="V293" t="n">
        <v>-0.11275</v>
      </c>
      <c r="W293" t="n">
        <v>-0.51884</v>
      </c>
      <c r="X293" t="n">
        <v>0.97762</v>
      </c>
      <c r="Y293" t="n">
        <v>0.65335</v>
      </c>
      <c r="Z293" t="n">
        <v>0.30348</v>
      </c>
    </row>
    <row r="294">
      <c r="A294" t="inlineStr">
        <is>
          <t>east</t>
        </is>
      </c>
      <c r="B294" t="n">
        <v>-0.69502</v>
      </c>
      <c r="C294" t="n">
        <v>0.48603</v>
      </c>
      <c r="D294" t="n">
        <v>0.020037</v>
      </c>
      <c r="E294" t="n">
        <v>-1.1529</v>
      </c>
      <c r="F294" t="n">
        <v>-1.1195</v>
      </c>
      <c r="G294" t="n">
        <v>0.21278</v>
      </c>
      <c r="H294" t="n">
        <v>0.40979</v>
      </c>
      <c r="I294" t="n">
        <v>-0.38457</v>
      </c>
      <c r="J294" t="n">
        <v>0.92504</v>
      </c>
      <c r="K294" t="n">
        <v>0.26902</v>
      </c>
      <c r="L294" t="n">
        <v>-0.59263</v>
      </c>
      <c r="M294" t="n">
        <v>0.3452</v>
      </c>
      <c r="N294" t="n">
        <v>-3.9348</v>
      </c>
      <c r="O294" t="n">
        <v>1.3147</v>
      </c>
      <c r="P294" t="n">
        <v>1.1234</v>
      </c>
      <c r="Q294" t="n">
        <v>-0.9892300000000001</v>
      </c>
      <c r="R294" t="n">
        <v>-0.10801</v>
      </c>
      <c r="S294" t="n">
        <v>0.028428</v>
      </c>
      <c r="T294" t="n">
        <v>0.10828</v>
      </c>
      <c r="U294" t="n">
        <v>0.61285</v>
      </c>
      <c r="V294" t="n">
        <v>-0.13693</v>
      </c>
      <c r="W294" t="n">
        <v>-0.81203</v>
      </c>
      <c r="X294" t="n">
        <v>0.41728</v>
      </c>
      <c r="Y294" t="n">
        <v>-1.5927</v>
      </c>
      <c r="Z294" t="n">
        <v>0.40449</v>
      </c>
    </row>
    <row r="295">
      <c r="A295" t="inlineStr">
        <is>
          <t>snapchat</t>
        </is>
      </c>
      <c r="B295" t="n">
        <v>0.79545</v>
      </c>
      <c r="C295" t="n">
        <v>0.49694</v>
      </c>
      <c r="D295" t="n">
        <v>0.36042</v>
      </c>
      <c r="E295" t="n">
        <v>0.11185</v>
      </c>
      <c r="F295" t="n">
        <v>1.0345</v>
      </c>
      <c r="G295" t="n">
        <v>-0.98715</v>
      </c>
      <c r="H295" t="n">
        <v>0.43755</v>
      </c>
      <c r="I295" t="n">
        <v>-0.68577</v>
      </c>
      <c r="J295" t="n">
        <v>-1.023</v>
      </c>
      <c r="K295" t="n">
        <v>-0.17335</v>
      </c>
      <c r="L295" t="n">
        <v>-0.46189</v>
      </c>
      <c r="M295" t="n">
        <v>-0.023235</v>
      </c>
      <c r="N295" t="n">
        <v>-2.9946</v>
      </c>
      <c r="O295" t="n">
        <v>-1.3596</v>
      </c>
      <c r="P295" t="n">
        <v>0.1255</v>
      </c>
      <c r="Q295" t="n">
        <v>1.7539</v>
      </c>
      <c r="R295" t="n">
        <v>0.76198</v>
      </c>
      <c r="S295" t="n">
        <v>-0.71166</v>
      </c>
      <c r="T295" t="n">
        <v>-1.0884</v>
      </c>
      <c r="U295" t="n">
        <v>-0.45685</v>
      </c>
      <c r="V295" t="n">
        <v>0.42995</v>
      </c>
      <c r="W295" t="n">
        <v>-0.64762</v>
      </c>
      <c r="X295" t="n">
        <v>0.14015</v>
      </c>
      <c r="Y295" t="n">
        <v>-0.24521</v>
      </c>
      <c r="Z295" t="n">
        <v>-0.95324</v>
      </c>
    </row>
    <row r="296">
      <c r="A296" t="inlineStr">
        <is>
          <t>showing</t>
        </is>
      </c>
      <c r="B296" t="n">
        <v>-0.23096</v>
      </c>
      <c r="C296" t="n">
        <v>0.099645</v>
      </c>
      <c r="D296" t="n">
        <v>0.44077</v>
      </c>
      <c r="E296" t="n">
        <v>-0.41452</v>
      </c>
      <c r="F296" t="n">
        <v>0.5436800000000001</v>
      </c>
      <c r="G296" t="n">
        <v>-0.30361</v>
      </c>
      <c r="H296" t="n">
        <v>1.0658</v>
      </c>
      <c r="I296" t="n">
        <v>-0.94774</v>
      </c>
      <c r="J296" t="n">
        <v>-0.5893699999999999</v>
      </c>
      <c r="K296" t="n">
        <v>-0.032086</v>
      </c>
      <c r="L296" t="n">
        <v>-0.36888</v>
      </c>
      <c r="M296" t="n">
        <v>0.72195</v>
      </c>
      <c r="N296" t="n">
        <v>-3.6645</v>
      </c>
      <c r="O296" t="n">
        <v>0.15551</v>
      </c>
      <c r="P296" t="n">
        <v>0.15736</v>
      </c>
      <c r="Q296" t="n">
        <v>0.32158</v>
      </c>
      <c r="R296" t="n">
        <v>-0.22502</v>
      </c>
      <c r="S296" t="n">
        <v>-0.2685</v>
      </c>
      <c r="T296" t="n">
        <v>-0.16435</v>
      </c>
      <c r="U296" t="n">
        <v>-0.27505</v>
      </c>
      <c r="V296" t="n">
        <v>-0.32169</v>
      </c>
      <c r="W296" t="n">
        <v>0.44547</v>
      </c>
      <c r="X296" t="n">
        <v>0.027876</v>
      </c>
      <c r="Y296" t="n">
        <v>-0.68736</v>
      </c>
      <c r="Z296" t="n">
        <v>-1.0626</v>
      </c>
    </row>
    <row r="297">
      <c r="A297" t="inlineStr">
        <is>
          <t>foot</t>
        </is>
      </c>
      <c r="B297" t="n">
        <v>-0.52096</v>
      </c>
      <c r="C297" t="n">
        <v>-0.68852</v>
      </c>
      <c r="D297" t="n">
        <v>-0.86368</v>
      </c>
      <c r="E297" t="n">
        <v>0.54909</v>
      </c>
      <c r="F297" t="n">
        <v>-0.15779</v>
      </c>
      <c r="G297" t="n">
        <v>0.6725</v>
      </c>
      <c r="H297" t="n">
        <v>0.19645</v>
      </c>
      <c r="I297" t="n">
        <v>-0.97248</v>
      </c>
      <c r="J297" t="n">
        <v>0.14686</v>
      </c>
      <c r="K297" t="n">
        <v>0.45268</v>
      </c>
      <c r="L297" t="n">
        <v>0.70344</v>
      </c>
      <c r="M297" t="n">
        <v>0.19737</v>
      </c>
      <c r="N297" t="n">
        <v>-3.3847</v>
      </c>
      <c r="O297" t="n">
        <v>-0.033716</v>
      </c>
      <c r="P297" t="n">
        <v>0.42751</v>
      </c>
      <c r="Q297" t="n">
        <v>0.80294</v>
      </c>
      <c r="R297" t="n">
        <v>-0.11909</v>
      </c>
      <c r="S297" t="n">
        <v>-0.27919</v>
      </c>
      <c r="T297" t="n">
        <v>-1.6573</v>
      </c>
      <c r="U297" t="n">
        <v>0.45093</v>
      </c>
      <c r="V297" t="n">
        <v>-0.51752</v>
      </c>
      <c r="W297" t="n">
        <v>0.48213</v>
      </c>
      <c r="X297" t="n">
        <v>1.9662</v>
      </c>
      <c r="Y297" t="n">
        <v>-0.78004</v>
      </c>
      <c r="Z297" t="n">
        <v>-0.21465</v>
      </c>
    </row>
    <row r="298">
      <c r="A298" t="inlineStr">
        <is>
          <t>known</t>
        </is>
      </c>
      <c r="B298" t="n">
        <v>-0.09395000000000001</v>
      </c>
      <c r="C298" t="n">
        <v>0.38754</v>
      </c>
      <c r="D298" t="n">
        <v>-0.051054</v>
      </c>
      <c r="E298" t="n">
        <v>-0.079027</v>
      </c>
      <c r="F298" t="n">
        <v>0.026966</v>
      </c>
      <c r="G298" t="n">
        <v>0.067305</v>
      </c>
      <c r="H298" t="n">
        <v>1.0562</v>
      </c>
      <c r="I298" t="n">
        <v>-0.79597</v>
      </c>
      <c r="J298" t="n">
        <v>-0.48468</v>
      </c>
      <c r="K298" t="n">
        <v>-0.20536</v>
      </c>
      <c r="L298" t="n">
        <v>0.21395</v>
      </c>
      <c r="M298" t="n">
        <v>0.99644</v>
      </c>
      <c r="N298" t="n">
        <v>-3.7529</v>
      </c>
      <c r="O298" t="n">
        <v>0.64462</v>
      </c>
      <c r="P298" t="n">
        <v>-0.46016</v>
      </c>
      <c r="Q298" t="n">
        <v>0.58227</v>
      </c>
      <c r="R298" t="n">
        <v>0.88441</v>
      </c>
      <c r="S298" t="n">
        <v>0.37977</v>
      </c>
      <c r="T298" t="n">
        <v>1.1179</v>
      </c>
      <c r="U298" t="n">
        <v>-0.73551</v>
      </c>
      <c r="V298" t="n">
        <v>0.95237</v>
      </c>
      <c r="W298" t="n">
        <v>0.62255</v>
      </c>
      <c r="X298" t="n">
        <v>-0.79689</v>
      </c>
      <c r="Y298" t="n">
        <v>-0.57314</v>
      </c>
      <c r="Z298" t="n">
        <v>0.15727</v>
      </c>
    </row>
    <row r="299">
      <c r="A299" t="inlineStr">
        <is>
          <t>bear</t>
        </is>
      </c>
      <c r="B299" t="n">
        <v>-1.5646</v>
      </c>
      <c r="C299" t="n">
        <v>-0.62552</v>
      </c>
      <c r="D299" t="n">
        <v>0.27984</v>
      </c>
      <c r="E299" t="n">
        <v>0.63867</v>
      </c>
      <c r="F299" t="n">
        <v>-0.40258</v>
      </c>
      <c r="G299" t="n">
        <v>0.03106</v>
      </c>
      <c r="H299" t="n">
        <v>1.0839</v>
      </c>
      <c r="I299" t="n">
        <v>0.12634</v>
      </c>
      <c r="J299" t="n">
        <v>0.41947</v>
      </c>
      <c r="K299" t="n">
        <v>0.037711</v>
      </c>
      <c r="L299" t="n">
        <v>0.38884</v>
      </c>
      <c r="M299" t="n">
        <v>-0.1514</v>
      </c>
      <c r="N299" t="n">
        <v>-3.1673</v>
      </c>
      <c r="O299" t="n">
        <v>-0.49903</v>
      </c>
      <c r="P299" t="n">
        <v>-0.30546</v>
      </c>
      <c r="Q299" t="n">
        <v>-0.20674</v>
      </c>
      <c r="R299" t="n">
        <v>0.68202</v>
      </c>
      <c r="S299" t="n">
        <v>-0.86757</v>
      </c>
      <c r="T299" t="n">
        <v>0.15494</v>
      </c>
      <c r="U299" t="n">
        <v>0.085202</v>
      </c>
      <c r="V299" t="n">
        <v>-0.041513</v>
      </c>
      <c r="W299" t="n">
        <v>0.8758</v>
      </c>
      <c r="X299" t="n">
        <v>0.032103</v>
      </c>
      <c r="Y299" t="n">
        <v>-0.12559</v>
      </c>
      <c r="Z299" t="n">
        <v>0.077444</v>
      </c>
    </row>
    <row r="300">
      <c r="A300" t="inlineStr">
        <is>
          <t>tight</t>
        </is>
      </c>
      <c r="B300" t="n">
        <v>-1.382</v>
      </c>
      <c r="C300" t="n">
        <v>-0.19885</v>
      </c>
      <c r="D300" t="n">
        <v>-0.1134</v>
      </c>
      <c r="E300" t="n">
        <v>-0.011618</v>
      </c>
      <c r="F300" t="n">
        <v>0.50905</v>
      </c>
      <c r="G300" t="n">
        <v>0.8450299999999999</v>
      </c>
      <c r="H300" t="n">
        <v>0.7376</v>
      </c>
      <c r="I300" t="n">
        <v>-0.64791</v>
      </c>
      <c r="J300" t="n">
        <v>-0.81288</v>
      </c>
      <c r="K300" t="n">
        <v>0.40996</v>
      </c>
      <c r="L300" t="n">
        <v>-0.4695</v>
      </c>
      <c r="M300" t="n">
        <v>0.83718</v>
      </c>
      <c r="N300" t="n">
        <v>-3.1402</v>
      </c>
      <c r="O300" t="n">
        <v>-0.2098</v>
      </c>
      <c r="P300" t="n">
        <v>-0.8371499999999999</v>
      </c>
      <c r="Q300" t="n">
        <v>0.011353</v>
      </c>
      <c r="R300" t="n">
        <v>0.1284</v>
      </c>
      <c r="S300" t="n">
        <v>-1.26</v>
      </c>
      <c r="T300" t="n">
        <v>-0.25414</v>
      </c>
      <c r="U300" t="n">
        <v>0.041979</v>
      </c>
      <c r="V300" t="n">
        <v>-0.14515</v>
      </c>
      <c r="W300" t="n">
        <v>1.1593</v>
      </c>
      <c r="X300" t="n">
        <v>1.4457</v>
      </c>
      <c r="Y300" t="n">
        <v>0.29601</v>
      </c>
      <c r="Z300" t="n">
        <v>-0.51852</v>
      </c>
    </row>
    <row r="301">
      <c r="A301" t="inlineStr">
        <is>
          <t>tough</t>
        </is>
      </c>
      <c r="B301" t="n">
        <v>-0.009358399999999999</v>
      </c>
      <c r="C301" t="n">
        <v>0.37535</v>
      </c>
      <c r="D301" t="n">
        <v>-0.70229</v>
      </c>
      <c r="E301" t="n">
        <v>-0.5643899999999999</v>
      </c>
      <c r="F301" t="n">
        <v>0.27183</v>
      </c>
      <c r="G301" t="n">
        <v>1.133</v>
      </c>
      <c r="H301" t="n">
        <v>0.99244</v>
      </c>
      <c r="I301" t="n">
        <v>-0.56332</v>
      </c>
      <c r="J301" t="n">
        <v>0.3838</v>
      </c>
      <c r="K301" t="n">
        <v>-0.51475</v>
      </c>
      <c r="L301" t="n">
        <v>-0.81619</v>
      </c>
      <c r="M301" t="n">
        <v>0.83519</v>
      </c>
      <c r="N301" t="n">
        <v>-3.6287</v>
      </c>
      <c r="O301" t="n">
        <v>0.52682</v>
      </c>
      <c r="P301" t="n">
        <v>0.6875</v>
      </c>
      <c r="Q301" t="n">
        <v>0.071864</v>
      </c>
      <c r="R301" t="n">
        <v>0.12215</v>
      </c>
      <c r="S301" t="n">
        <v>-0.8637</v>
      </c>
      <c r="T301" t="n">
        <v>0.23268</v>
      </c>
      <c r="U301" t="n">
        <v>-0.6432</v>
      </c>
      <c r="V301" t="n">
        <v>0.14348</v>
      </c>
      <c r="W301" t="n">
        <v>0.96373</v>
      </c>
      <c r="X301" t="n">
        <v>0.29395</v>
      </c>
      <c r="Y301" t="n">
        <v>-0.28421</v>
      </c>
      <c r="Z301" t="n">
        <v>-0.7202</v>
      </c>
    </row>
    <row r="302">
      <c r="A302" t="inlineStr">
        <is>
          <t>shooting</t>
        </is>
      </c>
      <c r="B302" t="n">
        <v>-0.13589</v>
      </c>
      <c r="C302" t="n">
        <v>0.8578</v>
      </c>
      <c r="D302" t="n">
        <v>0.95783</v>
      </c>
      <c r="E302" t="n">
        <v>0.053662</v>
      </c>
      <c r="F302" t="n">
        <v>-0.13092</v>
      </c>
      <c r="G302" t="n">
        <v>0.18787</v>
      </c>
      <c r="H302" t="n">
        <v>1.1334</v>
      </c>
      <c r="I302" t="n">
        <v>-0.023128</v>
      </c>
      <c r="J302" t="n">
        <v>0.7518899999999999</v>
      </c>
      <c r="K302" t="n">
        <v>0.5307500000000001</v>
      </c>
      <c r="L302" t="n">
        <v>0.46296</v>
      </c>
      <c r="M302" t="n">
        <v>0.92493</v>
      </c>
      <c r="N302" t="n">
        <v>-2.9189</v>
      </c>
      <c r="O302" t="n">
        <v>1.3274</v>
      </c>
      <c r="P302" t="n">
        <v>0.98295</v>
      </c>
      <c r="Q302" t="n">
        <v>0.18623</v>
      </c>
      <c r="R302" t="n">
        <v>0.11594</v>
      </c>
      <c r="S302" t="n">
        <v>-0.18643</v>
      </c>
      <c r="T302" t="n">
        <v>-0.70874</v>
      </c>
      <c r="U302" t="n">
        <v>-0.37611</v>
      </c>
      <c r="V302" t="n">
        <v>-0.37091</v>
      </c>
      <c r="W302" t="n">
        <v>0.2924</v>
      </c>
      <c r="X302" t="n">
        <v>0.08837100000000001</v>
      </c>
      <c r="Y302" t="n">
        <v>-1.7603</v>
      </c>
      <c r="Z302" t="n">
        <v>0.049645</v>
      </c>
    </row>
    <row r="303">
      <c r="A303" t="inlineStr">
        <is>
          <t>hearing</t>
        </is>
      </c>
      <c r="B303" t="n">
        <v>-0.14626</v>
      </c>
      <c r="C303" t="n">
        <v>1.079</v>
      </c>
      <c r="D303" t="n">
        <v>0.40236</v>
      </c>
      <c r="E303" t="n">
        <v>0.57878</v>
      </c>
      <c r="F303" t="n">
        <v>0.10733</v>
      </c>
      <c r="G303" t="n">
        <v>-0.60017</v>
      </c>
      <c r="H303" t="n">
        <v>1.6527</v>
      </c>
      <c r="I303" t="n">
        <v>-1.1271</v>
      </c>
      <c r="J303" t="n">
        <v>-0.16465</v>
      </c>
      <c r="K303" t="n">
        <v>0.11212</v>
      </c>
      <c r="L303" t="n">
        <v>-0.64386</v>
      </c>
      <c r="M303" t="n">
        <v>0.88052</v>
      </c>
      <c r="N303" t="n">
        <v>-3.2355</v>
      </c>
      <c r="O303" t="n">
        <v>0.1749</v>
      </c>
      <c r="P303" t="n">
        <v>0.96793</v>
      </c>
      <c r="Q303" t="n">
        <v>0.39544</v>
      </c>
      <c r="R303" t="n">
        <v>-0.2487</v>
      </c>
      <c r="S303" t="n">
        <v>0.55117</v>
      </c>
      <c r="T303" t="n">
        <v>-0.28175</v>
      </c>
      <c r="U303" t="n">
        <v>-0.99031</v>
      </c>
      <c r="V303" t="n">
        <v>0.21479</v>
      </c>
      <c r="W303" t="n">
        <v>0.3162</v>
      </c>
      <c r="X303" t="n">
        <v>0.21337</v>
      </c>
      <c r="Y303" t="n">
        <v>-1.0287</v>
      </c>
      <c r="Z303" t="n">
        <v>-0.90771</v>
      </c>
    </row>
    <row r="304">
      <c r="A304" t="inlineStr">
        <is>
          <t>flow</t>
        </is>
      </c>
      <c r="B304" t="n">
        <v>-0.74365</v>
      </c>
      <c r="C304" t="n">
        <v>0.29141</v>
      </c>
      <c r="D304" t="n">
        <v>-0.24286</v>
      </c>
      <c r="E304" t="n">
        <v>0.52417</v>
      </c>
      <c r="F304" t="n">
        <v>0.8166</v>
      </c>
      <c r="G304" t="n">
        <v>0.77727</v>
      </c>
      <c r="H304" t="n">
        <v>0.35194</v>
      </c>
      <c r="I304" t="n">
        <v>0.41968</v>
      </c>
      <c r="J304" t="n">
        <v>0.59095</v>
      </c>
      <c r="K304" t="n">
        <v>-0.67793</v>
      </c>
      <c r="L304" t="n">
        <v>-0.34569</v>
      </c>
      <c r="M304" t="n">
        <v>0.17063</v>
      </c>
      <c r="N304" t="n">
        <v>-3.0401</v>
      </c>
      <c r="O304" t="n">
        <v>-0.27738</v>
      </c>
      <c r="P304" t="n">
        <v>0.80033</v>
      </c>
      <c r="Q304" t="n">
        <v>0.8922099999999999</v>
      </c>
      <c r="R304" t="n">
        <v>-0.10853</v>
      </c>
      <c r="S304" t="n">
        <v>-0.08942799999999999</v>
      </c>
      <c r="T304" t="n">
        <v>0.40197</v>
      </c>
      <c r="U304" t="n">
        <v>0.27531</v>
      </c>
      <c r="V304" t="n">
        <v>0.06696000000000001</v>
      </c>
      <c r="W304" t="n">
        <v>-0.33165</v>
      </c>
      <c r="X304" t="n">
        <v>1.0588</v>
      </c>
      <c r="Y304" t="n">
        <v>0.38546</v>
      </c>
      <c r="Z304" t="n">
        <v>0.98081</v>
      </c>
    </row>
    <row r="305">
      <c r="A305" t="inlineStr">
        <is>
          <t>followmejp</t>
        </is>
      </c>
      <c r="B305" t="n">
        <v>0.44235</v>
      </c>
      <c r="C305" t="n">
        <v>-0.057642</v>
      </c>
      <c r="D305" t="n">
        <v>-0.9739100000000001</v>
      </c>
      <c r="E305" t="n">
        <v>-1.6506</v>
      </c>
      <c r="F305" t="n">
        <v>-0.8513500000000001</v>
      </c>
      <c r="G305" t="n">
        <v>-1.2975</v>
      </c>
      <c r="H305" t="n">
        <v>-0.21357</v>
      </c>
      <c r="I305" t="n">
        <v>-0.096097</v>
      </c>
      <c r="J305" t="n">
        <v>-0.68249</v>
      </c>
      <c r="K305" t="n">
        <v>-1.1249</v>
      </c>
      <c r="L305" t="n">
        <v>-0.4662</v>
      </c>
      <c r="M305" t="n">
        <v>0.58564</v>
      </c>
      <c r="N305" t="n">
        <v>-0.99749</v>
      </c>
      <c r="O305" t="n">
        <v>-1.2799</v>
      </c>
      <c r="P305" t="n">
        <v>-2.5139</v>
      </c>
      <c r="Q305" t="n">
        <v>-0.31821</v>
      </c>
      <c r="R305" t="n">
        <v>-0.0011421</v>
      </c>
      <c r="S305" t="n">
        <v>-1.584</v>
      </c>
      <c r="T305" t="n">
        <v>-0.0385</v>
      </c>
      <c r="U305" t="n">
        <v>1.4719</v>
      </c>
      <c r="V305" t="n">
        <v>-0.22701</v>
      </c>
      <c r="W305" t="n">
        <v>-2.8997</v>
      </c>
      <c r="X305" t="n">
        <v>0.33764</v>
      </c>
      <c r="Y305" t="n">
        <v>-1.1785</v>
      </c>
      <c r="Z305" t="n">
        <v>1.02</v>
      </c>
    </row>
    <row r="306">
      <c r="A306" t="inlineStr">
        <is>
          <t>brought</t>
        </is>
      </c>
      <c r="B306" t="n">
        <v>-0.84396</v>
      </c>
      <c r="C306" t="n">
        <v>0.76446</v>
      </c>
      <c r="D306" t="n">
        <v>0.77445</v>
      </c>
      <c r="E306" t="n">
        <v>0.16235</v>
      </c>
      <c r="F306" t="n">
        <v>-0.4879</v>
      </c>
      <c r="G306" t="n">
        <v>-0.53208</v>
      </c>
      <c r="H306" t="n">
        <v>0.88745</v>
      </c>
      <c r="I306" t="n">
        <v>-0.98889</v>
      </c>
      <c r="J306" t="n">
        <v>-0.70878</v>
      </c>
      <c r="K306" t="n">
        <v>-0.11224</v>
      </c>
      <c r="L306" t="n">
        <v>0.61608</v>
      </c>
      <c r="M306" t="n">
        <v>0.54174</v>
      </c>
      <c r="N306" t="n">
        <v>-4.163</v>
      </c>
      <c r="O306" t="n">
        <v>0.081621</v>
      </c>
      <c r="P306" t="n">
        <v>0.09646200000000001</v>
      </c>
      <c r="Q306" t="n">
        <v>0.017295</v>
      </c>
      <c r="R306" t="n">
        <v>1.2265</v>
      </c>
      <c r="S306" t="n">
        <v>-0.0031203</v>
      </c>
      <c r="T306" t="n">
        <v>0.24729</v>
      </c>
      <c r="U306" t="n">
        <v>-0.054904</v>
      </c>
      <c r="V306" t="n">
        <v>0.06522</v>
      </c>
      <c r="W306" t="n">
        <v>0.23366</v>
      </c>
      <c r="X306" t="n">
        <v>0.12131</v>
      </c>
      <c r="Y306" t="n">
        <v>0.054101</v>
      </c>
      <c r="Z306" t="n">
        <v>-0.069229</v>
      </c>
    </row>
    <row r="307">
      <c r="A307" t="inlineStr">
        <is>
          <t>search</t>
        </is>
      </c>
      <c r="B307" t="n">
        <v>0.55447</v>
      </c>
      <c r="C307" t="n">
        <v>0.66123</v>
      </c>
      <c r="D307" t="n">
        <v>-0.16846</v>
      </c>
      <c r="E307" t="n">
        <v>-0.30429</v>
      </c>
      <c r="F307" t="n">
        <v>0.88848</v>
      </c>
      <c r="G307" t="n">
        <v>-0.96663</v>
      </c>
      <c r="H307" t="n">
        <v>0.9748599999999999</v>
      </c>
      <c r="I307" t="n">
        <v>-0.10052</v>
      </c>
      <c r="J307" t="n">
        <v>1.5415</v>
      </c>
      <c r="K307" t="n">
        <v>0.35717</v>
      </c>
      <c r="L307" t="n">
        <v>0.070688</v>
      </c>
      <c r="M307" t="n">
        <v>0.14557</v>
      </c>
      <c r="N307" t="n">
        <v>-3.2437</v>
      </c>
      <c r="O307" t="n">
        <v>-0.18392</v>
      </c>
      <c r="P307" t="n">
        <v>0.22468</v>
      </c>
      <c r="Q307" t="n">
        <v>0.35452</v>
      </c>
      <c r="R307" t="n">
        <v>0.48685</v>
      </c>
      <c r="S307" t="n">
        <v>-0.080458</v>
      </c>
      <c r="T307" t="n">
        <v>0.056278</v>
      </c>
      <c r="U307" t="n">
        <v>-0.7571099999999999</v>
      </c>
      <c r="V307" t="n">
        <v>-0.39263</v>
      </c>
      <c r="W307" t="n">
        <v>-1.3741</v>
      </c>
      <c r="X307" t="n">
        <v>-0.6298899999999999</v>
      </c>
      <c r="Y307" t="n">
        <v>-0.42877</v>
      </c>
      <c r="Z307" t="n">
        <v>-1.0259</v>
      </c>
    </row>
    <row r="308">
      <c r="A308" t="inlineStr">
        <is>
          <t>champions</t>
        </is>
      </c>
      <c r="B308" t="n">
        <v>0.39933</v>
      </c>
      <c r="C308" t="n">
        <v>0.25652</v>
      </c>
      <c r="D308" t="n">
        <v>-0.44272</v>
      </c>
      <c r="E308" t="n">
        <v>-1.4527</v>
      </c>
      <c r="F308" t="n">
        <v>-0.56875</v>
      </c>
      <c r="G308" t="n">
        <v>0.64782</v>
      </c>
      <c r="H308" t="n">
        <v>0.039008</v>
      </c>
      <c r="I308" t="n">
        <v>1.1292</v>
      </c>
      <c r="J308" t="n">
        <v>-0.73323</v>
      </c>
      <c r="K308" t="n">
        <v>-0.85429</v>
      </c>
      <c r="L308" t="n">
        <v>0.98442</v>
      </c>
      <c r="M308" t="n">
        <v>-0.71105</v>
      </c>
      <c r="N308" t="n">
        <v>-2.6179</v>
      </c>
      <c r="O308" t="n">
        <v>1.76</v>
      </c>
      <c r="P308" t="n">
        <v>1.1351</v>
      </c>
      <c r="Q308" t="n">
        <v>0.35781</v>
      </c>
      <c r="R308" t="n">
        <v>-1.0154</v>
      </c>
      <c r="S308" t="n">
        <v>-0.26488</v>
      </c>
      <c r="T308" t="n">
        <v>-0.17907</v>
      </c>
      <c r="U308" t="n">
        <v>0.011729</v>
      </c>
      <c r="V308" t="n">
        <v>-1.8739</v>
      </c>
      <c r="W308" t="n">
        <v>0.58179</v>
      </c>
      <c r="X308" t="n">
        <v>0.10527</v>
      </c>
      <c r="Y308" t="n">
        <v>-1.0563</v>
      </c>
      <c r="Z308" t="n">
        <v>0.070061</v>
      </c>
    </row>
    <row r="309">
      <c r="A309" t="inlineStr">
        <is>
          <t>headache</t>
        </is>
      </c>
      <c r="B309" t="n">
        <v>-0.48087</v>
      </c>
      <c r="C309" t="n">
        <v>0.74019</v>
      </c>
      <c r="D309" t="n">
        <v>-0.3386</v>
      </c>
      <c r="E309" t="n">
        <v>0.71515</v>
      </c>
      <c r="F309" t="n">
        <v>1.0438</v>
      </c>
      <c r="G309" t="n">
        <v>0.93304</v>
      </c>
      <c r="H309" t="n">
        <v>2.1314</v>
      </c>
      <c r="I309" t="n">
        <v>-1.0623</v>
      </c>
      <c r="J309" t="n">
        <v>-0.4704</v>
      </c>
      <c r="K309" t="n">
        <v>0.87225</v>
      </c>
      <c r="L309" t="n">
        <v>-0.6702</v>
      </c>
      <c r="M309" t="n">
        <v>0.73866</v>
      </c>
      <c r="N309" t="n">
        <v>-2.1271</v>
      </c>
      <c r="O309" t="n">
        <v>0.49736</v>
      </c>
      <c r="P309" t="n">
        <v>1.5526</v>
      </c>
      <c r="Q309" t="n">
        <v>0.13295</v>
      </c>
      <c r="R309" t="n">
        <v>0.6670199999999999</v>
      </c>
      <c r="S309" t="n">
        <v>-0.0074115</v>
      </c>
      <c r="T309" t="n">
        <v>0.056568</v>
      </c>
      <c r="U309" t="n">
        <v>-1.047</v>
      </c>
      <c r="V309" t="n">
        <v>-0.026823</v>
      </c>
      <c r="W309" t="n">
        <v>1.4079</v>
      </c>
      <c r="X309" t="n">
        <v>1.6634</v>
      </c>
      <c r="Y309" t="n">
        <v>1.6237</v>
      </c>
      <c r="Z309" t="n">
        <v>0.62116</v>
      </c>
    </row>
    <row r="310">
      <c r="A310" t="inlineStr">
        <is>
          <t>international</t>
        </is>
      </c>
      <c r="B310" t="n">
        <v>-0.8948199999999999</v>
      </c>
      <c r="C310" t="n">
        <v>0.51628</v>
      </c>
      <c r="D310" t="n">
        <v>-0.86724</v>
      </c>
      <c r="E310" t="n">
        <v>-1.2114</v>
      </c>
      <c r="F310" t="n">
        <v>0.069812</v>
      </c>
      <c r="G310" t="n">
        <v>-0.74398</v>
      </c>
      <c r="H310" t="n">
        <v>0.46937</v>
      </c>
      <c r="I310" t="n">
        <v>-0.015775</v>
      </c>
      <c r="J310" t="n">
        <v>1.3139</v>
      </c>
      <c r="K310" t="n">
        <v>-0.19923</v>
      </c>
      <c r="L310" t="n">
        <v>0.2186</v>
      </c>
      <c r="M310" t="n">
        <v>-0.07742499999999999</v>
      </c>
      <c r="N310" t="n">
        <v>-3.3219</v>
      </c>
      <c r="O310" t="n">
        <v>0.9900099999999999</v>
      </c>
      <c r="P310" t="n">
        <v>0.51605</v>
      </c>
      <c r="Q310" t="n">
        <v>-0.8157799999999999</v>
      </c>
      <c r="R310" t="n">
        <v>0.12504</v>
      </c>
      <c r="S310" t="n">
        <v>0.41948</v>
      </c>
      <c r="T310" t="n">
        <v>-0.27313</v>
      </c>
      <c r="U310" t="n">
        <v>0.49342</v>
      </c>
      <c r="V310" t="n">
        <v>-0.90269</v>
      </c>
      <c r="W310" t="n">
        <v>-0.85127</v>
      </c>
      <c r="X310" t="n">
        <v>-1.1816</v>
      </c>
      <c r="Y310" t="n">
        <v>-1.5458</v>
      </c>
      <c r="Z310" t="n">
        <v>-0.0020096</v>
      </c>
    </row>
    <row r="311">
      <c r="A311" t="inlineStr">
        <is>
          <t>building</t>
        </is>
      </c>
      <c r="B311" t="n">
        <v>-1.0035</v>
      </c>
      <c r="C311" t="n">
        <v>0.18889</v>
      </c>
      <c r="D311" t="n">
        <v>0.19124</v>
      </c>
      <c r="E311" t="n">
        <v>-0.35136</v>
      </c>
      <c r="F311" t="n">
        <v>0.76388</v>
      </c>
      <c r="G311" t="n">
        <v>0.1834</v>
      </c>
      <c r="H311" t="n">
        <v>0.7434500000000001</v>
      </c>
      <c r="I311" t="n">
        <v>-1.0172</v>
      </c>
      <c r="J311" t="n">
        <v>1.353</v>
      </c>
      <c r="K311" t="n">
        <v>0.39287</v>
      </c>
      <c r="L311" t="n">
        <v>0.062046</v>
      </c>
      <c r="M311" t="n">
        <v>0.3024</v>
      </c>
      <c r="N311" t="n">
        <v>-3.7981</v>
      </c>
      <c r="O311" t="n">
        <v>0.9113</v>
      </c>
      <c r="P311" t="n">
        <v>0.47817</v>
      </c>
      <c r="Q311" t="n">
        <v>-0.15115</v>
      </c>
      <c r="R311" t="n">
        <v>0.092584</v>
      </c>
      <c r="S311" t="n">
        <v>0.53515</v>
      </c>
      <c r="T311" t="n">
        <v>0.34286</v>
      </c>
      <c r="U311" t="n">
        <v>-0.39228</v>
      </c>
      <c r="V311" t="n">
        <v>-0.38551</v>
      </c>
      <c r="W311" t="n">
        <v>-1.009</v>
      </c>
      <c r="X311" t="n">
        <v>-0.18895</v>
      </c>
      <c r="Y311" t="n">
        <v>-0.86529</v>
      </c>
      <c r="Z311" t="n">
        <v>-0.1834</v>
      </c>
    </row>
    <row r="312">
      <c r="A312" t="inlineStr">
        <is>
          <t>field</t>
        </is>
      </c>
      <c r="B312" t="n">
        <v>-0.60287</v>
      </c>
      <c r="C312" t="n">
        <v>0.34907</v>
      </c>
      <c r="D312" t="n">
        <v>0.20192</v>
      </c>
      <c r="E312" t="n">
        <v>-0.84443</v>
      </c>
      <c r="F312" t="n">
        <v>0.18103</v>
      </c>
      <c r="G312" t="n">
        <v>0.50397</v>
      </c>
      <c r="H312" t="n">
        <v>0.71678</v>
      </c>
      <c r="I312" t="n">
        <v>-0.87399</v>
      </c>
      <c r="J312" t="n">
        <v>1.0939</v>
      </c>
      <c r="K312" t="n">
        <v>-0.45231</v>
      </c>
      <c r="L312" t="n">
        <v>0.14506</v>
      </c>
      <c r="M312" t="n">
        <v>0.45068</v>
      </c>
      <c r="N312" t="n">
        <v>-3.8565</v>
      </c>
      <c r="O312" t="n">
        <v>0.99648</v>
      </c>
      <c r="P312" t="n">
        <v>1.2523</v>
      </c>
      <c r="Q312" t="n">
        <v>-0.56486</v>
      </c>
      <c r="R312" t="n">
        <v>0.086606</v>
      </c>
      <c r="S312" t="n">
        <v>-0.40726</v>
      </c>
      <c r="T312" t="n">
        <v>0.20552</v>
      </c>
      <c r="U312" t="n">
        <v>0.13306</v>
      </c>
      <c r="V312" t="n">
        <v>-0.63202</v>
      </c>
      <c r="W312" t="n">
        <v>0.3332</v>
      </c>
      <c r="X312" t="n">
        <v>0.77849</v>
      </c>
      <c r="Y312" t="n">
        <v>-0.64029</v>
      </c>
      <c r="Z312" t="n">
        <v>-0.17808</v>
      </c>
    </row>
    <row r="313">
      <c r="A313" t="inlineStr">
        <is>
          <t>hits</t>
        </is>
      </c>
      <c r="B313" t="n">
        <v>0.27691</v>
      </c>
      <c r="C313" t="n">
        <v>0.49333</v>
      </c>
      <c r="D313" t="n">
        <v>0.77319</v>
      </c>
      <c r="E313" t="n">
        <v>0.07385</v>
      </c>
      <c r="F313" t="n">
        <v>0.14356</v>
      </c>
      <c r="G313" t="n">
        <v>-0.0048456</v>
      </c>
      <c r="H313" t="n">
        <v>0.94135</v>
      </c>
      <c r="I313" t="n">
        <v>0.0015563</v>
      </c>
      <c r="J313" t="n">
        <v>0.30498</v>
      </c>
      <c r="K313" t="n">
        <v>-0.23535</v>
      </c>
      <c r="L313" t="n">
        <v>1.1792</v>
      </c>
      <c r="M313" t="n">
        <v>0.78154</v>
      </c>
      <c r="N313" t="n">
        <v>-2.8634</v>
      </c>
      <c r="O313" t="n">
        <v>0.85568</v>
      </c>
      <c r="P313" t="n">
        <v>0.33159</v>
      </c>
      <c r="Q313" t="n">
        <v>0.059945</v>
      </c>
      <c r="R313" t="n">
        <v>-0.43001</v>
      </c>
      <c r="S313" t="n">
        <v>-0.10883</v>
      </c>
      <c r="T313" t="n">
        <v>-0.051266</v>
      </c>
      <c r="U313" t="n">
        <v>-0.055019</v>
      </c>
      <c r="V313" t="n">
        <v>-0.7768699999999999</v>
      </c>
      <c r="W313" t="n">
        <v>-0.047292</v>
      </c>
      <c r="X313" t="n">
        <v>1.0712</v>
      </c>
      <c r="Y313" t="n">
        <v>-0.70084</v>
      </c>
      <c r="Z313" t="n">
        <v>0.023318</v>
      </c>
    </row>
    <row r="314">
      <c r="A314" t="inlineStr">
        <is>
          <t>currently</t>
        </is>
      </c>
      <c r="B314" t="n">
        <v>-0.88092</v>
      </c>
      <c r="C314" t="n">
        <v>0.7129</v>
      </c>
      <c r="D314" t="n">
        <v>0.47005</v>
      </c>
      <c r="E314" t="n">
        <v>-1.3317</v>
      </c>
      <c r="F314" t="n">
        <v>0.031921</v>
      </c>
      <c r="G314" t="n">
        <v>0.51777</v>
      </c>
      <c r="H314" t="n">
        <v>1.1753</v>
      </c>
      <c r="I314" t="n">
        <v>-0.99955</v>
      </c>
      <c r="J314" t="n">
        <v>-0.037769</v>
      </c>
      <c r="K314" t="n">
        <v>0.24079</v>
      </c>
      <c r="L314" t="n">
        <v>0.51178</v>
      </c>
      <c r="M314" t="n">
        <v>0.5444600000000001</v>
      </c>
      <c r="N314" t="n">
        <v>-3.4594</v>
      </c>
      <c r="O314" t="n">
        <v>-0.118</v>
      </c>
      <c r="P314" t="n">
        <v>0.45726</v>
      </c>
      <c r="Q314" t="n">
        <v>0.15529</v>
      </c>
      <c r="R314" t="n">
        <v>-0.4203</v>
      </c>
      <c r="S314" t="n">
        <v>0.6080100000000001</v>
      </c>
      <c r="T314" t="n">
        <v>-0.17665</v>
      </c>
      <c r="U314" t="n">
        <v>-1.0342</v>
      </c>
      <c r="V314" t="n">
        <v>0.012322</v>
      </c>
      <c r="W314" t="n">
        <v>-0.76317</v>
      </c>
      <c r="X314" t="n">
        <v>-0.31755</v>
      </c>
      <c r="Y314" t="n">
        <v>-0.43048</v>
      </c>
      <c r="Z314" t="n">
        <v>-0.48698</v>
      </c>
    </row>
    <row r="315">
      <c r="A315" t="inlineStr">
        <is>
          <t>fox</t>
        </is>
      </c>
      <c r="B315" t="n">
        <v>0.31969</v>
      </c>
      <c r="C315" t="n">
        <v>-0.052008</v>
      </c>
      <c r="D315" t="n">
        <v>0.89795</v>
      </c>
      <c r="E315" t="n">
        <v>-0.49538</v>
      </c>
      <c r="F315" t="n">
        <v>0.13835</v>
      </c>
      <c r="G315" t="n">
        <v>-0.47876</v>
      </c>
      <c r="H315" t="n">
        <v>0.40003</v>
      </c>
      <c r="I315" t="n">
        <v>0.50656</v>
      </c>
      <c r="J315" t="n">
        <v>0.31632</v>
      </c>
      <c r="K315" t="n">
        <v>-0.81338</v>
      </c>
      <c r="L315" t="n">
        <v>0.41782</v>
      </c>
      <c r="M315" t="n">
        <v>-0.4945</v>
      </c>
      <c r="N315" t="n">
        <v>-3.0073</v>
      </c>
      <c r="O315" t="n">
        <v>-0.40346</v>
      </c>
      <c r="P315" t="n">
        <v>0.57355</v>
      </c>
      <c r="Q315" t="n">
        <v>-0.44735</v>
      </c>
      <c r="R315" t="n">
        <v>-0.6014</v>
      </c>
      <c r="S315" t="n">
        <v>0.27903</v>
      </c>
      <c r="T315" t="n">
        <v>-0.07222199999999999</v>
      </c>
      <c r="U315" t="n">
        <v>0.19807</v>
      </c>
      <c r="V315" t="n">
        <v>0.2222</v>
      </c>
      <c r="W315" t="n">
        <v>0.10022</v>
      </c>
      <c r="X315" t="n">
        <v>-0.1543</v>
      </c>
      <c r="Y315" t="n">
        <v>-1.3163</v>
      </c>
      <c r="Z315" t="n">
        <v>0.10569</v>
      </c>
    </row>
    <row r="316">
      <c r="A316" t="inlineStr">
        <is>
          <t>hearts</t>
        </is>
      </c>
      <c r="B316" t="n">
        <v>-0.58488</v>
      </c>
      <c r="C316" t="n">
        <v>-0.41458</v>
      </c>
      <c r="D316" t="n">
        <v>0.20054</v>
      </c>
      <c r="E316" t="n">
        <v>0.99344</v>
      </c>
      <c r="F316" t="n">
        <v>-0.54434</v>
      </c>
      <c r="G316" t="n">
        <v>0.24596</v>
      </c>
      <c r="H316" t="n">
        <v>1.2199</v>
      </c>
      <c r="I316" t="n">
        <v>-0.26351</v>
      </c>
      <c r="J316" t="n">
        <v>-0.4237</v>
      </c>
      <c r="K316" t="n">
        <v>-0.21891</v>
      </c>
      <c r="L316" t="n">
        <v>0.054026</v>
      </c>
      <c r="M316" t="n">
        <v>0.70742</v>
      </c>
      <c r="N316" t="n">
        <v>-3.3472</v>
      </c>
      <c r="O316" t="n">
        <v>0.94348</v>
      </c>
      <c r="P316" t="n">
        <v>-1.3302</v>
      </c>
      <c r="Q316" t="n">
        <v>0.51246</v>
      </c>
      <c r="R316" t="n">
        <v>-0.45499</v>
      </c>
      <c r="S316" t="n">
        <v>-0.036278</v>
      </c>
      <c r="T316" t="n">
        <v>1.1241</v>
      </c>
      <c r="U316" t="n">
        <v>-0.019213</v>
      </c>
      <c r="V316" t="n">
        <v>-0.88827</v>
      </c>
      <c r="W316" t="n">
        <v>0.50193</v>
      </c>
      <c r="X316" t="n">
        <v>0.29389</v>
      </c>
      <c r="Y316" t="n">
        <v>-0.11334</v>
      </c>
      <c r="Z316" t="n">
        <v>-0.21343</v>
      </c>
    </row>
    <row r="317">
      <c r="A317" t="inlineStr">
        <is>
          <t>incredible</t>
        </is>
      </c>
      <c r="B317" t="n">
        <v>-0.68562</v>
      </c>
      <c r="C317" t="n">
        <v>-0.39552</v>
      </c>
      <c r="D317" t="n">
        <v>-0.11847</v>
      </c>
      <c r="E317" t="n">
        <v>-0.75484</v>
      </c>
      <c r="F317" t="n">
        <v>0.27783</v>
      </c>
      <c r="G317" t="n">
        <v>0.25338</v>
      </c>
      <c r="H317" t="n">
        <v>1.7037</v>
      </c>
      <c r="I317" t="n">
        <v>-0.39405</v>
      </c>
      <c r="J317" t="n">
        <v>-1.0975</v>
      </c>
      <c r="K317" t="n">
        <v>-1.4803</v>
      </c>
      <c r="L317" t="n">
        <v>0.18884</v>
      </c>
      <c r="M317" t="n">
        <v>0.847</v>
      </c>
      <c r="N317" t="n">
        <v>-3.2802</v>
      </c>
      <c r="O317" t="n">
        <v>0.7237</v>
      </c>
      <c r="P317" t="n">
        <v>0.20855</v>
      </c>
      <c r="Q317" t="n">
        <v>0.068895</v>
      </c>
      <c r="R317" t="n">
        <v>0.35764</v>
      </c>
      <c r="S317" t="n">
        <v>0.065895</v>
      </c>
      <c r="T317" t="n">
        <v>0.1461</v>
      </c>
      <c r="U317" t="n">
        <v>0.18414</v>
      </c>
      <c r="V317" t="n">
        <v>-0.98001</v>
      </c>
      <c r="W317" t="n">
        <v>-0.12166</v>
      </c>
      <c r="X317" t="n">
        <v>-0.70218</v>
      </c>
      <c r="Y317" t="n">
        <v>-0.5323600000000001</v>
      </c>
      <c r="Z317" t="n">
        <v>-0.46245</v>
      </c>
    </row>
    <row r="318">
      <c r="A318" t="inlineStr">
        <is>
          <t>tio</t>
        </is>
      </c>
      <c r="B318" t="n">
        <v>0.16568</v>
      </c>
      <c r="C318" t="n">
        <v>-0.07327599999999999</v>
      </c>
      <c r="D318" t="n">
        <v>0.51949</v>
      </c>
      <c r="E318" t="n">
        <v>-0.43714</v>
      </c>
      <c r="F318" t="n">
        <v>-0.23517</v>
      </c>
      <c r="G318" t="n">
        <v>-0.10118</v>
      </c>
      <c r="H318" t="n">
        <v>-1.2534</v>
      </c>
      <c r="I318" t="n">
        <v>1.8782</v>
      </c>
      <c r="J318" t="n">
        <v>-0.57579</v>
      </c>
      <c r="K318" t="n">
        <v>-0.93226</v>
      </c>
      <c r="L318" t="n">
        <v>-0.40473</v>
      </c>
      <c r="M318" t="n">
        <v>-2.2626</v>
      </c>
      <c r="N318" t="n">
        <v>-1.5901</v>
      </c>
      <c r="O318" t="n">
        <v>-1.0168</v>
      </c>
      <c r="P318" t="n">
        <v>1.4805</v>
      </c>
      <c r="Q318" t="n">
        <v>-0.64413</v>
      </c>
      <c r="R318" t="n">
        <v>0.10679</v>
      </c>
      <c r="S318" t="n">
        <v>0.10651</v>
      </c>
      <c r="T318" t="n">
        <v>-0.82848</v>
      </c>
      <c r="U318" t="n">
        <v>0.15763</v>
      </c>
      <c r="V318" t="n">
        <v>0.60739</v>
      </c>
      <c r="W318" t="n">
        <v>1.0307</v>
      </c>
      <c r="X318" t="n">
        <v>0.27954</v>
      </c>
      <c r="Y318" t="n">
        <v>1.1036</v>
      </c>
      <c r="Z318" t="n">
        <v>0.25481</v>
      </c>
    </row>
    <row r="319">
      <c r="A319" t="inlineStr">
        <is>
          <t>bottle</t>
        </is>
      </c>
      <c r="B319" t="n">
        <v>-1.3031</v>
      </c>
      <c r="C319" t="n">
        <v>0.73146</v>
      </c>
      <c r="D319" t="n">
        <v>0.35862</v>
      </c>
      <c r="E319" t="n">
        <v>1.0607</v>
      </c>
      <c r="F319" t="n">
        <v>-0.049877</v>
      </c>
      <c r="G319" t="n">
        <v>0.50347</v>
      </c>
      <c r="H319" t="n">
        <v>0.19</v>
      </c>
      <c r="I319" t="n">
        <v>-1.2482</v>
      </c>
      <c r="J319" t="n">
        <v>0.19514</v>
      </c>
      <c r="K319" t="n">
        <v>0.27216</v>
      </c>
      <c r="L319" t="n">
        <v>1.4056</v>
      </c>
      <c r="M319" t="n">
        <v>0.2356</v>
      </c>
      <c r="N319" t="n">
        <v>-3.7196</v>
      </c>
      <c r="O319" t="n">
        <v>-0.60568</v>
      </c>
      <c r="P319" t="n">
        <v>-0.050725</v>
      </c>
      <c r="Q319" t="n">
        <v>-0.046154</v>
      </c>
      <c r="R319" t="n">
        <v>1.3924</v>
      </c>
      <c r="S319" t="n">
        <v>-0.23019</v>
      </c>
      <c r="T319" t="n">
        <v>0.20008</v>
      </c>
      <c r="U319" t="n">
        <v>0.83375</v>
      </c>
      <c r="V319" t="n">
        <v>-0.93528</v>
      </c>
      <c r="W319" t="n">
        <v>-0.12324</v>
      </c>
      <c r="X319" t="n">
        <v>1.1244</v>
      </c>
      <c r="Y319" t="n">
        <v>0.88602</v>
      </c>
      <c r="Z319" t="n">
        <v>0.62126</v>
      </c>
    </row>
    <row r="320">
      <c r="A320" t="inlineStr">
        <is>
          <t>force</t>
        </is>
      </c>
      <c r="B320" t="n">
        <v>0.15631</v>
      </c>
      <c r="C320" t="n">
        <v>0.013738</v>
      </c>
      <c r="D320" t="n">
        <v>-1.7266</v>
      </c>
      <c r="E320" t="n">
        <v>0.57051</v>
      </c>
      <c r="F320" t="n">
        <v>-0.47576</v>
      </c>
      <c r="G320" t="n">
        <v>0.12873</v>
      </c>
      <c r="H320" t="n">
        <v>0.39548</v>
      </c>
      <c r="I320" t="n">
        <v>-0.64122</v>
      </c>
      <c r="J320" t="n">
        <v>1.2017</v>
      </c>
      <c r="K320" t="n">
        <v>-0.09198000000000001</v>
      </c>
      <c r="L320" t="n">
        <v>-0.01001</v>
      </c>
      <c r="M320" t="n">
        <v>-0.0076453</v>
      </c>
      <c r="N320" t="n">
        <v>-3.6316</v>
      </c>
      <c r="O320" t="n">
        <v>0.66942</v>
      </c>
      <c r="P320" t="n">
        <v>0.16705</v>
      </c>
      <c r="Q320" t="n">
        <v>1.0965</v>
      </c>
      <c r="R320" t="n">
        <v>-0.26822</v>
      </c>
      <c r="S320" t="n">
        <v>0.16849</v>
      </c>
      <c r="T320" t="n">
        <v>-0.42866</v>
      </c>
      <c r="U320" t="n">
        <v>0.1125</v>
      </c>
      <c r="V320" t="n">
        <v>0.2163</v>
      </c>
      <c r="W320" t="n">
        <v>-0.14893</v>
      </c>
      <c r="X320" t="n">
        <v>0.64806</v>
      </c>
      <c r="Y320" t="n">
        <v>-1.1032</v>
      </c>
      <c r="Z320" t="n">
        <v>-0.23776</v>
      </c>
    </row>
    <row r="321">
      <c r="A321" t="inlineStr">
        <is>
          <t>halloween</t>
        </is>
      </c>
      <c r="B321" t="n">
        <v>-0.6274999999999999</v>
      </c>
      <c r="C321" t="n">
        <v>0.01068</v>
      </c>
      <c r="D321" t="n">
        <v>0.89596</v>
      </c>
      <c r="E321" t="n">
        <v>-0.078441</v>
      </c>
      <c r="F321" t="n">
        <v>0.35409</v>
      </c>
      <c r="G321" t="n">
        <v>0.040225</v>
      </c>
      <c r="H321" t="n">
        <v>1.4814</v>
      </c>
      <c r="I321" t="n">
        <v>-0.3862</v>
      </c>
      <c r="J321" t="n">
        <v>-0.64727</v>
      </c>
      <c r="K321" t="n">
        <v>-1.0237</v>
      </c>
      <c r="L321" t="n">
        <v>0.17771</v>
      </c>
      <c r="M321" t="n">
        <v>-0.99695</v>
      </c>
      <c r="N321" t="n">
        <v>-2.6779</v>
      </c>
      <c r="O321" t="n">
        <v>0.13002</v>
      </c>
      <c r="P321" t="n">
        <v>0.067651</v>
      </c>
      <c r="Q321" t="n">
        <v>0.72532</v>
      </c>
      <c r="R321" t="n">
        <v>0.48682</v>
      </c>
      <c r="S321" t="n">
        <v>-0.59809</v>
      </c>
      <c r="T321" t="n">
        <v>-0.34923</v>
      </c>
      <c r="U321" t="n">
        <v>0.56638</v>
      </c>
      <c r="V321" t="n">
        <v>-0.9758599999999999</v>
      </c>
      <c r="W321" t="n">
        <v>-0.14969</v>
      </c>
      <c r="X321" t="n">
        <v>-0.32104</v>
      </c>
      <c r="Y321" t="n">
        <v>-0.1434</v>
      </c>
      <c r="Z321" t="n">
        <v>1.3698</v>
      </c>
    </row>
    <row r="322">
      <c r="A322" t="inlineStr">
        <is>
          <t>turning</t>
        </is>
      </c>
      <c r="B322" t="n">
        <v>-0.65242</v>
      </c>
      <c r="C322" t="n">
        <v>0.68691</v>
      </c>
      <c r="D322" t="n">
        <v>0.9087</v>
      </c>
      <c r="E322" t="n">
        <v>0.11172</v>
      </c>
      <c r="F322" t="n">
        <v>0.20982</v>
      </c>
      <c r="G322" t="n">
        <v>0.65861</v>
      </c>
      <c r="H322" t="n">
        <v>1.1384</v>
      </c>
      <c r="I322" t="n">
        <v>-1.3712</v>
      </c>
      <c r="J322" t="n">
        <v>-0.50464</v>
      </c>
      <c r="K322" t="n">
        <v>0.25437</v>
      </c>
      <c r="L322" t="n">
        <v>-0.51312</v>
      </c>
      <c r="M322" t="n">
        <v>0.62979</v>
      </c>
      <c r="N322" t="n">
        <v>-3.4792</v>
      </c>
      <c r="O322" t="n">
        <v>0.029986</v>
      </c>
      <c r="P322" t="n">
        <v>0.068749</v>
      </c>
      <c r="Q322" t="n">
        <v>0.048105</v>
      </c>
      <c r="R322" t="n">
        <v>-0.35351</v>
      </c>
      <c r="S322" t="n">
        <v>-0.086811</v>
      </c>
      <c r="T322" t="n">
        <v>0.11662</v>
      </c>
      <c r="U322" t="n">
        <v>-0.754</v>
      </c>
      <c r="V322" t="n">
        <v>-0.039605</v>
      </c>
      <c r="W322" t="n">
        <v>0.045399</v>
      </c>
      <c r="X322" t="n">
        <v>0.6069099999999999</v>
      </c>
      <c r="Y322" t="n">
        <v>-0.44073</v>
      </c>
      <c r="Z322" t="n">
        <v>-0.5442900000000001</v>
      </c>
    </row>
    <row r="323">
      <c r="A323" t="inlineStr">
        <is>
          <t>teach</t>
        </is>
      </c>
      <c r="B323" t="n">
        <v>0.31695</v>
      </c>
      <c r="C323" t="n">
        <v>0.93504</v>
      </c>
      <c r="D323" t="n">
        <v>-0.41568</v>
      </c>
      <c r="E323" t="n">
        <v>0.43496</v>
      </c>
      <c r="F323" t="n">
        <v>-0.22606</v>
      </c>
      <c r="G323" t="n">
        <v>-0.88376</v>
      </c>
      <c r="H323" t="n">
        <v>1.1964</v>
      </c>
      <c r="I323" t="n">
        <v>-0.96352</v>
      </c>
      <c r="J323" t="n">
        <v>0.89855</v>
      </c>
      <c r="K323" t="n">
        <v>-0.6673</v>
      </c>
      <c r="L323" t="n">
        <v>-1.2908</v>
      </c>
      <c r="M323" t="n">
        <v>-0.014593</v>
      </c>
      <c r="N323" t="n">
        <v>-4.1323</v>
      </c>
      <c r="O323" t="n">
        <v>-0.6299400000000001</v>
      </c>
      <c r="P323" t="n">
        <v>-0.034787</v>
      </c>
      <c r="Q323" t="n">
        <v>0.28535</v>
      </c>
      <c r="R323" t="n">
        <v>0.46581</v>
      </c>
      <c r="S323" t="n">
        <v>-0.42013</v>
      </c>
      <c r="T323" t="n">
        <v>0.7314000000000001</v>
      </c>
      <c r="U323" t="n">
        <v>-0.69317</v>
      </c>
      <c r="V323" t="n">
        <v>0.17699</v>
      </c>
      <c r="W323" t="n">
        <v>0.61726</v>
      </c>
      <c r="X323" t="n">
        <v>-0.9537099999999999</v>
      </c>
      <c r="Y323" t="n">
        <v>0.31003</v>
      </c>
      <c r="Z323" t="n">
        <v>0.08348999999999999</v>
      </c>
    </row>
    <row r="324">
      <c r="A324" t="inlineStr">
        <is>
          <t>completed</t>
        </is>
      </c>
      <c r="B324" t="n">
        <v>-1.0655</v>
      </c>
      <c r="C324" t="n">
        <v>0.79293</v>
      </c>
      <c r="D324" t="n">
        <v>0.047537</v>
      </c>
      <c r="E324" t="n">
        <v>-0.39789</v>
      </c>
      <c r="F324" t="n">
        <v>-0.56114</v>
      </c>
      <c r="G324" t="n">
        <v>0.30029</v>
      </c>
      <c r="H324" t="n">
        <v>0.53122</v>
      </c>
      <c r="I324" t="n">
        <v>-1.6316</v>
      </c>
      <c r="J324" t="n">
        <v>0.64634</v>
      </c>
      <c r="K324" t="n">
        <v>-0.6415999999999999</v>
      </c>
      <c r="L324" t="n">
        <v>1.6357</v>
      </c>
      <c r="M324" t="n">
        <v>0.1875</v>
      </c>
      <c r="N324" t="n">
        <v>-2.7374</v>
      </c>
      <c r="O324" t="n">
        <v>1.072</v>
      </c>
      <c r="P324" t="n">
        <v>-0.22864</v>
      </c>
      <c r="Q324" t="n">
        <v>-0.065883</v>
      </c>
      <c r="R324" t="n">
        <v>0.75561</v>
      </c>
      <c r="S324" t="n">
        <v>0.99825</v>
      </c>
      <c r="T324" t="n">
        <v>0.11458</v>
      </c>
      <c r="U324" t="n">
        <v>-1.4111</v>
      </c>
      <c r="V324" t="n">
        <v>-1.4176</v>
      </c>
      <c r="W324" t="n">
        <v>-0.37019</v>
      </c>
      <c r="X324" t="n">
        <v>-0.56926</v>
      </c>
      <c r="Y324" t="n">
        <v>0.36134</v>
      </c>
      <c r="Z324" t="n">
        <v>-0.14982</v>
      </c>
    </row>
    <row r="325">
      <c r="A325" t="inlineStr">
        <is>
          <t>anche</t>
        </is>
      </c>
      <c r="B325" t="n">
        <v>-1.3084</v>
      </c>
      <c r="C325" t="n">
        <v>-0.057228</v>
      </c>
      <c r="D325" t="n">
        <v>0.1836</v>
      </c>
      <c r="E325" t="n">
        <v>-0.41923</v>
      </c>
      <c r="F325" t="n">
        <v>-0.23878</v>
      </c>
      <c r="G325" t="n">
        <v>-2.0341</v>
      </c>
      <c r="H325" t="n">
        <v>-0.50725</v>
      </c>
      <c r="I325" t="n">
        <v>0.83594</v>
      </c>
      <c r="J325" t="n">
        <v>-0.4421</v>
      </c>
      <c r="K325" t="n">
        <v>1.2167</v>
      </c>
      <c r="L325" t="n">
        <v>0.24917</v>
      </c>
      <c r="M325" t="n">
        <v>-2.8039</v>
      </c>
      <c r="N325" t="n">
        <v>-0.7708</v>
      </c>
      <c r="O325" t="n">
        <v>0.092055</v>
      </c>
      <c r="P325" t="n">
        <v>-0.4608</v>
      </c>
      <c r="Q325" t="n">
        <v>1.6163</v>
      </c>
      <c r="R325" t="n">
        <v>-1.0868</v>
      </c>
      <c r="S325" t="n">
        <v>0.99837</v>
      </c>
      <c r="T325" t="n">
        <v>-2.8236</v>
      </c>
      <c r="U325" t="n">
        <v>-0.93584</v>
      </c>
      <c r="V325" t="n">
        <v>0.013183</v>
      </c>
      <c r="W325" t="n">
        <v>-0.18549</v>
      </c>
      <c r="X325" t="n">
        <v>0.51078</v>
      </c>
      <c r="Y325" t="n">
        <v>-0.28827</v>
      </c>
      <c r="Z325" t="n">
        <v>-0.43097</v>
      </c>
    </row>
    <row r="326">
      <c r="A326" t="inlineStr">
        <is>
          <t>offer</t>
        </is>
      </c>
      <c r="B326" t="n">
        <v>-0.20076</v>
      </c>
      <c r="C326" t="n">
        <v>0.8682299999999999</v>
      </c>
      <c r="D326" t="n">
        <v>-1.0303</v>
      </c>
      <c r="E326" t="n">
        <v>-0.5884200000000001</v>
      </c>
      <c r="F326" t="n">
        <v>0.016799</v>
      </c>
      <c r="G326" t="n">
        <v>-0.097908</v>
      </c>
      <c r="H326" t="n">
        <v>0.089365</v>
      </c>
      <c r="I326" t="n">
        <v>-0.84421</v>
      </c>
      <c r="J326" t="n">
        <v>0.45914</v>
      </c>
      <c r="K326" t="n">
        <v>-0.48716</v>
      </c>
      <c r="L326" t="n">
        <v>0.89277</v>
      </c>
      <c r="M326" t="n">
        <v>-0.06855600000000001</v>
      </c>
      <c r="N326" t="n">
        <v>-3.9576</v>
      </c>
      <c r="O326" t="n">
        <v>0.23347</v>
      </c>
      <c r="P326" t="n">
        <v>0.15622</v>
      </c>
      <c r="Q326" t="n">
        <v>-0.53437</v>
      </c>
      <c r="R326" t="n">
        <v>0.86924</v>
      </c>
      <c r="S326" t="n">
        <v>-1.0714</v>
      </c>
      <c r="T326" t="n">
        <v>-0.059642</v>
      </c>
      <c r="U326" t="n">
        <v>-0.6793400000000001</v>
      </c>
      <c r="V326" t="n">
        <v>-0.76786</v>
      </c>
      <c r="W326" t="n">
        <v>-1.0789</v>
      </c>
      <c r="X326" t="n">
        <v>-0.5337499999999999</v>
      </c>
      <c r="Y326" t="n">
        <v>0.29745</v>
      </c>
      <c r="Z326" t="n">
        <v>-1.3559</v>
      </c>
    </row>
    <row r="327">
      <c r="A327" t="inlineStr">
        <is>
          <t>theres</t>
        </is>
      </c>
      <c r="B327" t="n">
        <v>0.32949</v>
      </c>
      <c r="C327" t="n">
        <v>0.69008</v>
      </c>
      <c r="D327" t="n">
        <v>0.65382</v>
      </c>
      <c r="E327" t="n">
        <v>0.12105</v>
      </c>
      <c r="F327" t="n">
        <v>-0.71851</v>
      </c>
      <c r="G327" t="n">
        <v>0.20489</v>
      </c>
      <c r="H327" t="n">
        <v>1.5707</v>
      </c>
      <c r="I327" t="n">
        <v>-1.1928</v>
      </c>
      <c r="J327" t="n">
        <v>-0.7950199999999999</v>
      </c>
      <c r="K327" t="n">
        <v>0.23473</v>
      </c>
      <c r="L327" t="n">
        <v>-0.84267</v>
      </c>
      <c r="M327" t="n">
        <v>0.22689</v>
      </c>
      <c r="N327" t="n">
        <v>-3.8926</v>
      </c>
      <c r="O327" t="n">
        <v>0.030837</v>
      </c>
      <c r="P327" t="n">
        <v>0.4962</v>
      </c>
      <c r="Q327" t="n">
        <v>0.64696</v>
      </c>
      <c r="R327" t="n">
        <v>0.79175</v>
      </c>
      <c r="S327" t="n">
        <v>-0.30083</v>
      </c>
      <c r="T327" t="n">
        <v>0.23668</v>
      </c>
      <c r="U327" t="n">
        <v>0.003597</v>
      </c>
      <c r="V327" t="n">
        <v>0.3832</v>
      </c>
      <c r="W327" t="n">
        <v>0.23563</v>
      </c>
      <c r="X327" t="n">
        <v>0.4069</v>
      </c>
      <c r="Y327" t="n">
        <v>0.25865</v>
      </c>
      <c r="Z327" t="n">
        <v>-0.5113799999999999</v>
      </c>
    </row>
    <row r="328">
      <c r="A328" t="inlineStr">
        <is>
          <t>factor</t>
        </is>
      </c>
      <c r="B328" t="n">
        <v>0.27225</v>
      </c>
      <c r="C328" t="n">
        <v>0.097316</v>
      </c>
      <c r="D328" t="n">
        <v>0.50088</v>
      </c>
      <c r="E328" t="n">
        <v>-0.6855599999999999</v>
      </c>
      <c r="F328" t="n">
        <v>0.28619</v>
      </c>
      <c r="G328" t="n">
        <v>-0.57316</v>
      </c>
      <c r="H328" t="n">
        <v>0.78167</v>
      </c>
      <c r="I328" t="n">
        <v>0.68137</v>
      </c>
      <c r="J328" t="n">
        <v>-0.16444</v>
      </c>
      <c r="K328" t="n">
        <v>-1.3054</v>
      </c>
      <c r="L328" t="n">
        <v>-0.20389</v>
      </c>
      <c r="M328" t="n">
        <v>0.04848</v>
      </c>
      <c r="N328" t="n">
        <v>-2.6222</v>
      </c>
      <c r="O328" t="n">
        <v>0.30233</v>
      </c>
      <c r="P328" t="n">
        <v>0.43057</v>
      </c>
      <c r="Q328" t="n">
        <v>0.7040999999999999</v>
      </c>
      <c r="R328" t="n">
        <v>-0.89723</v>
      </c>
      <c r="S328" t="n">
        <v>-0.27632</v>
      </c>
      <c r="T328" t="n">
        <v>-0.14767</v>
      </c>
      <c r="U328" t="n">
        <v>-0.2543</v>
      </c>
      <c r="V328" t="n">
        <v>-0.97801</v>
      </c>
      <c r="W328" t="n">
        <v>0.58417</v>
      </c>
      <c r="X328" t="n">
        <v>-0.38916</v>
      </c>
      <c r="Y328" t="n">
        <v>-0.44183</v>
      </c>
      <c r="Z328" t="n">
        <v>-0.14388</v>
      </c>
    </row>
    <row r="329">
      <c r="A329" t="inlineStr">
        <is>
          <t>whoever</t>
        </is>
      </c>
      <c r="B329" t="n">
        <v>-0.064065</v>
      </c>
      <c r="C329" t="n">
        <v>1.1155</v>
      </c>
      <c r="D329" t="n">
        <v>-0.20908</v>
      </c>
      <c r="E329" t="n">
        <v>0.37</v>
      </c>
      <c r="F329" t="n">
        <v>-0.59288</v>
      </c>
      <c r="G329" t="n">
        <v>-0.98931</v>
      </c>
      <c r="H329" t="n">
        <v>0.9104</v>
      </c>
      <c r="I329" t="n">
        <v>-0.35201</v>
      </c>
      <c r="J329" t="n">
        <v>-1.1255</v>
      </c>
      <c r="K329" t="n">
        <v>0.20773</v>
      </c>
      <c r="L329" t="n">
        <v>0.43676</v>
      </c>
      <c r="M329" t="n">
        <v>0.32977</v>
      </c>
      <c r="N329" t="n">
        <v>-3.793</v>
      </c>
      <c r="O329" t="n">
        <v>-0.35258</v>
      </c>
      <c r="P329" t="n">
        <v>-0.16646</v>
      </c>
      <c r="Q329" t="n">
        <v>0.6210599999999999</v>
      </c>
      <c r="R329" t="n">
        <v>0.29442</v>
      </c>
      <c r="S329" t="n">
        <v>-0.23914</v>
      </c>
      <c r="T329" t="n">
        <v>0.28236</v>
      </c>
      <c r="U329" t="n">
        <v>-0.048412</v>
      </c>
      <c r="V329" t="n">
        <v>0.87068</v>
      </c>
      <c r="W329" t="n">
        <v>0.06764299999999999</v>
      </c>
      <c r="X329" t="n">
        <v>0.032548</v>
      </c>
      <c r="Y329" t="n">
        <v>0.067685</v>
      </c>
      <c r="Z329" t="n">
        <v>-1.0263</v>
      </c>
    </row>
    <row r="330">
      <c r="A330" t="inlineStr">
        <is>
          <t>fea</t>
        </is>
      </c>
      <c r="B330" t="n">
        <v>-0.9591</v>
      </c>
      <c r="C330" t="n">
        <v>-1.1652</v>
      </c>
      <c r="D330" t="n">
        <v>-0.17866</v>
      </c>
      <c r="E330" t="n">
        <v>-0.29438</v>
      </c>
      <c r="F330" t="n">
        <v>0.57212</v>
      </c>
      <c r="G330" t="n">
        <v>0.94532</v>
      </c>
      <c r="H330" t="n">
        <v>-0.12029</v>
      </c>
      <c r="I330" t="n">
        <v>2.5406</v>
      </c>
      <c r="J330" t="n">
        <v>-0.95389</v>
      </c>
      <c r="K330" t="n">
        <v>-0.44056</v>
      </c>
      <c r="L330" t="n">
        <v>-0.22094</v>
      </c>
      <c r="M330" t="n">
        <v>-2.2678</v>
      </c>
      <c r="N330" t="n">
        <v>-1.1148</v>
      </c>
      <c r="O330" t="n">
        <v>-1.2885</v>
      </c>
      <c r="P330" t="n">
        <v>0.80909</v>
      </c>
      <c r="Q330" t="n">
        <v>0.55704</v>
      </c>
      <c r="R330" t="n">
        <v>0.44474</v>
      </c>
      <c r="S330" t="n">
        <v>0.68363</v>
      </c>
      <c r="T330" t="n">
        <v>0.45257</v>
      </c>
      <c r="U330" t="n">
        <v>0.83818</v>
      </c>
      <c r="V330" t="n">
        <v>1.6086</v>
      </c>
      <c r="W330" t="n">
        <v>-0.04286</v>
      </c>
      <c r="X330" t="n">
        <v>0.15402</v>
      </c>
      <c r="Y330" t="n">
        <v>0.9479</v>
      </c>
      <c r="Z330" t="n">
        <v>-0.7487200000000001</v>
      </c>
    </row>
    <row r="331">
      <c r="A331" t="inlineStr">
        <is>
          <t>ratchet</t>
        </is>
      </c>
      <c r="B331" t="n">
        <v>-0.076</v>
      </c>
      <c r="C331" t="n">
        <v>0.46773</v>
      </c>
      <c r="D331" t="n">
        <v>0.68977</v>
      </c>
      <c r="E331" t="n">
        <v>-0.38042</v>
      </c>
      <c r="F331" t="n">
        <v>1.307</v>
      </c>
      <c r="G331" t="n">
        <v>0.39503</v>
      </c>
      <c r="H331" t="n">
        <v>1.1049</v>
      </c>
      <c r="I331" t="n">
        <v>-0.79541</v>
      </c>
      <c r="J331" t="n">
        <v>-0.41292</v>
      </c>
      <c r="K331" t="n">
        <v>0.2217</v>
      </c>
      <c r="L331" t="n">
        <v>-1.4528</v>
      </c>
      <c r="M331" t="n">
        <v>0.4649</v>
      </c>
      <c r="N331" t="n">
        <v>-3.2745</v>
      </c>
      <c r="O331" t="n">
        <v>-0.95585</v>
      </c>
      <c r="P331" t="n">
        <v>-0.18076</v>
      </c>
      <c r="Q331" t="n">
        <v>0.041843</v>
      </c>
      <c r="R331" t="n">
        <v>0.44305</v>
      </c>
      <c r="S331" t="n">
        <v>-0.81058</v>
      </c>
      <c r="T331" t="n">
        <v>-0.10691</v>
      </c>
      <c r="U331" t="n">
        <v>0.86053</v>
      </c>
      <c r="V331" t="n">
        <v>1.0906</v>
      </c>
      <c r="W331" t="n">
        <v>0.85624</v>
      </c>
      <c r="X331" t="n">
        <v>0.7018</v>
      </c>
      <c r="Y331" t="n">
        <v>-1.0068</v>
      </c>
      <c r="Z331" t="n">
        <v>0.15592</v>
      </c>
    </row>
    <row r="332">
      <c r="A332" t="inlineStr">
        <is>
          <t>creer</t>
        </is>
      </c>
      <c r="B332" t="n">
        <v>0.4489</v>
      </c>
      <c r="C332" t="n">
        <v>0.6644099999999999</v>
      </c>
      <c r="D332" t="n">
        <v>-0.63031</v>
      </c>
      <c r="E332" t="n">
        <v>1.1528</v>
      </c>
      <c r="F332" t="n">
        <v>-0.18274</v>
      </c>
      <c r="G332" t="n">
        <v>1.0303</v>
      </c>
      <c r="H332" t="n">
        <v>-0.2759</v>
      </c>
      <c r="I332" t="n">
        <v>2.5758</v>
      </c>
      <c r="J332" t="n">
        <v>-1.1667</v>
      </c>
      <c r="K332" t="n">
        <v>-1.648</v>
      </c>
      <c r="L332" t="n">
        <v>0.4773</v>
      </c>
      <c r="M332" t="n">
        <v>-2.3268</v>
      </c>
      <c r="N332" t="n">
        <v>-1.016</v>
      </c>
      <c r="O332" t="n">
        <v>0.079499</v>
      </c>
      <c r="P332" t="n">
        <v>1.2188</v>
      </c>
      <c r="Q332" t="n">
        <v>1.4437</v>
      </c>
      <c r="R332" t="n">
        <v>-0.41588</v>
      </c>
      <c r="S332" t="n">
        <v>0.75918</v>
      </c>
      <c r="T332" t="n">
        <v>0.3189</v>
      </c>
      <c r="U332" t="n">
        <v>-0.65855</v>
      </c>
      <c r="V332" t="n">
        <v>0.83804</v>
      </c>
      <c r="W332" t="n">
        <v>0.027713</v>
      </c>
      <c r="X332" t="n">
        <v>-0.37143</v>
      </c>
      <c r="Y332" t="n">
        <v>0.89938</v>
      </c>
      <c r="Z332" t="n">
        <v>-0.19995</v>
      </c>
    </row>
    <row r="333">
      <c r="A333" t="inlineStr">
        <is>
          <t>christian</t>
        </is>
      </c>
      <c r="B333" t="n">
        <v>-0.59648</v>
      </c>
      <c r="C333" t="n">
        <v>-0.29098</v>
      </c>
      <c r="D333" t="n">
        <v>-0.20802</v>
      </c>
      <c r="E333" t="n">
        <v>0.14822</v>
      </c>
      <c r="F333" t="n">
        <v>-0.036951</v>
      </c>
      <c r="G333" t="n">
        <v>-0.76505</v>
      </c>
      <c r="H333" t="n">
        <v>0.2305</v>
      </c>
      <c r="I333" t="n">
        <v>0.34476</v>
      </c>
      <c r="J333" t="n">
        <v>-0.13318</v>
      </c>
      <c r="K333" t="n">
        <v>-1.2304</v>
      </c>
      <c r="L333" t="n">
        <v>0.017162</v>
      </c>
      <c r="M333" t="n">
        <v>-0.6415</v>
      </c>
      <c r="N333" t="n">
        <v>-3.5734</v>
      </c>
      <c r="O333" t="n">
        <v>-0.27687</v>
      </c>
      <c r="P333" t="n">
        <v>0.33252</v>
      </c>
      <c r="Q333" t="n">
        <v>-0.30128</v>
      </c>
      <c r="R333" t="n">
        <v>-0.17074</v>
      </c>
      <c r="S333" t="n">
        <v>0.3381</v>
      </c>
      <c r="T333" t="n">
        <v>0.48062</v>
      </c>
      <c r="U333" t="n">
        <v>0.5721000000000001</v>
      </c>
      <c r="V333" t="n">
        <v>0.47483</v>
      </c>
      <c r="W333" t="n">
        <v>0.33317</v>
      </c>
      <c r="X333" t="n">
        <v>-1.3858</v>
      </c>
      <c r="Y333" t="n">
        <v>-1.0565</v>
      </c>
      <c r="Z333" t="n">
        <v>-0.0077088</v>
      </c>
    </row>
    <row r="334">
      <c r="A334" t="inlineStr">
        <is>
          <t>learning</t>
        </is>
      </c>
      <c r="B334" t="n">
        <v>0.09664</v>
      </c>
      <c r="C334" t="n">
        <v>0.83379</v>
      </c>
      <c r="D334" t="n">
        <v>-0.32987</v>
      </c>
      <c r="E334" t="n">
        <v>0.1909</v>
      </c>
      <c r="F334" t="n">
        <v>0.73248</v>
      </c>
      <c r="G334" t="n">
        <v>0.049558</v>
      </c>
      <c r="H334" t="n">
        <v>1.4523</v>
      </c>
      <c r="I334" t="n">
        <v>-1.6956</v>
      </c>
      <c r="J334" t="n">
        <v>1.2215</v>
      </c>
      <c r="K334" t="n">
        <v>-0.65237</v>
      </c>
      <c r="L334" t="n">
        <v>-0.99456</v>
      </c>
      <c r="M334" t="n">
        <v>0.12352</v>
      </c>
      <c r="N334" t="n">
        <v>-3.8914</v>
      </c>
      <c r="O334" t="n">
        <v>-0.1727</v>
      </c>
      <c r="P334" t="n">
        <v>0.46747</v>
      </c>
      <c r="Q334" t="n">
        <v>0.24244</v>
      </c>
      <c r="R334" t="n">
        <v>-0.21526</v>
      </c>
      <c r="S334" t="n">
        <v>0.80736</v>
      </c>
      <c r="T334" t="n">
        <v>0.8613</v>
      </c>
      <c r="U334" t="n">
        <v>-0.57204</v>
      </c>
      <c r="V334" t="n">
        <v>-0.67943</v>
      </c>
      <c r="W334" t="n">
        <v>-0.70231</v>
      </c>
      <c r="X334" t="n">
        <v>-1.524</v>
      </c>
      <c r="Y334" t="n">
        <v>0.19218</v>
      </c>
      <c r="Z334" t="n">
        <v>-0.24073</v>
      </c>
    </row>
    <row r="335">
      <c r="A335" t="inlineStr">
        <is>
          <t>title</t>
        </is>
      </c>
      <c r="B335" t="n">
        <v>0.8501300000000001</v>
      </c>
      <c r="C335" t="n">
        <v>0.45262</v>
      </c>
      <c r="D335" t="n">
        <v>-0.0070575</v>
      </c>
      <c r="E335" t="n">
        <v>-0.87738</v>
      </c>
      <c r="F335" t="n">
        <v>0.42448</v>
      </c>
      <c r="G335" t="n">
        <v>-0.8365899999999999</v>
      </c>
      <c r="H335" t="n">
        <v>0.80416</v>
      </c>
      <c r="I335" t="n">
        <v>0.37408</v>
      </c>
      <c r="J335" t="n">
        <v>0.43085</v>
      </c>
      <c r="K335" t="n">
        <v>-0.63936</v>
      </c>
      <c r="L335" t="n">
        <v>0.11939</v>
      </c>
      <c r="M335" t="n">
        <v>1.1342</v>
      </c>
      <c r="N335" t="n">
        <v>-3.2065</v>
      </c>
      <c r="O335" t="n">
        <v>0.93146</v>
      </c>
      <c r="P335" t="n">
        <v>0.36542</v>
      </c>
      <c r="Q335" t="n">
        <v>-0.0031931</v>
      </c>
      <c r="R335" t="n">
        <v>0.1979</v>
      </c>
      <c r="S335" t="n">
        <v>-0.32954</v>
      </c>
      <c r="T335" t="n">
        <v>0.29672</v>
      </c>
      <c r="U335" t="n">
        <v>0.48869</v>
      </c>
      <c r="V335" t="n">
        <v>-1.3787</v>
      </c>
      <c r="W335" t="n">
        <v>0.75234</v>
      </c>
      <c r="X335" t="n">
        <v>0.20334</v>
      </c>
      <c r="Y335" t="n">
        <v>-0.67998</v>
      </c>
      <c r="Z335" t="n">
        <v>-0.89194</v>
      </c>
    </row>
    <row r="336">
      <c r="A336" t="inlineStr">
        <is>
          <t>seas</t>
        </is>
      </c>
      <c r="B336" t="n">
        <v>-0.97627</v>
      </c>
      <c r="C336" t="n">
        <v>-1.0319</v>
      </c>
      <c r="D336" t="n">
        <v>-1.3771</v>
      </c>
      <c r="E336" t="n">
        <v>0.72227</v>
      </c>
      <c r="F336" t="n">
        <v>0.1082</v>
      </c>
      <c r="G336" t="n">
        <v>0.56118</v>
      </c>
      <c r="H336" t="n">
        <v>0.42151</v>
      </c>
      <c r="I336" t="n">
        <v>1.518</v>
      </c>
      <c r="J336" t="n">
        <v>-0.66328</v>
      </c>
      <c r="K336" t="n">
        <v>-0.82885</v>
      </c>
      <c r="L336" t="n">
        <v>0.1629</v>
      </c>
      <c r="M336" t="n">
        <v>-2.642</v>
      </c>
      <c r="N336" t="n">
        <v>-1.9488</v>
      </c>
      <c r="O336" t="n">
        <v>-0.225</v>
      </c>
      <c r="P336" t="n">
        <v>1.4338</v>
      </c>
      <c r="Q336" t="n">
        <v>0.078967</v>
      </c>
      <c r="R336" t="n">
        <v>0.14698</v>
      </c>
      <c r="S336" t="n">
        <v>-0.21398</v>
      </c>
      <c r="T336" t="n">
        <v>0.58965</v>
      </c>
      <c r="U336" t="n">
        <v>-0.6354</v>
      </c>
      <c r="V336" t="n">
        <v>1.2131</v>
      </c>
      <c r="W336" t="n">
        <v>-0.063929</v>
      </c>
      <c r="X336" t="n">
        <v>0.88764</v>
      </c>
      <c r="Y336" t="n">
        <v>0.31543</v>
      </c>
      <c r="Z336" t="n">
        <v>-0.75212</v>
      </c>
    </row>
    <row r="337">
      <c r="A337" t="inlineStr">
        <is>
          <t>bunch</t>
        </is>
      </c>
      <c r="B337" t="n">
        <v>0.56082</v>
      </c>
      <c r="C337" t="n">
        <v>0.80477</v>
      </c>
      <c r="D337" t="n">
        <v>0.79247</v>
      </c>
      <c r="E337" t="n">
        <v>0.10346</v>
      </c>
      <c r="F337" t="n">
        <v>0.52153</v>
      </c>
      <c r="G337" t="n">
        <v>0.83565</v>
      </c>
      <c r="H337" t="n">
        <v>1.2691</v>
      </c>
      <c r="I337" t="n">
        <v>-1.2287</v>
      </c>
      <c r="J337" t="n">
        <v>-1.181</v>
      </c>
      <c r="K337" t="n">
        <v>0.28112</v>
      </c>
      <c r="L337" t="n">
        <v>-0.5099399999999999</v>
      </c>
      <c r="M337" t="n">
        <v>-0.097936</v>
      </c>
      <c r="N337" t="n">
        <v>-3.4858</v>
      </c>
      <c r="O337" t="n">
        <v>-0.28679</v>
      </c>
      <c r="P337" t="n">
        <v>0.099666</v>
      </c>
      <c r="Q337" t="n">
        <v>0.1508</v>
      </c>
      <c r="R337" t="n">
        <v>0.77034</v>
      </c>
      <c r="S337" t="n">
        <v>-1.3048</v>
      </c>
      <c r="T337" t="n">
        <v>0.25258</v>
      </c>
      <c r="U337" t="n">
        <v>0.62222</v>
      </c>
      <c r="V337" t="n">
        <v>0.067965</v>
      </c>
      <c r="W337" t="n">
        <v>0.27173</v>
      </c>
      <c r="X337" t="n">
        <v>-0.28159</v>
      </c>
      <c r="Y337" t="n">
        <v>-1.0389</v>
      </c>
      <c r="Z337" t="n">
        <v>-0.49877</v>
      </c>
    </row>
    <row r="338">
      <c r="A338" t="inlineStr">
        <is>
          <t>playlist</t>
        </is>
      </c>
      <c r="B338" t="n">
        <v>0.25804</v>
      </c>
      <c r="C338" t="n">
        <v>0.080107</v>
      </c>
      <c r="D338" t="n">
        <v>1.0918</v>
      </c>
      <c r="E338" t="n">
        <v>0.15539</v>
      </c>
      <c r="F338" t="n">
        <v>0.77215</v>
      </c>
      <c r="G338" t="n">
        <v>-0.13619</v>
      </c>
      <c r="H338" t="n">
        <v>1.334</v>
      </c>
      <c r="I338" t="n">
        <v>0.58927</v>
      </c>
      <c r="J338" t="n">
        <v>0.63531</v>
      </c>
      <c r="K338" t="n">
        <v>-1.0561</v>
      </c>
      <c r="L338" t="n">
        <v>-0.241</v>
      </c>
      <c r="M338" t="n">
        <v>0.31741</v>
      </c>
      <c r="N338" t="n">
        <v>-2.4095</v>
      </c>
      <c r="O338" t="n">
        <v>-0.68424</v>
      </c>
      <c r="P338" t="n">
        <v>-0.042286</v>
      </c>
      <c r="Q338" t="n">
        <v>0.78638</v>
      </c>
      <c r="R338" t="n">
        <v>0.0023807</v>
      </c>
      <c r="S338" t="n">
        <v>0.38894</v>
      </c>
      <c r="T338" t="n">
        <v>-0.87222</v>
      </c>
      <c r="U338" t="n">
        <v>0.16617</v>
      </c>
      <c r="V338" t="n">
        <v>-1.1276</v>
      </c>
      <c r="W338" t="n">
        <v>-0.49496</v>
      </c>
      <c r="X338" t="n">
        <v>-0.10326</v>
      </c>
      <c r="Y338" t="n">
        <v>-0.52421</v>
      </c>
      <c r="Z338" t="n">
        <v>0.49438</v>
      </c>
    </row>
    <row r="339">
      <c r="A339" t="inlineStr">
        <is>
          <t>memory</t>
        </is>
      </c>
      <c r="B339" t="n">
        <v>-0.15052</v>
      </c>
      <c r="C339" t="n">
        <v>0.11715</v>
      </c>
      <c r="D339" t="n">
        <v>0.20136</v>
      </c>
      <c r="E339" t="n">
        <v>0.5803</v>
      </c>
      <c r="F339" t="n">
        <v>0.55746</v>
      </c>
      <c r="G339" t="n">
        <v>0.10647</v>
      </c>
      <c r="H339" t="n">
        <v>1.2709</v>
      </c>
      <c r="I339" t="n">
        <v>0.22814</v>
      </c>
      <c r="J339" t="n">
        <v>0.8440800000000001</v>
      </c>
      <c r="K339" t="n">
        <v>0.29926</v>
      </c>
      <c r="L339" t="n">
        <v>0.2837</v>
      </c>
      <c r="M339" t="n">
        <v>0.83607</v>
      </c>
      <c r="N339" t="n">
        <v>-3.0703</v>
      </c>
      <c r="O339" t="n">
        <v>0.47152</v>
      </c>
      <c r="P339" t="n">
        <v>0.23862</v>
      </c>
      <c r="Q339" t="n">
        <v>0.68228</v>
      </c>
      <c r="R339" t="n">
        <v>0.30492</v>
      </c>
      <c r="S339" t="n">
        <v>0.60721</v>
      </c>
      <c r="T339" t="n">
        <v>1.0182</v>
      </c>
      <c r="U339" t="n">
        <v>-0.0055087</v>
      </c>
      <c r="V339" t="n">
        <v>-1.2888</v>
      </c>
      <c r="W339" t="n">
        <v>-0.27773</v>
      </c>
      <c r="X339" t="n">
        <v>0.27011</v>
      </c>
      <c r="Y339" t="n">
        <v>0.6263</v>
      </c>
      <c r="Z339" t="n">
        <v>-1.1964</v>
      </c>
    </row>
    <row r="340">
      <c r="A340" t="inlineStr">
        <is>
          <t>studying</t>
        </is>
      </c>
      <c r="B340" t="n">
        <v>0.40691</v>
      </c>
      <c r="C340" t="n">
        <v>1.2089</v>
      </c>
      <c r="D340" t="n">
        <v>0.5965</v>
      </c>
      <c r="E340" t="n">
        <v>-0.29256</v>
      </c>
      <c r="F340" t="n">
        <v>0.48318</v>
      </c>
      <c r="G340" t="n">
        <v>0.21959</v>
      </c>
      <c r="H340" t="n">
        <v>1.8981</v>
      </c>
      <c r="I340" t="n">
        <v>-2.1561</v>
      </c>
      <c r="J340" t="n">
        <v>0.0649</v>
      </c>
      <c r="K340" t="n">
        <v>0.40378</v>
      </c>
      <c r="L340" t="n">
        <v>-1.6235</v>
      </c>
      <c r="M340" t="n">
        <v>-0.10844</v>
      </c>
      <c r="N340" t="n">
        <v>-3.0552</v>
      </c>
      <c r="O340" t="n">
        <v>-0.09274399999999999</v>
      </c>
      <c r="P340" t="n">
        <v>1.6702</v>
      </c>
      <c r="Q340" t="n">
        <v>0.078501</v>
      </c>
      <c r="R340" t="n">
        <v>-0.056263</v>
      </c>
      <c r="S340" t="n">
        <v>0.47804</v>
      </c>
      <c r="T340" t="n">
        <v>-0.50056</v>
      </c>
      <c r="U340" t="n">
        <v>-1.164</v>
      </c>
      <c r="V340" t="n">
        <v>-0.68896</v>
      </c>
      <c r="W340" t="n">
        <v>-0.18535</v>
      </c>
      <c r="X340" t="n">
        <v>-0.733</v>
      </c>
      <c r="Y340" t="n">
        <v>0.83163</v>
      </c>
      <c r="Z340" t="n">
        <v>0.21069</v>
      </c>
    </row>
    <row r="341">
      <c r="A341" t="inlineStr">
        <is>
          <t>breath</t>
        </is>
      </c>
      <c r="B341" t="n">
        <v>-0.94296</v>
      </c>
      <c r="C341" t="n">
        <v>0.13406</v>
      </c>
      <c r="D341" t="n">
        <v>0.2423</v>
      </c>
      <c r="E341" t="n">
        <v>1.5744</v>
      </c>
      <c r="F341" t="n">
        <v>-0.23682</v>
      </c>
      <c r="G341" t="n">
        <v>0.31562</v>
      </c>
      <c r="H341" t="n">
        <v>1.7821</v>
      </c>
      <c r="I341" t="n">
        <v>-0.92026</v>
      </c>
      <c r="J341" t="n">
        <v>-0.045905</v>
      </c>
      <c r="K341" t="n">
        <v>0.56448</v>
      </c>
      <c r="L341" t="n">
        <v>-0.20314</v>
      </c>
      <c r="M341" t="n">
        <v>1.0611</v>
      </c>
      <c r="N341" t="n">
        <v>-2.8341</v>
      </c>
      <c r="O341" t="n">
        <v>-0.0080071</v>
      </c>
      <c r="P341" t="n">
        <v>-0.47848</v>
      </c>
      <c r="Q341" t="n">
        <v>0.50247</v>
      </c>
      <c r="R341" t="n">
        <v>0.13682</v>
      </c>
      <c r="S341" t="n">
        <v>0.15717</v>
      </c>
      <c r="T341" t="n">
        <v>0.054677</v>
      </c>
      <c r="U341" t="n">
        <v>-0.77379</v>
      </c>
      <c r="V341" t="n">
        <v>0.32908</v>
      </c>
      <c r="W341" t="n">
        <v>0.78482</v>
      </c>
      <c r="X341" t="n">
        <v>1.4684</v>
      </c>
      <c r="Y341" t="n">
        <v>0.65601</v>
      </c>
      <c r="Z341" t="n">
        <v>0.31804</v>
      </c>
    </row>
    <row r="342">
      <c r="A342" t="inlineStr">
        <is>
          <t>wrote</t>
        </is>
      </c>
      <c r="B342" t="n">
        <v>0.36458</v>
      </c>
      <c r="C342" t="n">
        <v>0.43925</v>
      </c>
      <c r="D342" t="n">
        <v>1.6547</v>
      </c>
      <c r="E342" t="n">
        <v>0.07603799999999999</v>
      </c>
      <c r="F342" t="n">
        <v>0.18822</v>
      </c>
      <c r="G342" t="n">
        <v>-1.2789</v>
      </c>
      <c r="H342" t="n">
        <v>1.3297</v>
      </c>
      <c r="I342" t="n">
        <v>-0.61964</v>
      </c>
      <c r="J342" t="n">
        <v>-0.46727</v>
      </c>
      <c r="K342" t="n">
        <v>-0.48419</v>
      </c>
      <c r="L342" t="n">
        <v>0.15306</v>
      </c>
      <c r="M342" t="n">
        <v>1.3969</v>
      </c>
      <c r="N342" t="n">
        <v>-3.3459</v>
      </c>
      <c r="O342" t="n">
        <v>-0.34191</v>
      </c>
      <c r="P342" t="n">
        <v>0.10838</v>
      </c>
      <c r="Q342" t="n">
        <v>0.23939</v>
      </c>
      <c r="R342" t="n">
        <v>0.74326</v>
      </c>
      <c r="S342" t="n">
        <v>0.90386</v>
      </c>
      <c r="T342" t="n">
        <v>-0.23436</v>
      </c>
      <c r="U342" t="n">
        <v>-0.41827</v>
      </c>
      <c r="V342" t="n">
        <v>0.63795</v>
      </c>
      <c r="W342" t="n">
        <v>0.14405</v>
      </c>
      <c r="X342" t="n">
        <v>-0.63717</v>
      </c>
      <c r="Y342" t="n">
        <v>0.087106</v>
      </c>
      <c r="Z342" t="n">
        <v>-0.6644</v>
      </c>
    </row>
    <row r="343">
      <c r="A343" t="inlineStr">
        <is>
          <t>allowed</t>
        </is>
      </c>
      <c r="B343" t="n">
        <v>0.14004</v>
      </c>
      <c r="C343" t="n">
        <v>1.0486</v>
      </c>
      <c r="D343" t="n">
        <v>-0.35919</v>
      </c>
      <c r="E343" t="n">
        <v>-0.82062</v>
      </c>
      <c r="F343" t="n">
        <v>-0.21611</v>
      </c>
      <c r="G343" t="n">
        <v>-0.23073</v>
      </c>
      <c r="H343" t="n">
        <v>0.88462</v>
      </c>
      <c r="I343" t="n">
        <v>-1.1149</v>
      </c>
      <c r="J343" t="n">
        <v>-0.082402</v>
      </c>
      <c r="K343" t="n">
        <v>0.63792</v>
      </c>
      <c r="L343" t="n">
        <v>0.34227</v>
      </c>
      <c r="M343" t="n">
        <v>0.20401</v>
      </c>
      <c r="N343" t="n">
        <v>-3.2331</v>
      </c>
      <c r="O343" t="n">
        <v>-0.42125</v>
      </c>
      <c r="P343" t="n">
        <v>-0.51449</v>
      </c>
      <c r="Q343" t="n">
        <v>0.69806</v>
      </c>
      <c r="R343" t="n">
        <v>0.10314</v>
      </c>
      <c r="S343" t="n">
        <v>-1.1405</v>
      </c>
      <c r="T343" t="n">
        <v>0.4798</v>
      </c>
      <c r="U343" t="n">
        <v>-1.1851</v>
      </c>
      <c r="V343" t="n">
        <v>0.10748</v>
      </c>
      <c r="W343" t="n">
        <v>0.48642</v>
      </c>
      <c r="X343" t="n">
        <v>-0.40171</v>
      </c>
      <c r="Y343" t="n">
        <v>-0.59404</v>
      </c>
      <c r="Z343" t="n">
        <v>-0.43838</v>
      </c>
    </row>
    <row r="344">
      <c r="A344" t="inlineStr">
        <is>
          <t>clearly</t>
        </is>
      </c>
      <c r="B344" t="n">
        <v>0.20899</v>
      </c>
      <c r="C344" t="n">
        <v>0.14959</v>
      </c>
      <c r="D344" t="n">
        <v>0.011943</v>
      </c>
      <c r="E344" t="n">
        <v>-0.74398</v>
      </c>
      <c r="F344" t="n">
        <v>-0.17418</v>
      </c>
      <c r="G344" t="n">
        <v>0.21884</v>
      </c>
      <c r="H344" t="n">
        <v>0.87884</v>
      </c>
      <c r="I344" t="n">
        <v>-1.0073</v>
      </c>
      <c r="J344" t="n">
        <v>-0.67558</v>
      </c>
      <c r="K344" t="n">
        <v>0.016839</v>
      </c>
      <c r="L344" t="n">
        <v>-0.13176</v>
      </c>
      <c r="M344" t="n">
        <v>0.88836</v>
      </c>
      <c r="N344" t="n">
        <v>-4.1199</v>
      </c>
      <c r="O344" t="n">
        <v>-0.26615</v>
      </c>
      <c r="P344" t="n">
        <v>0.573</v>
      </c>
      <c r="Q344" t="n">
        <v>0.64019</v>
      </c>
      <c r="R344" t="n">
        <v>0.14679</v>
      </c>
      <c r="S344" t="n">
        <v>0.33895</v>
      </c>
      <c r="T344" t="n">
        <v>0.44849</v>
      </c>
      <c r="U344" t="n">
        <v>-0.66739</v>
      </c>
      <c r="V344" t="n">
        <v>1.0661</v>
      </c>
      <c r="W344" t="n">
        <v>0.76617</v>
      </c>
      <c r="X344" t="n">
        <v>-0.22374</v>
      </c>
      <c r="Y344" t="n">
        <v>0.059192</v>
      </c>
      <c r="Z344" t="n">
        <v>-1.1928</v>
      </c>
    </row>
    <row r="345">
      <c r="A345" t="inlineStr">
        <is>
          <t>cheap</t>
        </is>
      </c>
      <c r="B345" t="n">
        <v>-0.034523</v>
      </c>
      <c r="C345" t="n">
        <v>0.1348</v>
      </c>
      <c r="D345" t="n">
        <v>-0.43486</v>
      </c>
      <c r="E345" t="n">
        <v>-0.8488</v>
      </c>
      <c r="F345" t="n">
        <v>0.7736499999999999</v>
      </c>
      <c r="G345" t="n">
        <v>0.61573</v>
      </c>
      <c r="H345" t="n">
        <v>0.17661</v>
      </c>
      <c r="I345" t="n">
        <v>-1.2218</v>
      </c>
      <c r="J345" t="n">
        <v>-0.070786</v>
      </c>
      <c r="K345" t="n">
        <v>0.21771</v>
      </c>
      <c r="L345" t="n">
        <v>0.22762</v>
      </c>
      <c r="M345" t="n">
        <v>-0.32301</v>
      </c>
      <c r="N345" t="n">
        <v>-3.7099</v>
      </c>
      <c r="O345" t="n">
        <v>-1.1076</v>
      </c>
      <c r="P345" t="n">
        <v>-0.010573</v>
      </c>
      <c r="Q345" t="n">
        <v>-0.43292</v>
      </c>
      <c r="R345" t="n">
        <v>1.3923</v>
      </c>
      <c r="S345" t="n">
        <v>-0.78987</v>
      </c>
      <c r="T345" t="n">
        <v>0.71724</v>
      </c>
      <c r="U345" t="n">
        <v>0.58525</v>
      </c>
      <c r="V345" t="n">
        <v>-0.41512</v>
      </c>
      <c r="W345" t="n">
        <v>-0.87484</v>
      </c>
      <c r="X345" t="n">
        <v>0.23896</v>
      </c>
      <c r="Y345" t="n">
        <v>-0.1817</v>
      </c>
      <c r="Z345" t="n">
        <v>-0.77602</v>
      </c>
    </row>
    <row r="346">
      <c r="A346" t="inlineStr">
        <is>
          <t>university</t>
        </is>
      </c>
      <c r="B346" t="n">
        <v>-0.59489</v>
      </c>
      <c r="C346" t="n">
        <v>0.32037</v>
      </c>
      <c r="D346" t="n">
        <v>0.25788</v>
      </c>
      <c r="E346" t="n">
        <v>-1.9004</v>
      </c>
      <c r="F346" t="n">
        <v>-0.6242</v>
      </c>
      <c r="G346" t="n">
        <v>-0.24373</v>
      </c>
      <c r="H346" t="n">
        <v>0.53484</v>
      </c>
      <c r="I346" t="n">
        <v>-0.60437</v>
      </c>
      <c r="J346" t="n">
        <v>1.4528</v>
      </c>
      <c r="K346" t="n">
        <v>-0.07736</v>
      </c>
      <c r="L346" t="n">
        <v>-0.14153</v>
      </c>
      <c r="M346" t="n">
        <v>-0.33205</v>
      </c>
      <c r="N346" t="n">
        <v>-3.3471</v>
      </c>
      <c r="O346" t="n">
        <v>0.89397</v>
      </c>
      <c r="P346" t="n">
        <v>1.6222</v>
      </c>
      <c r="Q346" t="n">
        <v>-1.5817</v>
      </c>
      <c r="R346" t="n">
        <v>0.067911</v>
      </c>
      <c r="S346" t="n">
        <v>0.20891</v>
      </c>
      <c r="T346" t="n">
        <v>0.22955</v>
      </c>
      <c r="U346" t="n">
        <v>0.20345</v>
      </c>
      <c r="V346" t="n">
        <v>-0.10707</v>
      </c>
      <c r="W346" t="n">
        <v>-0.23097</v>
      </c>
      <c r="X346" t="n">
        <v>-1.6214</v>
      </c>
      <c r="Y346" t="n">
        <v>-1.3422</v>
      </c>
      <c r="Z346" t="n">
        <v>0.0019191</v>
      </c>
    </row>
    <row r="347">
      <c r="A347" t="inlineStr">
        <is>
          <t>government</t>
        </is>
      </c>
      <c r="B347" t="n">
        <v>0.88242</v>
      </c>
      <c r="C347" t="n">
        <v>0.5105</v>
      </c>
      <c r="D347" t="n">
        <v>-1.4473</v>
      </c>
      <c r="E347" t="n">
        <v>-0.41412</v>
      </c>
      <c r="F347" t="n">
        <v>0.11322</v>
      </c>
      <c r="G347" t="n">
        <v>-1.3965</v>
      </c>
      <c r="H347" t="n">
        <v>0.32364</v>
      </c>
      <c r="I347" t="n">
        <v>-1.4395</v>
      </c>
      <c r="J347" t="n">
        <v>1.0118</v>
      </c>
      <c r="K347" t="n">
        <v>0.64873</v>
      </c>
      <c r="L347" t="n">
        <v>0.5213</v>
      </c>
      <c r="M347" t="n">
        <v>-0.46679</v>
      </c>
      <c r="N347" t="n">
        <v>-4.0729</v>
      </c>
      <c r="O347" t="n">
        <v>0.72555</v>
      </c>
      <c r="P347" t="n">
        <v>0.46628</v>
      </c>
      <c r="Q347" t="n">
        <v>-0.88781</v>
      </c>
      <c r="R347" t="n">
        <v>-0.17716</v>
      </c>
      <c r="S347" t="n">
        <v>0.59876</v>
      </c>
      <c r="T347" t="n">
        <v>0.80908</v>
      </c>
      <c r="U347" t="n">
        <v>-0.81167</v>
      </c>
      <c r="V347" t="n">
        <v>0.6551399999999999</v>
      </c>
      <c r="W347" t="n">
        <v>0.18001</v>
      </c>
      <c r="X347" t="n">
        <v>-0.51455</v>
      </c>
      <c r="Y347" t="n">
        <v>-1.542</v>
      </c>
      <c r="Z347" t="n">
        <v>-0.74876</v>
      </c>
    </row>
    <row r="348">
      <c r="A348" t="inlineStr">
        <is>
          <t>shorts</t>
        </is>
      </c>
      <c r="B348" t="n">
        <v>-0.18394</v>
      </c>
      <c r="C348" t="n">
        <v>-1.1456</v>
      </c>
      <c r="D348" t="n">
        <v>0.88659</v>
      </c>
      <c r="E348" t="n">
        <v>-1.2649</v>
      </c>
      <c r="F348" t="n">
        <v>0.54173</v>
      </c>
      <c r="G348" t="n">
        <v>1.1458</v>
      </c>
      <c r="H348" t="n">
        <v>-0.13861</v>
      </c>
      <c r="I348" t="n">
        <v>-1.203</v>
      </c>
      <c r="J348" t="n">
        <v>-0.63693</v>
      </c>
      <c r="K348" t="n">
        <v>-0.034028</v>
      </c>
      <c r="L348" t="n">
        <v>0.19687</v>
      </c>
      <c r="M348" t="n">
        <v>-1.3221</v>
      </c>
      <c r="N348" t="n">
        <v>-3.3731</v>
      </c>
      <c r="O348" t="n">
        <v>-0.64719</v>
      </c>
      <c r="P348" t="n">
        <v>-0.68084</v>
      </c>
      <c r="Q348" t="n">
        <v>0.52191</v>
      </c>
      <c r="R348" t="n">
        <v>0.35721</v>
      </c>
      <c r="S348" t="n">
        <v>-1.7418</v>
      </c>
      <c r="T348" t="n">
        <v>-0.028056</v>
      </c>
      <c r="U348" t="n">
        <v>0.74857</v>
      </c>
      <c r="V348" t="n">
        <v>-0.96416</v>
      </c>
      <c r="W348" t="n">
        <v>0.81835</v>
      </c>
      <c r="X348" t="n">
        <v>1.3568</v>
      </c>
      <c r="Y348" t="n">
        <v>0.22949</v>
      </c>
      <c r="Z348" t="n">
        <v>-0.33079</v>
      </c>
    </row>
    <row r="349">
      <c r="A349" t="inlineStr">
        <is>
          <t>community</t>
        </is>
      </c>
      <c r="B349" t="n">
        <v>-0.70663</v>
      </c>
      <c r="C349" t="n">
        <v>0.55072</v>
      </c>
      <c r="D349" t="n">
        <v>-0.96001</v>
      </c>
      <c r="E349" t="n">
        <v>-1.0145</v>
      </c>
      <c r="F349" t="n">
        <v>1.0279</v>
      </c>
      <c r="G349" t="n">
        <v>-0.63263</v>
      </c>
      <c r="H349" t="n">
        <v>0.47598</v>
      </c>
      <c r="I349" t="n">
        <v>-0.59153</v>
      </c>
      <c r="J349" t="n">
        <v>0.87087</v>
      </c>
      <c r="K349" t="n">
        <v>-0.44774</v>
      </c>
      <c r="L349" t="n">
        <v>-0.21057</v>
      </c>
      <c r="M349" t="n">
        <v>-0.56575</v>
      </c>
      <c r="N349" t="n">
        <v>-3.7946</v>
      </c>
      <c r="O349" t="n">
        <v>0.71036</v>
      </c>
      <c r="P349" t="n">
        <v>0.5032799999999999</v>
      </c>
      <c r="Q349" t="n">
        <v>0.0041152</v>
      </c>
      <c r="R349" t="n">
        <v>-0.12263</v>
      </c>
      <c r="S349" t="n">
        <v>0.086328</v>
      </c>
      <c r="T349" t="n">
        <v>0.40863</v>
      </c>
      <c r="U349" t="n">
        <v>0.22013</v>
      </c>
      <c r="V349" t="n">
        <v>-0.22086</v>
      </c>
      <c r="W349" t="n">
        <v>-0.99054</v>
      </c>
      <c r="X349" t="n">
        <v>-1.4351</v>
      </c>
      <c r="Y349" t="n">
        <v>-1.3066</v>
      </c>
      <c r="Z349" t="n">
        <v>0.27218</v>
      </c>
    </row>
    <row r="350">
      <c r="A350" t="inlineStr">
        <is>
          <t>breathe</t>
        </is>
      </c>
      <c r="B350" t="n">
        <v>-0.51857</v>
      </c>
      <c r="C350" t="n">
        <v>-0.18892</v>
      </c>
      <c r="D350" t="n">
        <v>-0.059963</v>
      </c>
      <c r="E350" t="n">
        <v>0.9596</v>
      </c>
      <c r="F350" t="n">
        <v>-0.97759</v>
      </c>
      <c r="G350" t="n">
        <v>-0.09046700000000001</v>
      </c>
      <c r="H350" t="n">
        <v>1.6294</v>
      </c>
      <c r="I350" t="n">
        <v>-0.57969</v>
      </c>
      <c r="J350" t="n">
        <v>-0.57091</v>
      </c>
      <c r="K350" t="n">
        <v>0.28746</v>
      </c>
      <c r="L350" t="n">
        <v>-0.81939</v>
      </c>
      <c r="M350" t="n">
        <v>0.62932</v>
      </c>
      <c r="N350" t="n">
        <v>-2.8408</v>
      </c>
      <c r="O350" t="n">
        <v>-0.7095900000000001</v>
      </c>
      <c r="P350" t="n">
        <v>-0.30524</v>
      </c>
      <c r="Q350" t="n">
        <v>1.1241</v>
      </c>
      <c r="R350" t="n">
        <v>-0.080619</v>
      </c>
      <c r="S350" t="n">
        <v>-0.053081</v>
      </c>
      <c r="T350" t="n">
        <v>0.53138</v>
      </c>
      <c r="U350" t="n">
        <v>-1.1873</v>
      </c>
      <c r="V350" t="n">
        <v>0.043986</v>
      </c>
      <c r="W350" t="n">
        <v>0.43711</v>
      </c>
      <c r="X350" t="n">
        <v>1.3139</v>
      </c>
      <c r="Y350" t="n">
        <v>0.52196</v>
      </c>
      <c r="Z350" t="n">
        <v>0.51422</v>
      </c>
    </row>
    <row r="351">
      <c r="A351" t="inlineStr">
        <is>
          <t>whether</t>
        </is>
      </c>
      <c r="B351" t="n">
        <v>0.40797</v>
      </c>
      <c r="C351" t="n">
        <v>0.36078</v>
      </c>
      <c r="D351" t="n">
        <v>-0.70557</v>
      </c>
      <c r="E351" t="n">
        <v>0.24847</v>
      </c>
      <c r="F351" t="n">
        <v>-0.8129999999999999</v>
      </c>
      <c r="G351" t="n">
        <v>-0.24289</v>
      </c>
      <c r="H351" t="n">
        <v>0.95694</v>
      </c>
      <c r="I351" t="n">
        <v>-1.3941</v>
      </c>
      <c r="J351" t="n">
        <v>0.30774</v>
      </c>
      <c r="K351" t="n">
        <v>-0.51379</v>
      </c>
      <c r="L351" t="n">
        <v>-0.61718</v>
      </c>
      <c r="M351" t="n">
        <v>0.29426</v>
      </c>
      <c r="N351" t="n">
        <v>-4.3279</v>
      </c>
      <c r="O351" t="n">
        <v>0.30992</v>
      </c>
      <c r="P351" t="n">
        <v>0.33105</v>
      </c>
      <c r="Q351" t="n">
        <v>0.32429</v>
      </c>
      <c r="R351" t="n">
        <v>0.18555</v>
      </c>
      <c r="S351" t="n">
        <v>-0.25502</v>
      </c>
      <c r="T351" t="n">
        <v>0.47457</v>
      </c>
      <c r="U351" t="n">
        <v>-1.0376</v>
      </c>
      <c r="V351" t="n">
        <v>0.55332</v>
      </c>
      <c r="W351" t="n">
        <v>0.13398</v>
      </c>
      <c r="X351" t="n">
        <v>-0.43558</v>
      </c>
      <c r="Y351" t="n">
        <v>-0.056518</v>
      </c>
      <c r="Z351" t="n">
        <v>-1.2792</v>
      </c>
    </row>
    <row r="352">
      <c r="A352" t="inlineStr">
        <is>
          <t>bomb</t>
        </is>
      </c>
      <c r="B352" t="n">
        <v>-0.12323</v>
      </c>
      <c r="C352" t="n">
        <v>0.4115</v>
      </c>
      <c r="D352" t="n">
        <v>0.40971</v>
      </c>
      <c r="E352" t="n">
        <v>0.41575</v>
      </c>
      <c r="F352" t="n">
        <v>0.0023178</v>
      </c>
      <c r="G352" t="n">
        <v>-0.29275</v>
      </c>
      <c r="H352" t="n">
        <v>1.1094</v>
      </c>
      <c r="I352" t="n">
        <v>-1.0405</v>
      </c>
      <c r="J352" t="n">
        <v>0.52352</v>
      </c>
      <c r="K352" t="n">
        <v>1.3059</v>
      </c>
      <c r="L352" t="n">
        <v>0.81929</v>
      </c>
      <c r="M352" t="n">
        <v>0.15664</v>
      </c>
      <c r="N352" t="n">
        <v>-2.8042</v>
      </c>
      <c r="O352" t="n">
        <v>0.021268</v>
      </c>
      <c r="P352" t="n">
        <v>0.29332</v>
      </c>
      <c r="Q352" t="n">
        <v>-0.28791</v>
      </c>
      <c r="R352" t="n">
        <v>1.1082</v>
      </c>
      <c r="S352" t="n">
        <v>-0.41967</v>
      </c>
      <c r="T352" t="n">
        <v>-0.022094</v>
      </c>
      <c r="U352" t="n">
        <v>-0.11172</v>
      </c>
      <c r="V352" t="n">
        <v>0.4906</v>
      </c>
      <c r="W352" t="n">
        <v>0.505</v>
      </c>
      <c r="X352" t="n">
        <v>0.72468</v>
      </c>
      <c r="Y352" t="n">
        <v>-1.0265</v>
      </c>
      <c r="Z352" t="n">
        <v>1.1786</v>
      </c>
    </row>
    <row r="353">
      <c r="A353" t="inlineStr">
        <is>
          <t>heavy</t>
        </is>
      </c>
      <c r="B353" t="n">
        <v>-0.57092</v>
      </c>
      <c r="C353" t="n">
        <v>0.023807</v>
      </c>
      <c r="D353" t="n">
        <v>-0.13601</v>
      </c>
      <c r="E353" t="n">
        <v>0.17461</v>
      </c>
      <c r="F353" t="n">
        <v>0.49529</v>
      </c>
      <c r="G353" t="n">
        <v>1.4702</v>
      </c>
      <c r="H353" t="n">
        <v>0.78091</v>
      </c>
      <c r="I353" t="n">
        <v>-0.04721</v>
      </c>
      <c r="J353" t="n">
        <v>0.58612</v>
      </c>
      <c r="K353" t="n">
        <v>0.13018</v>
      </c>
      <c r="L353" t="n">
        <v>-0.10268</v>
      </c>
      <c r="M353" t="n">
        <v>0.25427</v>
      </c>
      <c r="N353" t="n">
        <v>-3.0934</v>
      </c>
      <c r="O353" t="n">
        <v>0.46661</v>
      </c>
      <c r="P353" t="n">
        <v>0.53102</v>
      </c>
      <c r="Q353" t="n">
        <v>0.2282</v>
      </c>
      <c r="R353" t="n">
        <v>0.37807</v>
      </c>
      <c r="S353" t="n">
        <v>0.22963</v>
      </c>
      <c r="T353" t="n">
        <v>0.73154</v>
      </c>
      <c r="U353" t="n">
        <v>-0.17207</v>
      </c>
      <c r="V353" t="n">
        <v>-0.63859</v>
      </c>
      <c r="W353" t="n">
        <v>0.19741</v>
      </c>
      <c r="X353" t="n">
        <v>1.2854</v>
      </c>
      <c r="Y353" t="n">
        <v>-0.18731</v>
      </c>
      <c r="Z353" t="n">
        <v>0.22031</v>
      </c>
    </row>
    <row r="354">
      <c r="A354" t="inlineStr">
        <is>
          <t>earned</t>
        </is>
      </c>
      <c r="B354" t="n">
        <v>-0.45103</v>
      </c>
      <c r="C354" t="n">
        <v>1.5766</v>
      </c>
      <c r="D354" t="n">
        <v>-0.7791400000000001</v>
      </c>
      <c r="E354" t="n">
        <v>-0.46222</v>
      </c>
      <c r="F354" t="n">
        <v>0.78449</v>
      </c>
      <c r="G354" t="n">
        <v>-0.43671</v>
      </c>
      <c r="H354" t="n">
        <v>0.0347</v>
      </c>
      <c r="I354" t="n">
        <v>-1.5831</v>
      </c>
      <c r="J354" t="n">
        <v>-1.2199</v>
      </c>
      <c r="K354" t="n">
        <v>-1.0547</v>
      </c>
      <c r="L354" t="n">
        <v>1.5096</v>
      </c>
      <c r="M354" t="n">
        <v>1.2421</v>
      </c>
      <c r="N354" t="n">
        <v>-2.9692</v>
      </c>
      <c r="O354" t="n">
        <v>0.59466</v>
      </c>
      <c r="P354" t="n">
        <v>-0.28671</v>
      </c>
      <c r="Q354" t="n">
        <v>-0.3994</v>
      </c>
      <c r="R354" t="n">
        <v>1.0688</v>
      </c>
      <c r="S354" t="n">
        <v>0.21763</v>
      </c>
      <c r="T354" t="n">
        <v>0.31146</v>
      </c>
      <c r="U354" t="n">
        <v>-0.3441</v>
      </c>
      <c r="V354" t="n">
        <v>-1.2532</v>
      </c>
      <c r="W354" t="n">
        <v>0.096816</v>
      </c>
      <c r="X354" t="n">
        <v>-0.19856</v>
      </c>
      <c r="Y354" t="n">
        <v>0.83525</v>
      </c>
      <c r="Z354" t="n">
        <v>0.12647</v>
      </c>
    </row>
    <row r="355">
      <c r="A355" t="inlineStr">
        <is>
          <t>friendship</t>
        </is>
      </c>
      <c r="B355" t="n">
        <v>-0.67621</v>
      </c>
      <c r="C355" t="n">
        <v>-0.018164</v>
      </c>
      <c r="D355" t="n">
        <v>-0.29532</v>
      </c>
      <c r="E355" t="n">
        <v>0.69354</v>
      </c>
      <c r="F355" t="n">
        <v>0.43832</v>
      </c>
      <c r="G355" t="n">
        <v>-0.12195</v>
      </c>
      <c r="H355" t="n">
        <v>1.4766</v>
      </c>
      <c r="I355" t="n">
        <v>-0.32451</v>
      </c>
      <c r="J355" t="n">
        <v>-0.54809</v>
      </c>
      <c r="K355" t="n">
        <v>-0.12534</v>
      </c>
      <c r="L355" t="n">
        <v>-0.504</v>
      </c>
      <c r="M355" t="n">
        <v>0.66364</v>
      </c>
      <c r="N355" t="n">
        <v>-3.2259</v>
      </c>
      <c r="O355" t="n">
        <v>0.7723100000000001</v>
      </c>
      <c r="P355" t="n">
        <v>-0.58</v>
      </c>
      <c r="Q355" t="n">
        <v>1.2585</v>
      </c>
      <c r="R355" t="n">
        <v>-0.22979</v>
      </c>
      <c r="S355" t="n">
        <v>0.041676</v>
      </c>
      <c r="T355" t="n">
        <v>0.89967</v>
      </c>
      <c r="U355" t="n">
        <v>0.25494</v>
      </c>
      <c r="V355" t="n">
        <v>-0.35492</v>
      </c>
      <c r="W355" t="n">
        <v>0.27094</v>
      </c>
      <c r="X355" t="n">
        <v>-1.045</v>
      </c>
      <c r="Y355" t="n">
        <v>0.3568</v>
      </c>
      <c r="Z355" t="n">
        <v>-1.3045</v>
      </c>
    </row>
    <row r="356">
      <c r="A356" t="inlineStr">
        <is>
          <t>folback</t>
        </is>
      </c>
      <c r="B356" t="n">
        <v>-0.35638</v>
      </c>
      <c r="C356" t="n">
        <v>1.9419</v>
      </c>
      <c r="D356" t="n">
        <v>-0.81711</v>
      </c>
      <c r="E356" t="n">
        <v>0.054194</v>
      </c>
      <c r="F356" t="n">
        <v>-0.55381</v>
      </c>
      <c r="G356" t="n">
        <v>-1.8625</v>
      </c>
      <c r="H356" t="n">
        <v>-1.0845</v>
      </c>
      <c r="I356" t="n">
        <v>1.8507</v>
      </c>
      <c r="J356" t="n">
        <v>0.25512</v>
      </c>
      <c r="K356" t="n">
        <v>0.42085</v>
      </c>
      <c r="L356" t="n">
        <v>-0.18303</v>
      </c>
      <c r="M356" t="n">
        <v>0.23409</v>
      </c>
      <c r="N356" t="n">
        <v>-1.216</v>
      </c>
      <c r="O356" t="n">
        <v>-0.8267</v>
      </c>
      <c r="P356" t="n">
        <v>-0.39367</v>
      </c>
      <c r="Q356" t="n">
        <v>-0.5118200000000001</v>
      </c>
      <c r="R356" t="n">
        <v>0.9956700000000001</v>
      </c>
      <c r="S356" t="n">
        <v>-1.4077</v>
      </c>
      <c r="T356" t="n">
        <v>-1.1536</v>
      </c>
      <c r="U356" t="n">
        <v>-0.1668</v>
      </c>
      <c r="V356" t="n">
        <v>-0.66639</v>
      </c>
      <c r="W356" t="n">
        <v>0.34454</v>
      </c>
      <c r="X356" t="n">
        <v>-1.2894</v>
      </c>
      <c r="Y356" t="n">
        <v>2.2255</v>
      </c>
      <c r="Z356" t="n">
        <v>-0.44116</v>
      </c>
    </row>
    <row r="357">
      <c r="A357" t="inlineStr">
        <is>
          <t>hates</t>
        </is>
      </c>
      <c r="B357" t="n">
        <v>-0.39741</v>
      </c>
      <c r="C357" t="n">
        <v>0.37299</v>
      </c>
      <c r="D357" t="n">
        <v>0.52512</v>
      </c>
      <c r="E357" t="n">
        <v>-0.14921</v>
      </c>
      <c r="F357" t="n">
        <v>-0.40647</v>
      </c>
      <c r="G357" t="n">
        <v>-0.35524</v>
      </c>
      <c r="H357" t="n">
        <v>1.5292</v>
      </c>
      <c r="I357" t="n">
        <v>-0.87196</v>
      </c>
      <c r="J357" t="n">
        <v>-0.63475</v>
      </c>
      <c r="K357" t="n">
        <v>0.20905</v>
      </c>
      <c r="L357" t="n">
        <v>-0.06564200000000001</v>
      </c>
      <c r="M357" t="n">
        <v>0.17479</v>
      </c>
      <c r="N357" t="n">
        <v>-3.4099</v>
      </c>
      <c r="O357" t="n">
        <v>-0.84826</v>
      </c>
      <c r="P357" t="n">
        <v>0.55659</v>
      </c>
      <c r="Q357" t="n">
        <v>0.3396</v>
      </c>
      <c r="R357" t="n">
        <v>-0.44659</v>
      </c>
      <c r="S357" t="n">
        <v>-0.35123</v>
      </c>
      <c r="T357" t="n">
        <v>0.9273400000000001</v>
      </c>
      <c r="U357" t="n">
        <v>-0.25465</v>
      </c>
      <c r="V357" t="n">
        <v>1.5539</v>
      </c>
      <c r="W357" t="n">
        <v>0.76954</v>
      </c>
      <c r="X357" t="n">
        <v>-0.29661</v>
      </c>
      <c r="Y357" t="n">
        <v>-0.47986</v>
      </c>
      <c r="Z357" t="n">
        <v>-1.03</v>
      </c>
    </row>
    <row r="358">
      <c r="A358" t="inlineStr">
        <is>
          <t>teachers</t>
        </is>
      </c>
      <c r="B358" t="n">
        <v>0.7682</v>
      </c>
      <c r="C358" t="n">
        <v>1.1755</v>
      </c>
      <c r="D358" t="n">
        <v>0.23926</v>
      </c>
      <c r="E358" t="n">
        <v>-0.93527</v>
      </c>
      <c r="F358" t="n">
        <v>0.94909</v>
      </c>
      <c r="G358" t="n">
        <v>-0.76385</v>
      </c>
      <c r="H358" t="n">
        <v>1.2647</v>
      </c>
      <c r="I358" t="n">
        <v>-1.7697</v>
      </c>
      <c r="J358" t="n">
        <v>0.51997</v>
      </c>
      <c r="K358" t="n">
        <v>0.34161</v>
      </c>
      <c r="L358" t="n">
        <v>-1.2709</v>
      </c>
      <c r="M358" t="n">
        <v>-0.73907</v>
      </c>
      <c r="N358" t="n">
        <v>-3.5666</v>
      </c>
      <c r="O358" t="n">
        <v>0.39182</v>
      </c>
      <c r="P358" t="n">
        <v>0.40663</v>
      </c>
      <c r="Q358" t="n">
        <v>-0.22831</v>
      </c>
      <c r="R358" t="n">
        <v>0.3031</v>
      </c>
      <c r="S358" t="n">
        <v>-0.60183</v>
      </c>
      <c r="T358" t="n">
        <v>0.63095</v>
      </c>
      <c r="U358" t="n">
        <v>-0.69982</v>
      </c>
      <c r="V358" t="n">
        <v>0.77951</v>
      </c>
      <c r="W358" t="n">
        <v>0.28881</v>
      </c>
      <c r="X358" t="n">
        <v>-0.90221</v>
      </c>
      <c r="Y358" t="n">
        <v>-0.64375</v>
      </c>
      <c r="Z358" t="n">
        <v>-0.49253</v>
      </c>
    </row>
    <row r="359">
      <c r="A359" t="inlineStr">
        <is>
          <t>based</t>
        </is>
      </c>
      <c r="B359" t="n">
        <v>0.57621</v>
      </c>
      <c r="C359" t="n">
        <v>-0.009716499999999999</v>
      </c>
      <c r="D359" t="n">
        <v>-0.8488</v>
      </c>
      <c r="E359" t="n">
        <v>-0.4566</v>
      </c>
      <c r="F359" t="n">
        <v>0.6432099999999999</v>
      </c>
      <c r="G359" t="n">
        <v>-0.36241</v>
      </c>
      <c r="H359" t="n">
        <v>0.76386</v>
      </c>
      <c r="I359" t="n">
        <v>-1.1653</v>
      </c>
      <c r="J359" t="n">
        <v>0.52051</v>
      </c>
      <c r="K359" t="n">
        <v>-0.29119</v>
      </c>
      <c r="L359" t="n">
        <v>-0.38324</v>
      </c>
      <c r="M359" t="n">
        <v>0.51776</v>
      </c>
      <c r="N359" t="n">
        <v>-4.0247</v>
      </c>
      <c r="O359" t="n">
        <v>0.12245</v>
      </c>
      <c r="P359" t="n">
        <v>0.50445</v>
      </c>
      <c r="Q359" t="n">
        <v>0.12173</v>
      </c>
      <c r="R359" t="n">
        <v>0.26848</v>
      </c>
      <c r="S359" t="n">
        <v>0.32907</v>
      </c>
      <c r="T359" t="n">
        <v>0.76059</v>
      </c>
      <c r="U359" t="n">
        <v>0.27292</v>
      </c>
      <c r="V359" t="n">
        <v>-0.16881</v>
      </c>
      <c r="W359" t="n">
        <v>-0.7274</v>
      </c>
      <c r="X359" t="n">
        <v>-1.1385</v>
      </c>
      <c r="Y359" t="n">
        <v>-0.33372</v>
      </c>
      <c r="Z359" t="n">
        <v>-0.61351</v>
      </c>
    </row>
    <row r="360">
      <c r="A360" t="inlineStr">
        <is>
          <t>within</t>
        </is>
      </c>
      <c r="B360" t="n">
        <v>-0.034387</v>
      </c>
      <c r="C360" t="n">
        <v>-0.17522</v>
      </c>
      <c r="D360" t="n">
        <v>-0.2983</v>
      </c>
      <c r="E360" t="n">
        <v>0.5729300000000001</v>
      </c>
      <c r="F360" t="n">
        <v>-0.18368</v>
      </c>
      <c r="G360" t="n">
        <v>-0.23531</v>
      </c>
      <c r="H360" t="n">
        <v>0.44919</v>
      </c>
      <c r="I360" t="n">
        <v>-1.1047</v>
      </c>
      <c r="J360" t="n">
        <v>-0.10747</v>
      </c>
      <c r="K360" t="n">
        <v>0.37375</v>
      </c>
      <c r="L360" t="n">
        <v>-0.25745</v>
      </c>
      <c r="M360" t="n">
        <v>0.66629</v>
      </c>
      <c r="N360" t="n">
        <v>-4.0148</v>
      </c>
      <c r="O360" t="n">
        <v>1.4028</v>
      </c>
      <c r="P360" t="n">
        <v>-0.009727</v>
      </c>
      <c r="Q360" t="n">
        <v>0.30309</v>
      </c>
      <c r="R360" t="n">
        <v>-0.087954</v>
      </c>
      <c r="S360" t="n">
        <v>0.54564</v>
      </c>
      <c r="T360" t="n">
        <v>1.0026</v>
      </c>
      <c r="U360" t="n">
        <v>-0.85701</v>
      </c>
      <c r="V360" t="n">
        <v>-0.99548</v>
      </c>
      <c r="W360" t="n">
        <v>-1.0688</v>
      </c>
      <c r="X360" t="n">
        <v>0.023127</v>
      </c>
      <c r="Y360" t="n">
        <v>-0.11647</v>
      </c>
      <c r="Z360" t="n">
        <v>-0.64209</v>
      </c>
    </row>
    <row r="361">
      <c r="A361" t="inlineStr">
        <is>
          <t>header</t>
        </is>
      </c>
      <c r="B361" t="n">
        <v>0.34983</v>
      </c>
      <c r="C361" t="n">
        <v>-0.52837</v>
      </c>
      <c r="D361" t="n">
        <v>0.68038</v>
      </c>
      <c r="E361" t="n">
        <v>-0.15636</v>
      </c>
      <c r="F361" t="n">
        <v>1.2774</v>
      </c>
      <c r="G361" t="n">
        <v>-0.95308</v>
      </c>
      <c r="H361" t="n">
        <v>0.52056</v>
      </c>
      <c r="I361" t="n">
        <v>0.90851</v>
      </c>
      <c r="J361" t="n">
        <v>-0.50844</v>
      </c>
      <c r="K361" t="n">
        <v>-0.7719200000000001</v>
      </c>
      <c r="L361" t="n">
        <v>0.091754</v>
      </c>
      <c r="M361" t="n">
        <v>0.33642</v>
      </c>
      <c r="N361" t="n">
        <v>-2.2375</v>
      </c>
      <c r="O361" t="n">
        <v>-1.1528</v>
      </c>
      <c r="P361" t="n">
        <v>-0.40586</v>
      </c>
      <c r="Q361" t="n">
        <v>0.46044</v>
      </c>
      <c r="R361" t="n">
        <v>0.19671</v>
      </c>
      <c r="S361" t="n">
        <v>-0.59284</v>
      </c>
      <c r="T361" t="n">
        <v>-0.87242</v>
      </c>
      <c r="U361" t="n">
        <v>0.06725399999999999</v>
      </c>
      <c r="V361" t="n">
        <v>-0.40575</v>
      </c>
      <c r="W361" t="n">
        <v>-0.2044</v>
      </c>
      <c r="X361" t="n">
        <v>0.48028</v>
      </c>
      <c r="Y361" t="n">
        <v>1.0031</v>
      </c>
      <c r="Z361" t="n">
        <v>-1.7771</v>
      </c>
    </row>
    <row r="362">
      <c r="A362" t="inlineStr">
        <is>
          <t>bright</t>
        </is>
      </c>
      <c r="B362" t="n">
        <v>-1.2485</v>
      </c>
      <c r="C362" t="n">
        <v>-1.1716</v>
      </c>
      <c r="D362" t="n">
        <v>0.45603</v>
      </c>
      <c r="E362" t="n">
        <v>-0.048772</v>
      </c>
      <c r="F362" t="n">
        <v>-0.19996</v>
      </c>
      <c r="G362" t="n">
        <v>1.2849</v>
      </c>
      <c r="H362" t="n">
        <v>1.1186</v>
      </c>
      <c r="I362" t="n">
        <v>-0.81055</v>
      </c>
      <c r="J362" t="n">
        <v>0.010184</v>
      </c>
      <c r="K362" t="n">
        <v>-0.40632</v>
      </c>
      <c r="L362" t="n">
        <v>-0.66735</v>
      </c>
      <c r="M362" t="n">
        <v>0.42452</v>
      </c>
      <c r="N362" t="n">
        <v>-3.3121</v>
      </c>
      <c r="O362" t="n">
        <v>0.21106</v>
      </c>
      <c r="P362" t="n">
        <v>-0.912</v>
      </c>
      <c r="Q362" t="n">
        <v>-0.27111</v>
      </c>
      <c r="R362" t="n">
        <v>0.32562</v>
      </c>
      <c r="S362" t="n">
        <v>-0.049839</v>
      </c>
      <c r="T362" t="n">
        <v>0.52616</v>
      </c>
      <c r="U362" t="n">
        <v>0.49468</v>
      </c>
      <c r="V362" t="n">
        <v>-0.49639</v>
      </c>
      <c r="W362" t="n">
        <v>0.04397</v>
      </c>
      <c r="X362" t="n">
        <v>0.7803</v>
      </c>
      <c r="Y362" t="n">
        <v>0.53041</v>
      </c>
      <c r="Z362" t="n">
        <v>-0.59931</v>
      </c>
    </row>
    <row r="363">
      <c r="A363" t="inlineStr">
        <is>
          <t>bath</t>
        </is>
      </c>
      <c r="B363" t="n">
        <v>-2.0452</v>
      </c>
      <c r="C363" t="n">
        <v>0.017771</v>
      </c>
      <c r="D363" t="n">
        <v>0.43679</v>
      </c>
      <c r="E363" t="n">
        <v>0.33515</v>
      </c>
      <c r="F363" t="n">
        <v>0.095674</v>
      </c>
      <c r="G363" t="n">
        <v>0.69295</v>
      </c>
      <c r="H363" t="n">
        <v>0.9951</v>
      </c>
      <c r="I363" t="n">
        <v>-1.3747</v>
      </c>
      <c r="J363" t="n">
        <v>0.64769</v>
      </c>
      <c r="K363" t="n">
        <v>0.6191</v>
      </c>
      <c r="L363" t="n">
        <v>0.21206</v>
      </c>
      <c r="M363" t="n">
        <v>-0.14748</v>
      </c>
      <c r="N363" t="n">
        <v>-3.3129</v>
      </c>
      <c r="O363" t="n">
        <v>-0.61007</v>
      </c>
      <c r="P363" t="n">
        <v>0.25601</v>
      </c>
      <c r="Q363" t="n">
        <v>0.011183</v>
      </c>
      <c r="R363" t="n">
        <v>1.1028</v>
      </c>
      <c r="S363" t="n">
        <v>-0.40291</v>
      </c>
      <c r="T363" t="n">
        <v>-0.5038899999999999</v>
      </c>
      <c r="U363" t="n">
        <v>0.030271</v>
      </c>
      <c r="V363" t="n">
        <v>-0.7103</v>
      </c>
      <c r="W363" t="n">
        <v>-0.20943</v>
      </c>
      <c r="X363" t="n">
        <v>0.67526</v>
      </c>
      <c r="Y363" t="n">
        <v>0.68036</v>
      </c>
      <c r="Z363" t="n">
        <v>0.60094</v>
      </c>
    </row>
    <row r="364">
      <c r="A364" t="inlineStr">
        <is>
          <t>hice</t>
        </is>
      </c>
      <c r="B364" t="n">
        <v>0.44057</v>
      </c>
      <c r="C364" t="n">
        <v>0.79236</v>
      </c>
      <c r="D364" t="n">
        <v>0.65813</v>
      </c>
      <c r="E364" t="n">
        <v>0.41597</v>
      </c>
      <c r="F364" t="n">
        <v>0.84451</v>
      </c>
      <c r="G364" t="n">
        <v>0.2538</v>
      </c>
      <c r="H364" t="n">
        <v>0.10963</v>
      </c>
      <c r="I364" t="n">
        <v>2.2868</v>
      </c>
      <c r="J364" t="n">
        <v>-0.95673</v>
      </c>
      <c r="K364" t="n">
        <v>-0.91795</v>
      </c>
      <c r="L364" t="n">
        <v>1.1186</v>
      </c>
      <c r="M364" t="n">
        <v>-2.342</v>
      </c>
      <c r="N364" t="n">
        <v>-0.67431</v>
      </c>
      <c r="O364" t="n">
        <v>-0.24961</v>
      </c>
      <c r="P364" t="n">
        <v>1.0221</v>
      </c>
      <c r="Q364" t="n">
        <v>1.2199</v>
      </c>
      <c r="R364" t="n">
        <v>0.60555</v>
      </c>
      <c r="S364" t="n">
        <v>1.2457</v>
      </c>
      <c r="T364" t="n">
        <v>-0.12016</v>
      </c>
      <c r="U364" t="n">
        <v>0.391</v>
      </c>
      <c r="V364" t="n">
        <v>0.39599</v>
      </c>
      <c r="W364" t="n">
        <v>0.20256</v>
      </c>
      <c r="X364" t="n">
        <v>1.0457</v>
      </c>
      <c r="Y364" t="n">
        <v>1.6572</v>
      </c>
      <c r="Z364" t="n">
        <v>0.033433</v>
      </c>
    </row>
    <row r="365">
      <c r="A365" t="inlineStr">
        <is>
          <t>freedom</t>
        </is>
      </c>
      <c r="B365" t="n">
        <v>-0.092769</v>
      </c>
      <c r="C365" t="n">
        <v>0.50162</v>
      </c>
      <c r="D365" t="n">
        <v>-1.1099</v>
      </c>
      <c r="E365" t="n">
        <v>0.3995</v>
      </c>
      <c r="F365" t="n">
        <v>-0.058503</v>
      </c>
      <c r="G365" t="n">
        <v>-0.75029</v>
      </c>
      <c r="H365" t="n">
        <v>1.0521</v>
      </c>
      <c r="I365" t="n">
        <v>-0.4672</v>
      </c>
      <c r="J365" t="n">
        <v>0.39741</v>
      </c>
      <c r="K365" t="n">
        <v>0.11788</v>
      </c>
      <c r="L365" t="n">
        <v>-0.40779</v>
      </c>
      <c r="M365" t="n">
        <v>0.48629</v>
      </c>
      <c r="N365" t="n">
        <v>-3.4503</v>
      </c>
      <c r="O365" t="n">
        <v>1.0567</v>
      </c>
      <c r="P365" t="n">
        <v>-0.29543</v>
      </c>
      <c r="Q365" t="n">
        <v>0.0017459</v>
      </c>
      <c r="R365" t="n">
        <v>-0.51337</v>
      </c>
      <c r="S365" t="n">
        <v>0.59462</v>
      </c>
      <c r="T365" t="n">
        <v>1.1181</v>
      </c>
      <c r="U365" t="n">
        <v>-0.20546</v>
      </c>
      <c r="V365" t="n">
        <v>-0.43685</v>
      </c>
      <c r="W365" t="n">
        <v>0.083623</v>
      </c>
      <c r="X365" t="n">
        <v>-0.6968</v>
      </c>
      <c r="Y365" t="n">
        <v>-0.71334</v>
      </c>
      <c r="Z365" t="n">
        <v>0.31455</v>
      </c>
    </row>
    <row r="366">
      <c r="A366" t="inlineStr">
        <is>
          <t>beast</t>
        </is>
      </c>
      <c r="B366" t="n">
        <v>-0.59395</v>
      </c>
      <c r="C366" t="n">
        <v>-0.037255</v>
      </c>
      <c r="D366" t="n">
        <v>0.42709</v>
      </c>
      <c r="E366" t="n">
        <v>-0.3192</v>
      </c>
      <c r="F366" t="n">
        <v>0.15983</v>
      </c>
      <c r="G366" t="n">
        <v>0.047251</v>
      </c>
      <c r="H366" t="n">
        <v>1.5194</v>
      </c>
      <c r="I366" t="n">
        <v>0.67141</v>
      </c>
      <c r="J366" t="n">
        <v>0.39332</v>
      </c>
      <c r="K366" t="n">
        <v>-1.141</v>
      </c>
      <c r="L366" t="n">
        <v>0.14388</v>
      </c>
      <c r="M366" t="n">
        <v>1.8149</v>
      </c>
      <c r="N366" t="n">
        <v>-2.6431</v>
      </c>
      <c r="O366" t="n">
        <v>0.13504</v>
      </c>
      <c r="P366" t="n">
        <v>-0.21329</v>
      </c>
      <c r="Q366" t="n">
        <v>-0.25125</v>
      </c>
      <c r="R366" t="n">
        <v>-0.23582</v>
      </c>
      <c r="S366" t="n">
        <v>-0.38851</v>
      </c>
      <c r="T366" t="n">
        <v>-0.34104</v>
      </c>
      <c r="U366" t="n">
        <v>0.62116</v>
      </c>
      <c r="V366" t="n">
        <v>-0.39049</v>
      </c>
      <c r="W366" t="n">
        <v>0.5860300000000001</v>
      </c>
      <c r="X366" t="n">
        <v>0.3712</v>
      </c>
      <c r="Y366" t="n">
        <v>-0.50558</v>
      </c>
      <c r="Z366" t="n">
        <v>-0.040608</v>
      </c>
    </row>
    <row r="367">
      <c r="A367" t="inlineStr">
        <is>
          <t>tony</t>
        </is>
      </c>
      <c r="B367" t="n">
        <v>-0.5263</v>
      </c>
      <c r="C367" t="n">
        <v>0.36402</v>
      </c>
      <c r="D367" t="n">
        <v>0.2369</v>
      </c>
      <c r="E367" t="n">
        <v>0.20377</v>
      </c>
      <c r="F367" t="n">
        <v>-0.51755</v>
      </c>
      <c r="G367" t="n">
        <v>-0.20041</v>
      </c>
      <c r="H367" t="n">
        <v>-0.17058</v>
      </c>
      <c r="I367" t="n">
        <v>0.97558</v>
      </c>
      <c r="J367" t="n">
        <v>-0.070983</v>
      </c>
      <c r="K367" t="n">
        <v>-1.5437</v>
      </c>
      <c r="L367" t="n">
        <v>0.26232</v>
      </c>
      <c r="M367" t="n">
        <v>0.39445</v>
      </c>
      <c r="N367" t="n">
        <v>-3.1837</v>
      </c>
      <c r="O367" t="n">
        <v>-0.52021</v>
      </c>
      <c r="P367" t="n">
        <v>1.2467</v>
      </c>
      <c r="Q367" t="n">
        <v>-0.38004</v>
      </c>
      <c r="R367" t="n">
        <v>-0.41259</v>
      </c>
      <c r="S367" t="n">
        <v>-0.11459</v>
      </c>
      <c r="T367" t="n">
        <v>-0.076193</v>
      </c>
      <c r="U367" t="n">
        <v>0.20835</v>
      </c>
      <c r="V367" t="n">
        <v>0.40211</v>
      </c>
      <c r="W367" t="n">
        <v>0.36826</v>
      </c>
      <c r="X367" t="n">
        <v>0.095333</v>
      </c>
      <c r="Y367" t="n">
        <v>-0.69073</v>
      </c>
      <c r="Z367" t="n">
        <v>-0.5796</v>
      </c>
    </row>
    <row r="368">
      <c r="A368" t="inlineStr">
        <is>
          <t>amount</t>
        </is>
      </c>
      <c r="B368" t="n">
        <v>0.84433</v>
      </c>
      <c r="C368" t="n">
        <v>0.37287</v>
      </c>
      <c r="D368" t="n">
        <v>-0.7362</v>
      </c>
      <c r="E368" t="n">
        <v>0.8842</v>
      </c>
      <c r="F368" t="n">
        <v>0.88633</v>
      </c>
      <c r="G368" t="n">
        <v>0.78877</v>
      </c>
      <c r="H368" t="n">
        <v>1.7007</v>
      </c>
      <c r="I368" t="n">
        <v>-1.7881</v>
      </c>
      <c r="J368" t="n">
        <v>-1.0014</v>
      </c>
      <c r="K368" t="n">
        <v>-0.09088</v>
      </c>
      <c r="L368" t="n">
        <v>0.5243</v>
      </c>
      <c r="M368" t="n">
        <v>-0.25625</v>
      </c>
      <c r="N368" t="n">
        <v>-3.3597</v>
      </c>
      <c r="O368" t="n">
        <v>0.96199</v>
      </c>
      <c r="P368" t="n">
        <v>0.31279</v>
      </c>
      <c r="Q368" t="n">
        <v>0.14523</v>
      </c>
      <c r="R368" t="n">
        <v>1.135</v>
      </c>
      <c r="S368" t="n">
        <v>-0.060202</v>
      </c>
      <c r="T368" t="n">
        <v>0.1364</v>
      </c>
      <c r="U368" t="n">
        <v>-0.26009</v>
      </c>
      <c r="V368" t="n">
        <v>-0.55658</v>
      </c>
      <c r="W368" t="n">
        <v>0.47742</v>
      </c>
      <c r="X368" t="n">
        <v>0.052099</v>
      </c>
      <c r="Y368" t="n">
        <v>0.43293</v>
      </c>
      <c r="Z368" t="n">
        <v>-1.5195</v>
      </c>
    </row>
    <row r="369">
      <c r="A369" t="inlineStr">
        <is>
          <t>countkun</t>
        </is>
      </c>
      <c r="B369" t="n">
        <v>1.2055</v>
      </c>
      <c r="C369" t="n">
        <v>3.7751</v>
      </c>
      <c r="D369" t="n">
        <v>1.8076</v>
      </c>
      <c r="E369" t="n">
        <v>-2.1117</v>
      </c>
      <c r="F369" t="n">
        <v>2.9524</v>
      </c>
      <c r="G369" t="n">
        <v>-3.7257</v>
      </c>
      <c r="H369" t="n">
        <v>-2.37</v>
      </c>
      <c r="I369" t="n">
        <v>2.3788</v>
      </c>
      <c r="J369" t="n">
        <v>0.2449</v>
      </c>
      <c r="K369" t="n">
        <v>-0.65901</v>
      </c>
      <c r="L369" t="n">
        <v>-3.7472</v>
      </c>
      <c r="M369" t="n">
        <v>0.86611</v>
      </c>
      <c r="N369" t="n">
        <v>0.29606</v>
      </c>
      <c r="O369" t="n">
        <v>1.5671</v>
      </c>
      <c r="P369" t="n">
        <v>-1.2384</v>
      </c>
      <c r="Q369" t="n">
        <v>-0.40216</v>
      </c>
      <c r="R369" t="n">
        <v>0.6759500000000001</v>
      </c>
      <c r="S369" t="n">
        <v>1.7661</v>
      </c>
      <c r="T369" t="n">
        <v>0.74932</v>
      </c>
      <c r="U369" t="n">
        <v>3.4055</v>
      </c>
      <c r="V369" t="n">
        <v>-3.21</v>
      </c>
      <c r="W369" t="n">
        <v>-1.8062</v>
      </c>
      <c r="X369" t="n">
        <v>-1.1862</v>
      </c>
      <c r="Y369" t="n">
        <v>-1.9503</v>
      </c>
      <c r="Z369" t="n">
        <v>-0.70067</v>
      </c>
    </row>
    <row r="370">
      <c r="A370" t="inlineStr">
        <is>
          <t>anywhere</t>
        </is>
      </c>
      <c r="B370" t="n">
        <v>-0.57989</v>
      </c>
      <c r="C370" t="n">
        <v>0.10288</v>
      </c>
      <c r="D370" t="n">
        <v>-0.22214</v>
      </c>
      <c r="E370" t="n">
        <v>-0.44588</v>
      </c>
      <c r="F370" t="n">
        <v>-0.80379</v>
      </c>
      <c r="G370" t="n">
        <v>-0.014267</v>
      </c>
      <c r="H370" t="n">
        <v>0.41286</v>
      </c>
      <c r="I370" t="n">
        <v>-1.1543</v>
      </c>
      <c r="J370" t="n">
        <v>-0.25005</v>
      </c>
      <c r="K370" t="n">
        <v>0.64594</v>
      </c>
      <c r="L370" t="n">
        <v>-0.59298</v>
      </c>
      <c r="M370" t="n">
        <v>0.26474</v>
      </c>
      <c r="N370" t="n">
        <v>-3.9861</v>
      </c>
      <c r="O370" t="n">
        <v>-0.29206</v>
      </c>
      <c r="P370" t="n">
        <v>0.48241</v>
      </c>
      <c r="Q370" t="n">
        <v>0.78047</v>
      </c>
      <c r="R370" t="n">
        <v>0.48259</v>
      </c>
      <c r="S370" t="n">
        <v>-0.71406</v>
      </c>
      <c r="T370" t="n">
        <v>0.58431</v>
      </c>
      <c r="U370" t="n">
        <v>-0.80872</v>
      </c>
      <c r="V370" t="n">
        <v>-0.31131</v>
      </c>
      <c r="W370" t="n">
        <v>-1.0723</v>
      </c>
      <c r="X370" t="n">
        <v>0.26309</v>
      </c>
      <c r="Y370" t="n">
        <v>0.028972</v>
      </c>
      <c r="Z370" t="n">
        <v>0.00821</v>
      </c>
    </row>
    <row r="371">
      <c r="A371" t="inlineStr">
        <is>
          <t>security</t>
        </is>
      </c>
      <c r="B371" t="n">
        <v>0.37301</v>
      </c>
      <c r="C371" t="n">
        <v>0.6432600000000001</v>
      </c>
      <c r="D371" t="n">
        <v>-0.78782</v>
      </c>
      <c r="E371" t="n">
        <v>-0.30667</v>
      </c>
      <c r="F371" t="n">
        <v>1.0736</v>
      </c>
      <c r="G371" t="n">
        <v>-1.0177</v>
      </c>
      <c r="H371" t="n">
        <v>0.34477</v>
      </c>
      <c r="I371" t="n">
        <v>-0.73636</v>
      </c>
      <c r="J371" t="n">
        <v>1.7463</v>
      </c>
      <c r="K371" t="n">
        <v>1.0288</v>
      </c>
      <c r="L371" t="n">
        <v>0.56903</v>
      </c>
      <c r="M371" t="n">
        <v>0.25466</v>
      </c>
      <c r="N371" t="n">
        <v>-3.5931</v>
      </c>
      <c r="O371" t="n">
        <v>0.29576</v>
      </c>
      <c r="P371" t="n">
        <v>0.50653</v>
      </c>
      <c r="Q371" t="n">
        <v>-0.10519</v>
      </c>
      <c r="R371" t="n">
        <v>0.15474</v>
      </c>
      <c r="S371" t="n">
        <v>0.47143</v>
      </c>
      <c r="T371" t="n">
        <v>0.52457</v>
      </c>
      <c r="U371" t="n">
        <v>-0.48716</v>
      </c>
      <c r="V371" t="n">
        <v>0.095259</v>
      </c>
      <c r="W371" t="n">
        <v>-0.70774</v>
      </c>
      <c r="X371" t="n">
        <v>0.14212</v>
      </c>
      <c r="Y371" t="n">
        <v>-1.3216</v>
      </c>
      <c r="Z371" t="n">
        <v>-1.0752</v>
      </c>
    </row>
    <row r="372">
      <c r="A372" t="inlineStr">
        <is>
          <t>teams</t>
        </is>
      </c>
      <c r="B372" t="n">
        <v>1.1619</v>
      </c>
      <c r="C372" t="n">
        <v>1.1112</v>
      </c>
      <c r="D372" t="n">
        <v>-0.6372</v>
      </c>
      <c r="E372" t="n">
        <v>-1.924</v>
      </c>
      <c r="F372" t="n">
        <v>0.034611</v>
      </c>
      <c r="G372" t="n">
        <v>0.75957</v>
      </c>
      <c r="H372" t="n">
        <v>0.03847</v>
      </c>
      <c r="I372" t="n">
        <v>-1.0669</v>
      </c>
      <c r="J372" t="n">
        <v>-0.29597</v>
      </c>
      <c r="K372" t="n">
        <v>-0.71527</v>
      </c>
      <c r="L372" t="n">
        <v>0.12779</v>
      </c>
      <c r="M372" t="n">
        <v>0.4313</v>
      </c>
      <c r="N372" t="n">
        <v>-3.937</v>
      </c>
      <c r="O372" t="n">
        <v>1.2251</v>
      </c>
      <c r="P372" t="n">
        <v>0.83133</v>
      </c>
      <c r="Q372" t="n">
        <v>0.10608</v>
      </c>
      <c r="R372" t="n">
        <v>-0.24198</v>
      </c>
      <c r="S372" t="n">
        <v>-0.95151</v>
      </c>
      <c r="T372" t="n">
        <v>0.37402</v>
      </c>
      <c r="U372" t="n">
        <v>0.23313</v>
      </c>
      <c r="V372" t="n">
        <v>-1.0174</v>
      </c>
      <c r="W372" t="n">
        <v>0.60809</v>
      </c>
      <c r="X372" t="n">
        <v>0.0037572</v>
      </c>
      <c r="Y372" t="n">
        <v>-1.0246</v>
      </c>
      <c r="Z372" t="n">
        <v>-0.535</v>
      </c>
    </row>
    <row r="373">
      <c r="A373" t="inlineStr">
        <is>
          <t>taught</t>
        </is>
      </c>
      <c r="B373" t="n">
        <v>-0.010431</v>
      </c>
      <c r="C373" t="n">
        <v>0.96466</v>
      </c>
      <c r="D373" t="n">
        <v>0.30254</v>
      </c>
      <c r="E373" t="n">
        <v>-0.16944</v>
      </c>
      <c r="F373" t="n">
        <v>-0.17319</v>
      </c>
      <c r="G373" t="n">
        <v>-0.77678</v>
      </c>
      <c r="H373" t="n">
        <v>1.0658</v>
      </c>
      <c r="I373" t="n">
        <v>-1.0047</v>
      </c>
      <c r="J373" t="n">
        <v>-0.42843</v>
      </c>
      <c r="K373" t="n">
        <v>-0.60198</v>
      </c>
      <c r="L373" t="n">
        <v>-0.50421</v>
      </c>
      <c r="M373" t="n">
        <v>0.6099</v>
      </c>
      <c r="N373" t="n">
        <v>-3.8569</v>
      </c>
      <c r="O373" t="n">
        <v>-0.1213</v>
      </c>
      <c r="P373" t="n">
        <v>-0.14455</v>
      </c>
      <c r="Q373" t="n">
        <v>0.59844</v>
      </c>
      <c r="R373" t="n">
        <v>0.18507</v>
      </c>
      <c r="S373" t="n">
        <v>0.39065</v>
      </c>
      <c r="T373" t="n">
        <v>1.1521</v>
      </c>
      <c r="U373" t="n">
        <v>-0.046171</v>
      </c>
      <c r="V373" t="n">
        <v>0.8859399999999999</v>
      </c>
      <c r="W373" t="n">
        <v>0.8678900000000001</v>
      </c>
      <c r="X373" t="n">
        <v>-0.96746</v>
      </c>
      <c r="Y373" t="n">
        <v>0.17545</v>
      </c>
      <c r="Z373" t="n">
        <v>0.10952</v>
      </c>
    </row>
    <row r="374">
      <c r="A374" t="inlineStr">
        <is>
          <t>tbt</t>
        </is>
      </c>
      <c r="B374" t="n">
        <v>-0.97526</v>
      </c>
      <c r="C374" t="n">
        <v>0.46033</v>
      </c>
      <c r="D374" t="n">
        <v>1.2511</v>
      </c>
      <c r="E374" t="n">
        <v>-1.4496</v>
      </c>
      <c r="F374" t="n">
        <v>0.17084</v>
      </c>
      <c r="G374" t="n">
        <v>-0.50332</v>
      </c>
      <c r="H374" t="n">
        <v>1.262</v>
      </c>
      <c r="I374" t="n">
        <v>0.0012365</v>
      </c>
      <c r="J374" t="n">
        <v>-1.2958</v>
      </c>
      <c r="K374" t="n">
        <v>-0.059066</v>
      </c>
      <c r="L374" t="n">
        <v>-1.3525</v>
      </c>
      <c r="M374" t="n">
        <v>0.15982</v>
      </c>
      <c r="N374" t="n">
        <v>-2.289</v>
      </c>
      <c r="O374" t="n">
        <v>-0.15144</v>
      </c>
      <c r="P374" t="n">
        <v>-0.27576</v>
      </c>
      <c r="Q374" t="n">
        <v>0.14434</v>
      </c>
      <c r="R374" t="n">
        <v>0.69323</v>
      </c>
      <c r="S374" t="n">
        <v>-0.8894300000000001</v>
      </c>
      <c r="T374" t="n">
        <v>-0.43566</v>
      </c>
      <c r="U374" t="n">
        <v>1.0478</v>
      </c>
      <c r="V374" t="n">
        <v>-0.026479</v>
      </c>
      <c r="W374" t="n">
        <v>-0.37173</v>
      </c>
      <c r="X374" t="n">
        <v>0.26291</v>
      </c>
      <c r="Y374" t="n">
        <v>-0.60569</v>
      </c>
      <c r="Z374" t="n">
        <v>0.43965</v>
      </c>
    </row>
    <row r="375">
      <c r="A375" t="inlineStr">
        <is>
          <t>ground</t>
        </is>
      </c>
      <c r="B375" t="n">
        <v>-0.67421</v>
      </c>
      <c r="C375" t="n">
        <v>-0.082579</v>
      </c>
      <c r="D375" t="n">
        <v>0.16297</v>
      </c>
      <c r="E375" t="n">
        <v>0.46588</v>
      </c>
      <c r="F375" t="n">
        <v>-0.40933</v>
      </c>
      <c r="G375" t="n">
        <v>0.3898</v>
      </c>
      <c r="H375" t="n">
        <v>0.59636</v>
      </c>
      <c r="I375" t="n">
        <v>-1.1704</v>
      </c>
      <c r="J375" t="n">
        <v>0.5407</v>
      </c>
      <c r="K375" t="n">
        <v>0.73551</v>
      </c>
      <c r="L375" t="n">
        <v>0.24485</v>
      </c>
      <c r="M375" t="n">
        <v>0.55897</v>
      </c>
      <c r="N375" t="n">
        <v>-3.5033</v>
      </c>
      <c r="O375" t="n">
        <v>0.8055099999999999</v>
      </c>
      <c r="P375" t="n">
        <v>0.24962</v>
      </c>
      <c r="Q375" t="n">
        <v>-0.27076</v>
      </c>
      <c r="R375" t="n">
        <v>0.070563</v>
      </c>
      <c r="S375" t="n">
        <v>0.035162</v>
      </c>
      <c r="T375" t="n">
        <v>0.21526</v>
      </c>
      <c r="U375" t="n">
        <v>-0.51271</v>
      </c>
      <c r="V375" t="n">
        <v>-0.6440399999999999</v>
      </c>
      <c r="W375" t="n">
        <v>0.34991</v>
      </c>
      <c r="X375" t="n">
        <v>1.0876</v>
      </c>
      <c r="Y375" t="n">
        <v>-0.66048</v>
      </c>
      <c r="Z375" t="n">
        <v>0.13278</v>
      </c>
    </row>
    <row r="376">
      <c r="A376" t="inlineStr">
        <is>
          <t>users</t>
        </is>
      </c>
      <c r="B376" t="n">
        <v>1.9424</v>
      </c>
      <c r="C376" t="n">
        <v>0.59644</v>
      </c>
      <c r="D376" t="n">
        <v>-0.033088</v>
      </c>
      <c r="E376" t="n">
        <v>-0.58114</v>
      </c>
      <c r="F376" t="n">
        <v>1.2308</v>
      </c>
      <c r="G376" t="n">
        <v>-0.7680399999999999</v>
      </c>
      <c r="H376" t="n">
        <v>0.13462</v>
      </c>
      <c r="I376" t="n">
        <v>-1.2025</v>
      </c>
      <c r="J376" t="n">
        <v>0.1603</v>
      </c>
      <c r="K376" t="n">
        <v>0.026477</v>
      </c>
      <c r="L376" t="n">
        <v>0.37387</v>
      </c>
      <c r="M376" t="n">
        <v>-0.75452</v>
      </c>
      <c r="N376" t="n">
        <v>-2.8446</v>
      </c>
      <c r="O376" t="n">
        <v>-0.55903</v>
      </c>
      <c r="P376" t="n">
        <v>-0.57444</v>
      </c>
      <c r="Q376" t="n">
        <v>-0.14485</v>
      </c>
      <c r="R376" t="n">
        <v>-0.22114</v>
      </c>
      <c r="S376" t="n">
        <v>-0.51719</v>
      </c>
      <c r="T376" t="n">
        <v>0.90418</v>
      </c>
      <c r="U376" t="n">
        <v>-1.1267</v>
      </c>
      <c r="V376" t="n">
        <v>-0.017353</v>
      </c>
      <c r="W376" t="n">
        <v>-1.9337</v>
      </c>
      <c r="X376" t="n">
        <v>-0.18692</v>
      </c>
      <c r="Y376" t="n">
        <v>-0.37947</v>
      </c>
      <c r="Z376" t="n">
        <v>-1.0742</v>
      </c>
    </row>
    <row r="377">
      <c r="A377" t="inlineStr">
        <is>
          <t>crees</t>
        </is>
      </c>
      <c r="B377" t="n">
        <v>0.50162</v>
      </c>
      <c r="C377" t="n">
        <v>-0.65679</v>
      </c>
      <c r="D377" t="n">
        <v>-1.1905</v>
      </c>
      <c r="E377" t="n">
        <v>0.17174</v>
      </c>
      <c r="F377" t="n">
        <v>-0.083339</v>
      </c>
      <c r="G377" t="n">
        <v>-0.19709</v>
      </c>
      <c r="H377" t="n">
        <v>0.09574299999999999</v>
      </c>
      <c r="I377" t="n">
        <v>2.6323</v>
      </c>
      <c r="J377" t="n">
        <v>-1.0889</v>
      </c>
      <c r="K377" t="n">
        <v>-1.1813</v>
      </c>
      <c r="L377" t="n">
        <v>1.1721</v>
      </c>
      <c r="M377" t="n">
        <v>-2.4774</v>
      </c>
      <c r="N377" t="n">
        <v>-0.83406</v>
      </c>
      <c r="O377" t="n">
        <v>-0.50931</v>
      </c>
      <c r="P377" t="n">
        <v>1.2775</v>
      </c>
      <c r="Q377" t="n">
        <v>0.28817</v>
      </c>
      <c r="R377" t="n">
        <v>0.37831</v>
      </c>
      <c r="S377" t="n">
        <v>0.77184</v>
      </c>
      <c r="T377" t="n">
        <v>0.84292</v>
      </c>
      <c r="U377" t="n">
        <v>-0.096486</v>
      </c>
      <c r="V377" t="n">
        <v>1.1211</v>
      </c>
      <c r="W377" t="n">
        <v>-0.4338</v>
      </c>
      <c r="X377" t="n">
        <v>0.0085001</v>
      </c>
      <c r="Y377" t="n">
        <v>1.0184</v>
      </c>
      <c r="Z377" t="n">
        <v>-0.61535</v>
      </c>
    </row>
    <row r="378">
      <c r="A378" t="inlineStr">
        <is>
          <t>hill</t>
        </is>
      </c>
      <c r="B378" t="n">
        <v>-1.223</v>
      </c>
      <c r="C378" t="n">
        <v>-0.2588</v>
      </c>
      <c r="D378" t="n">
        <v>0.86705</v>
      </c>
      <c r="E378" t="n">
        <v>-0.041346</v>
      </c>
      <c r="F378" t="n">
        <v>-0.89586</v>
      </c>
      <c r="G378" t="n">
        <v>0.36802</v>
      </c>
      <c r="H378" t="n">
        <v>0.62996</v>
      </c>
      <c r="I378" t="n">
        <v>-0.32414</v>
      </c>
      <c r="J378" t="n">
        <v>1.289</v>
      </c>
      <c r="K378" t="n">
        <v>-0.86554</v>
      </c>
      <c r="L378" t="n">
        <v>0.18163</v>
      </c>
      <c r="M378" t="n">
        <v>0.26591</v>
      </c>
      <c r="N378" t="n">
        <v>-3.5542</v>
      </c>
      <c r="O378" t="n">
        <v>0.35045</v>
      </c>
      <c r="P378" t="n">
        <v>1.1798</v>
      </c>
      <c r="Q378" t="n">
        <v>-0.79317</v>
      </c>
      <c r="R378" t="n">
        <v>-0.16949</v>
      </c>
      <c r="S378" t="n">
        <v>0.24211</v>
      </c>
      <c r="T378" t="n">
        <v>-0.045336</v>
      </c>
      <c r="U378" t="n">
        <v>0.31585</v>
      </c>
      <c r="V378" t="n">
        <v>0.081719</v>
      </c>
      <c r="W378" t="n">
        <v>0.19739</v>
      </c>
      <c r="X378" t="n">
        <v>0.19631</v>
      </c>
      <c r="Y378" t="n">
        <v>-0.68027</v>
      </c>
      <c r="Z378" t="n">
        <v>0.5559500000000001</v>
      </c>
    </row>
    <row r="379">
      <c r="A379" t="inlineStr">
        <is>
          <t>seat</t>
        </is>
      </c>
      <c r="B379" t="n">
        <v>-1.272</v>
      </c>
      <c r="C379" t="n">
        <v>0.15273</v>
      </c>
      <c r="D379" t="n">
        <v>0.29701</v>
      </c>
      <c r="E379" t="n">
        <v>-0.43893</v>
      </c>
      <c r="F379" t="n">
        <v>0.43261</v>
      </c>
      <c r="G379" t="n">
        <v>0.045192</v>
      </c>
      <c r="H379" t="n">
        <v>-0.029994</v>
      </c>
      <c r="I379" t="n">
        <v>-0.39776</v>
      </c>
      <c r="J379" t="n">
        <v>0.84685</v>
      </c>
      <c r="K379" t="n">
        <v>1.0102</v>
      </c>
      <c r="L379" t="n">
        <v>0.30362</v>
      </c>
      <c r="M379" t="n">
        <v>0.11627</v>
      </c>
      <c r="N379" t="n">
        <v>-3.3693</v>
      </c>
      <c r="O379" t="n">
        <v>0.080301</v>
      </c>
      <c r="P379" t="n">
        <v>0.14686</v>
      </c>
      <c r="Q379" t="n">
        <v>0.36894</v>
      </c>
      <c r="R379" t="n">
        <v>0.56315</v>
      </c>
      <c r="S379" t="n">
        <v>-0.77037</v>
      </c>
      <c r="T379" t="n">
        <v>-0.091194</v>
      </c>
      <c r="U379" t="n">
        <v>-0.1768</v>
      </c>
      <c r="V379" t="n">
        <v>-0.44137</v>
      </c>
      <c r="W379" t="n">
        <v>-0.2617</v>
      </c>
      <c r="X379" t="n">
        <v>1.4627</v>
      </c>
      <c r="Y379" t="n">
        <v>-0.41447</v>
      </c>
      <c r="Z379" t="n">
        <v>-1.0632</v>
      </c>
    </row>
    <row r="380">
      <c r="A380" t="inlineStr">
        <is>
          <t>horror</t>
        </is>
      </c>
      <c r="B380" t="n">
        <v>0.67846</v>
      </c>
      <c r="C380" t="n">
        <v>-0.26964</v>
      </c>
      <c r="D380" t="n">
        <v>0.61851</v>
      </c>
      <c r="E380" t="n">
        <v>0.046141</v>
      </c>
      <c r="F380" t="n">
        <v>0.61987</v>
      </c>
      <c r="G380" t="n">
        <v>0.051023</v>
      </c>
      <c r="H380" t="n">
        <v>1.8133</v>
      </c>
      <c r="I380" t="n">
        <v>0.8274</v>
      </c>
      <c r="J380" t="n">
        <v>0.30019</v>
      </c>
      <c r="K380" t="n">
        <v>-0.5699</v>
      </c>
      <c r="L380" t="n">
        <v>-0.15057</v>
      </c>
      <c r="M380" t="n">
        <v>-0.38452</v>
      </c>
      <c r="N380" t="n">
        <v>-2.1337</v>
      </c>
      <c r="O380" t="n">
        <v>-0.017248</v>
      </c>
      <c r="P380" t="n">
        <v>0.89657</v>
      </c>
      <c r="Q380" t="n">
        <v>1.1567</v>
      </c>
      <c r="R380" t="n">
        <v>0.14458</v>
      </c>
      <c r="S380" t="n">
        <v>0.61671</v>
      </c>
      <c r="T380" t="n">
        <v>-0.13564</v>
      </c>
      <c r="U380" t="n">
        <v>0.067028</v>
      </c>
      <c r="V380" t="n">
        <v>-0.63978</v>
      </c>
      <c r="W380" t="n">
        <v>0.69494</v>
      </c>
      <c r="X380" t="n">
        <v>-0.69101</v>
      </c>
      <c r="Y380" t="n">
        <v>-0.037431</v>
      </c>
      <c r="Z380" t="n">
        <v>0.98344</v>
      </c>
    </row>
    <row r="381">
      <c r="A381" t="inlineStr">
        <is>
          <t>third</t>
        </is>
      </c>
      <c r="B381" t="n">
        <v>0.085616</v>
      </c>
      <c r="C381" t="n">
        <v>0.48898</v>
      </c>
      <c r="D381" t="n">
        <v>0.65162</v>
      </c>
      <c r="E381" t="n">
        <v>-0.47037</v>
      </c>
      <c r="F381" t="n">
        <v>0.19569</v>
      </c>
      <c r="G381" t="n">
        <v>-0.20498</v>
      </c>
      <c r="H381" t="n">
        <v>0.9636400000000001</v>
      </c>
      <c r="I381" t="n">
        <v>-0.46656</v>
      </c>
      <c r="J381" t="n">
        <v>0.24734</v>
      </c>
      <c r="K381" t="n">
        <v>-0.59121</v>
      </c>
      <c r="L381" t="n">
        <v>0.21246</v>
      </c>
      <c r="M381" t="n">
        <v>0.47333</v>
      </c>
      <c r="N381" t="n">
        <v>-3.6391</v>
      </c>
      <c r="O381" t="n">
        <v>1.4016</v>
      </c>
      <c r="P381" t="n">
        <v>0.47408</v>
      </c>
      <c r="Q381" t="n">
        <v>-0.61512</v>
      </c>
      <c r="R381" t="n">
        <v>0.6363799999999999</v>
      </c>
      <c r="S381" t="n">
        <v>0.15388</v>
      </c>
      <c r="T381" t="n">
        <v>-0.16804</v>
      </c>
      <c r="U381" t="n">
        <v>-0.45614</v>
      </c>
      <c r="V381" t="n">
        <v>-1.0895</v>
      </c>
      <c r="W381" t="n">
        <v>0.57791</v>
      </c>
      <c r="X381" t="n">
        <v>0.64438</v>
      </c>
      <c r="Y381" t="n">
        <v>-0.7808</v>
      </c>
      <c r="Z381" t="n">
        <v>-0.85564</v>
      </c>
    </row>
    <row r="382">
      <c r="A382" t="inlineStr">
        <is>
          <t>education</t>
        </is>
      </c>
      <c r="B382" t="n">
        <v>0.39388</v>
      </c>
      <c r="C382" t="n">
        <v>0.78487</v>
      </c>
      <c r="D382" t="n">
        <v>-1.3961</v>
      </c>
      <c r="E382" t="n">
        <v>-0.60382</v>
      </c>
      <c r="F382" t="n">
        <v>1.3577</v>
      </c>
      <c r="G382" t="n">
        <v>-0.83924</v>
      </c>
      <c r="H382" t="n">
        <v>0.45893</v>
      </c>
      <c r="I382" t="n">
        <v>-1.4246</v>
      </c>
      <c r="J382" t="n">
        <v>1.0915</v>
      </c>
      <c r="K382" t="n">
        <v>-0.060802</v>
      </c>
      <c r="L382" t="n">
        <v>-0.71102</v>
      </c>
      <c r="M382" t="n">
        <v>-0.039473</v>
      </c>
      <c r="N382" t="n">
        <v>-3.9293</v>
      </c>
      <c r="O382" t="n">
        <v>0.83086</v>
      </c>
      <c r="P382" t="n">
        <v>0.7262999999999999</v>
      </c>
      <c r="Q382" t="n">
        <v>-0.7156400000000001</v>
      </c>
      <c r="R382" t="n">
        <v>-0.17165</v>
      </c>
      <c r="S382" t="n">
        <v>0.59538</v>
      </c>
      <c r="T382" t="n">
        <v>0.54924</v>
      </c>
      <c r="U382" t="n">
        <v>-0.17349</v>
      </c>
      <c r="V382" t="n">
        <v>-0.004416</v>
      </c>
      <c r="W382" t="n">
        <v>-0.43568</v>
      </c>
      <c r="X382" t="n">
        <v>-1.5045</v>
      </c>
      <c r="Y382" t="n">
        <v>-0.37329</v>
      </c>
      <c r="Z382" t="n">
        <v>-0.087829</v>
      </c>
    </row>
    <row r="383">
      <c r="A383" t="inlineStr">
        <is>
          <t>california</t>
        </is>
      </c>
      <c r="B383" t="n">
        <v>-0.9534899999999999</v>
      </c>
      <c r="C383" t="n">
        <v>0.073125</v>
      </c>
      <c r="D383" t="n">
        <v>-0.0664</v>
      </c>
      <c r="E383" t="n">
        <v>-0.48184</v>
      </c>
      <c r="F383" t="n">
        <v>-0.85223</v>
      </c>
      <c r="G383" t="n">
        <v>0.19155</v>
      </c>
      <c r="H383" t="n">
        <v>0.52994</v>
      </c>
      <c r="I383" t="n">
        <v>-0.32808</v>
      </c>
      <c r="J383" t="n">
        <v>0.65057</v>
      </c>
      <c r="K383" t="n">
        <v>0.090458</v>
      </c>
      <c r="L383" t="n">
        <v>0.36989</v>
      </c>
      <c r="M383" t="n">
        <v>-1.0424</v>
      </c>
      <c r="N383" t="n">
        <v>-3.2984</v>
      </c>
      <c r="O383" t="n">
        <v>0.53371</v>
      </c>
      <c r="P383" t="n">
        <v>0.98643</v>
      </c>
      <c r="Q383" t="n">
        <v>-0.97965</v>
      </c>
      <c r="R383" t="n">
        <v>0.072934</v>
      </c>
      <c r="S383" t="n">
        <v>0.07381699999999999</v>
      </c>
      <c r="T383" t="n">
        <v>0.71516</v>
      </c>
      <c r="U383" t="n">
        <v>0.19983</v>
      </c>
      <c r="V383" t="n">
        <v>0.18494</v>
      </c>
      <c r="W383" t="n">
        <v>-0.83666</v>
      </c>
      <c r="X383" t="n">
        <v>-0.079473</v>
      </c>
      <c r="Y383" t="n">
        <v>-1.3997</v>
      </c>
      <c r="Z383" t="n">
        <v>0.88417</v>
      </c>
    </row>
    <row r="384">
      <c r="A384" t="inlineStr">
        <is>
          <t>chilling</t>
        </is>
      </c>
      <c r="B384" t="n">
        <v>-1.8387</v>
      </c>
      <c r="C384" t="n">
        <v>1.107</v>
      </c>
      <c r="D384" t="n">
        <v>1.3475</v>
      </c>
      <c r="E384" t="n">
        <v>-0.36767</v>
      </c>
      <c r="F384" t="n">
        <v>0.15793</v>
      </c>
      <c r="G384" t="n">
        <v>0.93733</v>
      </c>
      <c r="H384" t="n">
        <v>0.58819</v>
      </c>
      <c r="I384" t="n">
        <v>-0.75674</v>
      </c>
      <c r="J384" t="n">
        <v>-0.44996</v>
      </c>
      <c r="K384" t="n">
        <v>0.23464</v>
      </c>
      <c r="L384" t="n">
        <v>-1.311</v>
      </c>
      <c r="M384" t="n">
        <v>0.4208</v>
      </c>
      <c r="N384" t="n">
        <v>-2.9875</v>
      </c>
      <c r="O384" t="n">
        <v>-0.40366</v>
      </c>
      <c r="P384" t="n">
        <v>0.6117899999999999</v>
      </c>
      <c r="Q384" t="n">
        <v>0.704</v>
      </c>
      <c r="R384" t="n">
        <v>0.5612</v>
      </c>
      <c r="S384" t="n">
        <v>0.035</v>
      </c>
      <c r="T384" t="n">
        <v>-0.77477</v>
      </c>
      <c r="U384" t="n">
        <v>0.059437</v>
      </c>
      <c r="V384" t="n">
        <v>0.42556</v>
      </c>
      <c r="W384" t="n">
        <v>-0.23551</v>
      </c>
      <c r="X384" t="n">
        <v>0.2349</v>
      </c>
      <c r="Y384" t="n">
        <v>0.063967</v>
      </c>
      <c r="Z384" t="n">
        <v>1.0007</v>
      </c>
    </row>
    <row r="385">
      <c r="A385" t="inlineStr">
        <is>
          <t>anytime</t>
        </is>
      </c>
      <c r="B385" t="n">
        <v>-1.2251</v>
      </c>
      <c r="C385" t="n">
        <v>0.58341</v>
      </c>
      <c r="D385" t="n">
        <v>-0.26135</v>
      </c>
      <c r="E385" t="n">
        <v>-0.07128</v>
      </c>
      <c r="F385" t="n">
        <v>-0.70647</v>
      </c>
      <c r="G385" t="n">
        <v>-0.7403999999999999</v>
      </c>
      <c r="H385" t="n">
        <v>0.743</v>
      </c>
      <c r="I385" t="n">
        <v>-0.22293</v>
      </c>
      <c r="J385" t="n">
        <v>-0.5581700000000001</v>
      </c>
      <c r="K385" t="n">
        <v>0.1816</v>
      </c>
      <c r="L385" t="n">
        <v>-0.97145</v>
      </c>
      <c r="M385" t="n">
        <v>0.62616</v>
      </c>
      <c r="N385" t="n">
        <v>-3.1659</v>
      </c>
      <c r="O385" t="n">
        <v>-0.32023</v>
      </c>
      <c r="P385" t="n">
        <v>0.85639</v>
      </c>
      <c r="Q385" t="n">
        <v>0.21796</v>
      </c>
      <c r="R385" t="n">
        <v>0.5571700000000001</v>
      </c>
      <c r="S385" t="n">
        <v>-1.2607</v>
      </c>
      <c r="T385" t="n">
        <v>-0.26459</v>
      </c>
      <c r="U385" t="n">
        <v>-0.33338</v>
      </c>
      <c r="V385" t="n">
        <v>-0.18433</v>
      </c>
      <c r="W385" t="n">
        <v>-0.39563</v>
      </c>
      <c r="X385" t="n">
        <v>-0.15001</v>
      </c>
      <c r="Y385" t="n">
        <v>1.0703</v>
      </c>
      <c r="Z385" t="n">
        <v>-0.1763</v>
      </c>
    </row>
    <row r="386">
      <c r="A386" t="inlineStr">
        <is>
          <t>wassup</t>
        </is>
      </c>
      <c r="B386" t="n">
        <v>-0.71602</v>
      </c>
      <c r="C386" t="n">
        <v>1.8456</v>
      </c>
      <c r="D386" t="n">
        <v>0.47027</v>
      </c>
      <c r="E386" t="n">
        <v>-0.31308</v>
      </c>
      <c r="F386" t="n">
        <v>-0.058547</v>
      </c>
      <c r="G386" t="n">
        <v>-0.15901</v>
      </c>
      <c r="H386" t="n">
        <v>0.26011</v>
      </c>
      <c r="I386" t="n">
        <v>0.052394</v>
      </c>
      <c r="J386" t="n">
        <v>-0.50002</v>
      </c>
      <c r="K386" t="n">
        <v>0.18834</v>
      </c>
      <c r="L386" t="n">
        <v>-2.0353</v>
      </c>
      <c r="M386" t="n">
        <v>0.86495</v>
      </c>
      <c r="N386" t="n">
        <v>-2.9346</v>
      </c>
      <c r="O386" t="n">
        <v>-1.005</v>
      </c>
      <c r="P386" t="n">
        <v>0.42889</v>
      </c>
      <c r="Q386" t="n">
        <v>-0.24564</v>
      </c>
      <c r="R386" t="n">
        <v>0.88076</v>
      </c>
      <c r="S386" t="n">
        <v>-1.2783</v>
      </c>
      <c r="T386" t="n">
        <v>-0.35446</v>
      </c>
      <c r="U386" t="n">
        <v>1.1341</v>
      </c>
      <c r="V386" t="n">
        <v>1.6475</v>
      </c>
      <c r="W386" t="n">
        <v>0.057129</v>
      </c>
      <c r="X386" t="n">
        <v>0.7765300000000001</v>
      </c>
      <c r="Y386" t="n">
        <v>0.37595</v>
      </c>
      <c r="Z386" t="n">
        <v>0.80022</v>
      </c>
    </row>
    <row r="387">
      <c r="A387" t="inlineStr">
        <is>
          <t>mustfollow</t>
        </is>
      </c>
      <c r="B387" t="n">
        <v>0.68662</v>
      </c>
      <c r="C387" t="n">
        <v>1.6798</v>
      </c>
      <c r="D387" t="n">
        <v>-1.7009</v>
      </c>
      <c r="E387" t="n">
        <v>-1.6839</v>
      </c>
      <c r="F387" t="n">
        <v>-0.36701</v>
      </c>
      <c r="G387" t="n">
        <v>-1.3788</v>
      </c>
      <c r="H387" t="n">
        <v>-0.66456</v>
      </c>
      <c r="I387" t="n">
        <v>0.21739</v>
      </c>
      <c r="J387" t="n">
        <v>-1.5028</v>
      </c>
      <c r="K387" t="n">
        <v>-0.07700799999999999</v>
      </c>
      <c r="L387" t="n">
        <v>-0.64613</v>
      </c>
      <c r="M387" t="n">
        <v>1.1132</v>
      </c>
      <c r="N387" t="n">
        <v>-1.4628</v>
      </c>
      <c r="O387" t="n">
        <v>-0.79296</v>
      </c>
      <c r="P387" t="n">
        <v>-2.7947</v>
      </c>
      <c r="Q387" t="n">
        <v>0.12441</v>
      </c>
      <c r="R387" t="n">
        <v>-0.68433</v>
      </c>
      <c r="S387" t="n">
        <v>-1.117</v>
      </c>
      <c r="T387" t="n">
        <v>-0.23185</v>
      </c>
      <c r="U387" t="n">
        <v>0.9871799999999999</v>
      </c>
      <c r="V387" t="n">
        <v>-0.56814</v>
      </c>
      <c r="W387" t="n">
        <v>-2.4857</v>
      </c>
      <c r="X387" t="n">
        <v>0.25014</v>
      </c>
      <c r="Y387" t="n">
        <v>-0.52995</v>
      </c>
      <c r="Z387" t="n">
        <v>0.54747</v>
      </c>
    </row>
    <row r="388">
      <c r="A388" t="inlineStr">
        <is>
          <t>chose</t>
        </is>
      </c>
      <c r="B388" t="n">
        <v>0.19542</v>
      </c>
      <c r="C388" t="n">
        <v>-0.50315</v>
      </c>
      <c r="D388" t="n">
        <v>-1.6325</v>
      </c>
      <c r="E388" t="n">
        <v>1.1018</v>
      </c>
      <c r="F388" t="n">
        <v>-0.55991</v>
      </c>
      <c r="G388" t="n">
        <v>-0.14199</v>
      </c>
      <c r="H388" t="n">
        <v>0.57415</v>
      </c>
      <c r="I388" t="n">
        <v>-0.59728</v>
      </c>
      <c r="J388" t="n">
        <v>-0.33896</v>
      </c>
      <c r="K388" t="n">
        <v>-1.1259</v>
      </c>
      <c r="L388" t="n">
        <v>-0.09318899999999999</v>
      </c>
      <c r="M388" t="n">
        <v>-0.33224</v>
      </c>
      <c r="N388" t="n">
        <v>-3.2034</v>
      </c>
      <c r="O388" t="n">
        <v>0.45779</v>
      </c>
      <c r="P388" t="n">
        <v>0.41277</v>
      </c>
      <c r="Q388" t="n">
        <v>1.7446</v>
      </c>
      <c r="R388" t="n">
        <v>-0.17851</v>
      </c>
      <c r="S388" t="n">
        <v>0.09711599999999999</v>
      </c>
      <c r="T388" t="n">
        <v>-2.2293</v>
      </c>
      <c r="U388" t="n">
        <v>0.42593</v>
      </c>
      <c r="V388" t="n">
        <v>0.75542</v>
      </c>
      <c r="W388" t="n">
        <v>0.06547699999999999</v>
      </c>
      <c r="X388" t="n">
        <v>-0.12146</v>
      </c>
      <c r="Y388" t="n">
        <v>-0.051298</v>
      </c>
      <c r="Z388" t="n">
        <v>-1.2454</v>
      </c>
    </row>
    <row r="389">
      <c r="A389" t="inlineStr">
        <is>
          <t>nearly</t>
        </is>
      </c>
      <c r="B389" t="n">
        <v>-0.042535</v>
      </c>
      <c r="C389" t="n">
        <v>0.3722</v>
      </c>
      <c r="D389" t="n">
        <v>0.79526</v>
      </c>
      <c r="E389" t="n">
        <v>-0.48189</v>
      </c>
      <c r="F389" t="n">
        <v>-0.32715</v>
      </c>
      <c r="G389" t="n">
        <v>0.037379</v>
      </c>
      <c r="H389" t="n">
        <v>0.6448700000000001</v>
      </c>
      <c r="I389" t="n">
        <v>-1.4342</v>
      </c>
      <c r="J389" t="n">
        <v>-1.437</v>
      </c>
      <c r="K389" t="n">
        <v>0.53887</v>
      </c>
      <c r="L389" t="n">
        <v>0.80894</v>
      </c>
      <c r="M389" t="n">
        <v>0.38957</v>
      </c>
      <c r="N389" t="n">
        <v>-3.3874</v>
      </c>
      <c r="O389" t="n">
        <v>1.0295</v>
      </c>
      <c r="P389" t="n">
        <v>0.367</v>
      </c>
      <c r="Q389" t="n">
        <v>-0.21048</v>
      </c>
      <c r="R389" t="n">
        <v>0.77747</v>
      </c>
      <c r="S389" t="n">
        <v>0.472</v>
      </c>
      <c r="T389" t="n">
        <v>-0.036499</v>
      </c>
      <c r="U389" t="n">
        <v>-1.4795</v>
      </c>
      <c r="V389" t="n">
        <v>-0.44968</v>
      </c>
      <c r="W389" t="n">
        <v>-0.021919</v>
      </c>
      <c r="X389" t="n">
        <v>0.4073</v>
      </c>
      <c r="Y389" t="n">
        <v>0.062371</v>
      </c>
      <c r="Z389" t="n">
        <v>-0.5899</v>
      </c>
    </row>
    <row r="390">
      <c r="A390" t="inlineStr">
        <is>
          <t>bathroom</t>
        </is>
      </c>
      <c r="B390" t="n">
        <v>-1.5658</v>
      </c>
      <c r="C390" t="n">
        <v>-0.26484</v>
      </c>
      <c r="D390" t="n">
        <v>1.5847</v>
      </c>
      <c r="E390" t="n">
        <v>0.1462</v>
      </c>
      <c r="F390" t="n">
        <v>0.93996</v>
      </c>
      <c r="G390" t="n">
        <v>-0.08292099999999999</v>
      </c>
      <c r="H390" t="n">
        <v>0.84346</v>
      </c>
      <c r="I390" t="n">
        <v>-1.6724</v>
      </c>
      <c r="J390" t="n">
        <v>0.88326</v>
      </c>
      <c r="K390" t="n">
        <v>1.4608</v>
      </c>
      <c r="L390" t="n">
        <v>-0.22589</v>
      </c>
      <c r="M390" t="n">
        <v>-0.24122</v>
      </c>
      <c r="N390" t="n">
        <v>-3.4764</v>
      </c>
      <c r="O390" t="n">
        <v>-0.57879</v>
      </c>
      <c r="P390" t="n">
        <v>0.12875</v>
      </c>
      <c r="Q390" t="n">
        <v>0.93083</v>
      </c>
      <c r="R390" t="n">
        <v>0.75347</v>
      </c>
      <c r="S390" t="n">
        <v>-0.15399</v>
      </c>
      <c r="T390" t="n">
        <v>-0.40597</v>
      </c>
      <c r="U390" t="n">
        <v>-0.34876</v>
      </c>
      <c r="V390" t="n">
        <v>-0.0063565</v>
      </c>
      <c r="W390" t="n">
        <v>-0.43815</v>
      </c>
      <c r="X390" t="n">
        <v>0.93782</v>
      </c>
      <c r="Y390" t="n">
        <v>-0.41066</v>
      </c>
      <c r="Z390" t="n">
        <v>-0.25289</v>
      </c>
    </row>
    <row r="391">
      <c r="A391" t="inlineStr">
        <is>
          <t>screaming</t>
        </is>
      </c>
      <c r="B391" t="n">
        <v>-0.76104</v>
      </c>
      <c r="C391" t="n">
        <v>0.43708</v>
      </c>
      <c r="D391" t="n">
        <v>1.5529</v>
      </c>
      <c r="E391" t="n">
        <v>0.47673</v>
      </c>
      <c r="F391" t="n">
        <v>-0.21192</v>
      </c>
      <c r="G391" t="n">
        <v>-0.14425</v>
      </c>
      <c r="H391" t="n">
        <v>1.7523</v>
      </c>
      <c r="I391" t="n">
        <v>-1.0432</v>
      </c>
      <c r="J391" t="n">
        <v>-0.7319099999999999</v>
      </c>
      <c r="K391" t="n">
        <v>0.99731</v>
      </c>
      <c r="L391" t="n">
        <v>-0.64456</v>
      </c>
      <c r="M391" t="n">
        <v>0.83082</v>
      </c>
      <c r="N391" t="n">
        <v>-2.7526</v>
      </c>
      <c r="O391" t="n">
        <v>-0.38869</v>
      </c>
      <c r="P391" t="n">
        <v>0.053606</v>
      </c>
      <c r="Q391" t="n">
        <v>0.7249</v>
      </c>
      <c r="R391" t="n">
        <v>-0.50388</v>
      </c>
      <c r="S391" t="n">
        <v>-0.30797</v>
      </c>
      <c r="T391" t="n">
        <v>-0.44039</v>
      </c>
      <c r="U391" t="n">
        <v>-0.85265</v>
      </c>
      <c r="V391" t="n">
        <v>0.57582</v>
      </c>
      <c r="W391" t="n">
        <v>0.75004</v>
      </c>
      <c r="X391" t="n">
        <v>0.9236</v>
      </c>
      <c r="Y391" t="n">
        <v>-1.1786</v>
      </c>
      <c r="Z391" t="n">
        <v>0.096071</v>
      </c>
    </row>
    <row r="392">
      <c r="A392" t="inlineStr">
        <is>
          <t>character</t>
        </is>
      </c>
      <c r="B392" t="n">
        <v>0.5993000000000001</v>
      </c>
      <c r="C392" t="n">
        <v>-0.5586100000000001</v>
      </c>
      <c r="D392" t="n">
        <v>0.18074</v>
      </c>
      <c r="E392" t="n">
        <v>0.45625</v>
      </c>
      <c r="F392" t="n">
        <v>0.62302</v>
      </c>
      <c r="G392" t="n">
        <v>-0.40111</v>
      </c>
      <c r="H392" t="n">
        <v>1.4738</v>
      </c>
      <c r="I392" t="n">
        <v>-0.31692</v>
      </c>
      <c r="J392" t="n">
        <v>0.36197</v>
      </c>
      <c r="K392" t="n">
        <v>-1.3075</v>
      </c>
      <c r="L392" t="n">
        <v>0.096759</v>
      </c>
      <c r="M392" t="n">
        <v>0.86533</v>
      </c>
      <c r="N392" t="n">
        <v>-3.6391</v>
      </c>
      <c r="O392" t="n">
        <v>-0.024438</v>
      </c>
      <c r="P392" t="n">
        <v>0.28217</v>
      </c>
      <c r="Q392" t="n">
        <v>0.92142</v>
      </c>
      <c r="R392" t="n">
        <v>0.079902</v>
      </c>
      <c r="S392" t="n">
        <v>0.60671</v>
      </c>
      <c r="T392" t="n">
        <v>0.78855</v>
      </c>
      <c r="U392" t="n">
        <v>0.29486</v>
      </c>
      <c r="V392" t="n">
        <v>-0.40294</v>
      </c>
      <c r="W392" t="n">
        <v>0.75807</v>
      </c>
      <c r="X392" t="n">
        <v>-0.98066</v>
      </c>
      <c r="Y392" t="n">
        <v>-0.18989</v>
      </c>
      <c r="Z392" t="n">
        <v>-0.8555</v>
      </c>
    </row>
    <row r="393">
      <c r="A393" t="inlineStr">
        <is>
          <t>voteonedirection</t>
        </is>
      </c>
      <c r="B393" t="n">
        <v>0.45674</v>
      </c>
      <c r="C393" t="n">
        <v>0.99364</v>
      </c>
      <c r="D393" t="n">
        <v>-0.075806</v>
      </c>
      <c r="E393" t="n">
        <v>-1.2084</v>
      </c>
      <c r="F393" t="n">
        <v>-0.92855</v>
      </c>
      <c r="G393" t="n">
        <v>-1.5962</v>
      </c>
      <c r="H393" t="n">
        <v>0.33349</v>
      </c>
      <c r="I393" t="n">
        <v>0.019988</v>
      </c>
      <c r="J393" t="n">
        <v>-2.311</v>
      </c>
      <c r="K393" t="n">
        <v>-0.38732</v>
      </c>
      <c r="L393" t="n">
        <v>-0.60432</v>
      </c>
      <c r="M393" t="n">
        <v>-0.40936</v>
      </c>
      <c r="N393" t="n">
        <v>-1.32</v>
      </c>
      <c r="O393" t="n">
        <v>0.2985</v>
      </c>
      <c r="P393" t="n">
        <v>-0.60433</v>
      </c>
      <c r="Q393" t="n">
        <v>-0.32746</v>
      </c>
      <c r="R393" t="n">
        <v>-0.67447</v>
      </c>
      <c r="S393" t="n">
        <v>-1.1044</v>
      </c>
      <c r="T393" t="n">
        <v>-0.48085</v>
      </c>
      <c r="U393" t="n">
        <v>0.46858</v>
      </c>
      <c r="V393" t="n">
        <v>-0.37807</v>
      </c>
      <c r="W393" t="n">
        <v>0.2374</v>
      </c>
      <c r="X393" t="n">
        <v>-0.30761</v>
      </c>
      <c r="Y393" t="n">
        <v>-0.43761</v>
      </c>
      <c r="Z393" t="n">
        <v>-0.063055</v>
      </c>
    </row>
    <row r="394">
      <c r="A394" t="inlineStr">
        <is>
          <t>bother</t>
        </is>
      </c>
      <c r="B394" t="n">
        <v>-0.049382</v>
      </c>
      <c r="C394" t="n">
        <v>1.1073</v>
      </c>
      <c r="D394" t="n">
        <v>-0.21622</v>
      </c>
      <c r="E394" t="n">
        <v>0.087279</v>
      </c>
      <c r="F394" t="n">
        <v>-0.46545</v>
      </c>
      <c r="G394" t="n">
        <v>-0.12126</v>
      </c>
      <c r="H394" t="n">
        <v>1.2585</v>
      </c>
      <c r="I394" t="n">
        <v>-1.1725</v>
      </c>
      <c r="J394" t="n">
        <v>-0.20953</v>
      </c>
      <c r="K394" t="n">
        <v>0.22705</v>
      </c>
      <c r="L394" t="n">
        <v>-1.4609</v>
      </c>
      <c r="M394" t="n">
        <v>0.16459</v>
      </c>
      <c r="N394" t="n">
        <v>-3.6701</v>
      </c>
      <c r="O394" t="n">
        <v>-0.89951</v>
      </c>
      <c r="P394" t="n">
        <v>0.31589</v>
      </c>
      <c r="Q394" t="n">
        <v>1.3176</v>
      </c>
      <c r="R394" t="n">
        <v>-0.24859</v>
      </c>
      <c r="S394" t="n">
        <v>-0.72872</v>
      </c>
      <c r="T394" t="n">
        <v>0.076572</v>
      </c>
      <c r="U394" t="n">
        <v>-1.2781</v>
      </c>
      <c r="V394" t="n">
        <v>0.79221</v>
      </c>
      <c r="W394" t="n">
        <v>0.20692</v>
      </c>
      <c r="X394" t="n">
        <v>0.1219</v>
      </c>
      <c r="Y394" t="n">
        <v>0.7067</v>
      </c>
      <c r="Z394" t="n">
        <v>-0.85647</v>
      </c>
    </row>
    <row r="395">
      <c r="A395" t="inlineStr">
        <is>
          <t>exciting</t>
        </is>
      </c>
      <c r="B395" t="n">
        <v>-0.21138</v>
      </c>
      <c r="C395" t="n">
        <v>0.16162</v>
      </c>
      <c r="D395" t="n">
        <v>-0.19884</v>
      </c>
      <c r="E395" t="n">
        <v>-1.2013</v>
      </c>
      <c r="F395" t="n">
        <v>0.28798</v>
      </c>
      <c r="G395" t="n">
        <v>0.77517</v>
      </c>
      <c r="H395" t="n">
        <v>1.954</v>
      </c>
      <c r="I395" t="n">
        <v>-1.0524</v>
      </c>
      <c r="J395" t="n">
        <v>-0.45519</v>
      </c>
      <c r="K395" t="n">
        <v>-1.3961</v>
      </c>
      <c r="L395" t="n">
        <v>-0.51846</v>
      </c>
      <c r="M395" t="n">
        <v>0.42474</v>
      </c>
      <c r="N395" t="n">
        <v>-3.2391</v>
      </c>
      <c r="O395" t="n">
        <v>1.0122</v>
      </c>
      <c r="P395" t="n">
        <v>0.80343</v>
      </c>
      <c r="Q395" t="n">
        <v>0.19218</v>
      </c>
      <c r="R395" t="n">
        <v>0.50631</v>
      </c>
      <c r="S395" t="n">
        <v>-0.37094</v>
      </c>
      <c r="T395" t="n">
        <v>-0.37619</v>
      </c>
      <c r="U395" t="n">
        <v>-0.15522</v>
      </c>
      <c r="V395" t="n">
        <v>-0.89939</v>
      </c>
      <c r="W395" t="n">
        <v>-0.7648</v>
      </c>
      <c r="X395" t="n">
        <v>-0.99338</v>
      </c>
      <c r="Y395" t="n">
        <v>0.45151</v>
      </c>
      <c r="Z395" t="n">
        <v>-0.40039</v>
      </c>
    </row>
    <row r="396">
      <c r="A396" t="inlineStr">
        <is>
          <t>ando</t>
        </is>
      </c>
      <c r="B396" t="n">
        <v>0.46146</v>
      </c>
      <c r="C396" t="n">
        <v>-0.45291</v>
      </c>
      <c r="D396" t="n">
        <v>0.7819700000000001</v>
      </c>
      <c r="E396" t="n">
        <v>-0.8031199999999999</v>
      </c>
      <c r="F396" t="n">
        <v>-0.18365</v>
      </c>
      <c r="G396" t="n">
        <v>1.0616</v>
      </c>
      <c r="H396" t="n">
        <v>-0.37322</v>
      </c>
      <c r="I396" t="n">
        <v>1.1681</v>
      </c>
      <c r="J396" t="n">
        <v>-0.77433</v>
      </c>
      <c r="K396" t="n">
        <v>-0.4128</v>
      </c>
      <c r="L396" t="n">
        <v>-0.32747</v>
      </c>
      <c r="M396" t="n">
        <v>-2.3347</v>
      </c>
      <c r="N396" t="n">
        <v>-0.5597800000000001</v>
      </c>
      <c r="O396" t="n">
        <v>-0.91086</v>
      </c>
      <c r="P396" t="n">
        <v>0.70389</v>
      </c>
      <c r="Q396" t="n">
        <v>0.38989</v>
      </c>
      <c r="R396" t="n">
        <v>0.52627</v>
      </c>
      <c r="S396" t="n">
        <v>-0.0024799</v>
      </c>
      <c r="T396" t="n">
        <v>-0.14227</v>
      </c>
      <c r="U396" t="n">
        <v>-0.96638</v>
      </c>
      <c r="V396" t="n">
        <v>0.99435</v>
      </c>
      <c r="W396" t="n">
        <v>-0.69354</v>
      </c>
      <c r="X396" t="n">
        <v>0.97221</v>
      </c>
      <c r="Y396" t="n">
        <v>1.4221</v>
      </c>
      <c r="Z396" t="n">
        <v>0.33977</v>
      </c>
    </row>
    <row r="397">
      <c r="A397" t="inlineStr">
        <is>
          <t>chase</t>
        </is>
      </c>
      <c r="B397" t="n">
        <v>-0.5280899999999999</v>
      </c>
      <c r="C397" t="n">
        <v>1.0737</v>
      </c>
      <c r="D397" t="n">
        <v>-0.36008</v>
      </c>
      <c r="E397" t="n">
        <v>0.57722</v>
      </c>
      <c r="F397" t="n">
        <v>-1.0952</v>
      </c>
      <c r="G397" t="n">
        <v>0.10455</v>
      </c>
      <c r="H397" t="n">
        <v>0.39023</v>
      </c>
      <c r="I397" t="n">
        <v>-0.5443</v>
      </c>
      <c r="J397" t="n">
        <v>0.37025</v>
      </c>
      <c r="K397" t="n">
        <v>-0.42822</v>
      </c>
      <c r="L397" t="n">
        <v>0.0063389</v>
      </c>
      <c r="M397" t="n">
        <v>0.4186</v>
      </c>
      <c r="N397" t="n">
        <v>-3.5818</v>
      </c>
      <c r="O397" t="n">
        <v>-0.22671</v>
      </c>
      <c r="P397" t="n">
        <v>-0.11608</v>
      </c>
      <c r="Q397" t="n">
        <v>0.36709</v>
      </c>
      <c r="R397" t="n">
        <v>-0.20004</v>
      </c>
      <c r="S397" t="n">
        <v>-0.8464699999999999</v>
      </c>
      <c r="T397" t="n">
        <v>0.82879</v>
      </c>
      <c r="U397" t="n">
        <v>-0.051092</v>
      </c>
      <c r="V397" t="n">
        <v>0.40476</v>
      </c>
      <c r="W397" t="n">
        <v>0.23368</v>
      </c>
      <c r="X397" t="n">
        <v>0.74129</v>
      </c>
      <c r="Y397" t="n">
        <v>-0.8235</v>
      </c>
      <c r="Z397" t="n">
        <v>-0.13672</v>
      </c>
    </row>
    <row r="398">
      <c r="A398" t="inlineStr">
        <is>
          <t>catching</t>
        </is>
      </c>
      <c r="B398" t="n">
        <v>-0.14188</v>
      </c>
      <c r="C398" t="n">
        <v>0.88883</v>
      </c>
      <c r="D398" t="n">
        <v>1.3195</v>
      </c>
      <c r="E398" t="n">
        <v>0.57634</v>
      </c>
      <c r="F398" t="n">
        <v>-0.34837</v>
      </c>
      <c r="G398" t="n">
        <v>0.28797</v>
      </c>
      <c r="H398" t="n">
        <v>1.6101</v>
      </c>
      <c r="I398" t="n">
        <v>-0.39044</v>
      </c>
      <c r="J398" t="n">
        <v>-0.88626</v>
      </c>
      <c r="K398" t="n">
        <v>-0.75781</v>
      </c>
      <c r="L398" t="n">
        <v>-0.26042</v>
      </c>
      <c r="M398" t="n">
        <v>0.16898</v>
      </c>
      <c r="N398" t="n">
        <v>-2.5418</v>
      </c>
      <c r="O398" t="n">
        <v>0.10691</v>
      </c>
      <c r="P398" t="n">
        <v>0.72806</v>
      </c>
      <c r="Q398" t="n">
        <v>0.88389</v>
      </c>
      <c r="R398" t="n">
        <v>-0.1266</v>
      </c>
      <c r="S398" t="n">
        <v>-0.02555</v>
      </c>
      <c r="T398" t="n">
        <v>-0.10684</v>
      </c>
      <c r="U398" t="n">
        <v>-0.57038</v>
      </c>
      <c r="V398" t="n">
        <v>-0.87508</v>
      </c>
      <c r="W398" t="n">
        <v>0.25728</v>
      </c>
      <c r="X398" t="n">
        <v>0.60625</v>
      </c>
      <c r="Y398" t="n">
        <v>-0.54839</v>
      </c>
      <c r="Z398" t="n">
        <v>0.38058</v>
      </c>
    </row>
    <row r="399">
      <c r="A399" t="inlineStr">
        <is>
          <t>perfection</t>
        </is>
      </c>
      <c r="B399" t="n">
        <v>-0.68196</v>
      </c>
      <c r="C399" t="n">
        <v>-1.3351</v>
      </c>
      <c r="D399" t="n">
        <v>-0.88513</v>
      </c>
      <c r="E399" t="n">
        <v>0.73049</v>
      </c>
      <c r="F399" t="n">
        <v>0.089632</v>
      </c>
      <c r="G399" t="n">
        <v>-0.42095</v>
      </c>
      <c r="H399" t="n">
        <v>1.5046</v>
      </c>
      <c r="I399" t="n">
        <v>-0.43984</v>
      </c>
      <c r="J399" t="n">
        <v>-1.2864</v>
      </c>
      <c r="K399" t="n">
        <v>-0.85572</v>
      </c>
      <c r="L399" t="n">
        <v>-0.17841</v>
      </c>
      <c r="M399" t="n">
        <v>0.65621</v>
      </c>
      <c r="N399" t="n">
        <v>-2.8113</v>
      </c>
      <c r="O399" t="n">
        <v>-0.41474</v>
      </c>
      <c r="P399" t="n">
        <v>-0.13839</v>
      </c>
      <c r="Q399" t="n">
        <v>0.95237</v>
      </c>
      <c r="R399" t="n">
        <v>-0.81819</v>
      </c>
      <c r="S399" t="n">
        <v>0.18919</v>
      </c>
      <c r="T399" t="n">
        <v>-0.32499</v>
      </c>
      <c r="U399" t="n">
        <v>0.4941</v>
      </c>
      <c r="V399" t="n">
        <v>-0.13208</v>
      </c>
      <c r="W399" t="n">
        <v>0.31281</v>
      </c>
      <c r="X399" t="n">
        <v>-0.4686</v>
      </c>
      <c r="Y399" t="n">
        <v>0.10634</v>
      </c>
      <c r="Z399" t="n">
        <v>-0.47598</v>
      </c>
    </row>
    <row r="400">
      <c r="A400" t="inlineStr">
        <is>
          <t>prayers</t>
        </is>
      </c>
      <c r="B400" t="n">
        <v>-1.6185</v>
      </c>
      <c r="C400" t="n">
        <v>1.478</v>
      </c>
      <c r="D400" t="n">
        <v>-0.29737</v>
      </c>
      <c r="E400" t="n">
        <v>1.2488</v>
      </c>
      <c r="F400" t="n">
        <v>-0.71793</v>
      </c>
      <c r="G400" t="n">
        <v>-1.041</v>
      </c>
      <c r="H400" t="n">
        <v>1.504</v>
      </c>
      <c r="I400" t="n">
        <v>-0.37539</v>
      </c>
      <c r="J400" t="n">
        <v>-1.2056</v>
      </c>
      <c r="K400" t="n">
        <v>0.010382</v>
      </c>
      <c r="L400" t="n">
        <v>-0.72122</v>
      </c>
      <c r="M400" t="n">
        <v>0.56636</v>
      </c>
      <c r="N400" t="n">
        <v>-2.9864</v>
      </c>
      <c r="O400" t="n">
        <v>2.1311</v>
      </c>
      <c r="P400" t="n">
        <v>0.43137</v>
      </c>
      <c r="Q400" t="n">
        <v>-0.35664</v>
      </c>
      <c r="R400" t="n">
        <v>-0.09987699999999999</v>
      </c>
      <c r="S400" t="n">
        <v>-0.079206</v>
      </c>
      <c r="T400" t="n">
        <v>0.36781</v>
      </c>
      <c r="U400" t="n">
        <v>-0.71637</v>
      </c>
      <c r="V400" t="n">
        <v>0.69569</v>
      </c>
      <c r="W400" t="n">
        <v>-0.024503</v>
      </c>
      <c r="X400" t="n">
        <v>-0.43681</v>
      </c>
      <c r="Y400" t="n">
        <v>-0.53923</v>
      </c>
      <c r="Z400" t="n">
        <v>-0.56105</v>
      </c>
    </row>
    <row r="401">
      <c r="A401" t="inlineStr">
        <is>
          <t>charge</t>
        </is>
      </c>
      <c r="B401" t="n">
        <v>0.52018</v>
      </c>
      <c r="C401" t="n">
        <v>0.71569</v>
      </c>
      <c r="D401" t="n">
        <v>-0.43393</v>
      </c>
      <c r="E401" t="n">
        <v>-0.07048599999999999</v>
      </c>
      <c r="F401" t="n">
        <v>0.21289</v>
      </c>
      <c r="G401" t="n">
        <v>-0.09351</v>
      </c>
      <c r="H401" t="n">
        <v>-0.12033</v>
      </c>
      <c r="I401" t="n">
        <v>-0.49451</v>
      </c>
      <c r="J401" t="n">
        <v>1.1285</v>
      </c>
      <c r="K401" t="n">
        <v>1.0188</v>
      </c>
      <c r="L401" t="n">
        <v>0.27286</v>
      </c>
      <c r="M401" t="n">
        <v>0.33837</v>
      </c>
      <c r="N401" t="n">
        <v>-3.1479</v>
      </c>
      <c r="O401" t="n">
        <v>0.04399</v>
      </c>
      <c r="P401" t="n">
        <v>0.60497</v>
      </c>
      <c r="Q401" t="n">
        <v>0.71002</v>
      </c>
      <c r="R401" t="n">
        <v>0.62366</v>
      </c>
      <c r="S401" t="n">
        <v>-0.37529</v>
      </c>
      <c r="T401" t="n">
        <v>-0.65918</v>
      </c>
      <c r="U401" t="n">
        <v>-1.0838</v>
      </c>
      <c r="V401" t="n">
        <v>-0.054417</v>
      </c>
      <c r="W401" t="n">
        <v>-0.5003300000000001</v>
      </c>
      <c r="X401" t="n">
        <v>0.86459</v>
      </c>
      <c r="Y401" t="n">
        <v>-0.20472</v>
      </c>
      <c r="Z401" t="n">
        <v>-0.9137</v>
      </c>
    </row>
    <row r="402">
      <c r="A402" t="inlineStr">
        <is>
          <t>cooking</t>
        </is>
      </c>
      <c r="B402" t="n">
        <v>-1.1888</v>
      </c>
      <c r="C402" t="n">
        <v>1.153</v>
      </c>
      <c r="D402" t="n">
        <v>0.66922</v>
      </c>
      <c r="E402" t="n">
        <v>0.62743</v>
      </c>
      <c r="F402" t="n">
        <v>0.9489300000000001</v>
      </c>
      <c r="G402" t="n">
        <v>0.46621</v>
      </c>
      <c r="H402" t="n">
        <v>1.1505</v>
      </c>
      <c r="I402" t="n">
        <v>-1.8302</v>
      </c>
      <c r="J402" t="n">
        <v>0.4669</v>
      </c>
      <c r="K402" t="n">
        <v>-0.16438</v>
      </c>
      <c r="L402" t="n">
        <v>0.18825</v>
      </c>
      <c r="M402" t="n">
        <v>-0.16127</v>
      </c>
      <c r="N402" t="n">
        <v>-3.1952</v>
      </c>
      <c r="O402" t="n">
        <v>-1.0819</v>
      </c>
      <c r="P402" t="n">
        <v>0.48869</v>
      </c>
      <c r="Q402" t="n">
        <v>-0.5520699999999999</v>
      </c>
      <c r="R402" t="n">
        <v>1.1058</v>
      </c>
      <c r="S402" t="n">
        <v>-0.75737</v>
      </c>
      <c r="T402" t="n">
        <v>-0.3993</v>
      </c>
      <c r="U402" t="n">
        <v>-0.11797</v>
      </c>
      <c r="V402" t="n">
        <v>0.012328</v>
      </c>
      <c r="W402" t="n">
        <v>0.22247</v>
      </c>
      <c r="X402" t="n">
        <v>-1.2079</v>
      </c>
      <c r="Y402" t="n">
        <v>0.49736</v>
      </c>
      <c r="Z402" t="n">
        <v>1.2224</v>
      </c>
    </row>
    <row r="403">
      <c r="A403" t="inlineStr">
        <is>
          <t>cree</t>
        </is>
      </c>
      <c r="B403" t="n">
        <v>0.14631</v>
      </c>
      <c r="C403" t="n">
        <v>-0.46585</v>
      </c>
      <c r="D403" t="n">
        <v>-1.0532</v>
      </c>
      <c r="E403" t="n">
        <v>0.11571</v>
      </c>
      <c r="F403" t="n">
        <v>0.059106</v>
      </c>
      <c r="G403" t="n">
        <v>-0.17811</v>
      </c>
      <c r="H403" t="n">
        <v>-0.53928</v>
      </c>
      <c r="I403" t="n">
        <v>2.7425</v>
      </c>
      <c r="J403" t="n">
        <v>-0.11212</v>
      </c>
      <c r="K403" t="n">
        <v>-1.0574</v>
      </c>
      <c r="L403" t="n">
        <v>0.7018</v>
      </c>
      <c r="M403" t="n">
        <v>-2.0726</v>
      </c>
      <c r="N403" t="n">
        <v>-1.6726</v>
      </c>
      <c r="O403" t="n">
        <v>-0.66355</v>
      </c>
      <c r="P403" t="n">
        <v>0.98629</v>
      </c>
      <c r="Q403" t="n">
        <v>0.76085</v>
      </c>
      <c r="R403" t="n">
        <v>-0.13439</v>
      </c>
      <c r="S403" t="n">
        <v>0.59498</v>
      </c>
      <c r="T403" t="n">
        <v>1.0344</v>
      </c>
      <c r="U403" t="n">
        <v>-0.089771</v>
      </c>
      <c r="V403" t="n">
        <v>1.855</v>
      </c>
      <c r="W403" t="n">
        <v>0.09481100000000001</v>
      </c>
      <c r="X403" t="n">
        <v>0.31325</v>
      </c>
      <c r="Y403" t="n">
        <v>-0.10865</v>
      </c>
      <c r="Z403" t="n">
        <v>-0.56098</v>
      </c>
    </row>
    <row r="404">
      <c r="A404" t="inlineStr">
        <is>
          <t>ficou</t>
        </is>
      </c>
      <c r="B404" t="n">
        <v>0.90637</v>
      </c>
      <c r="C404" t="n">
        <v>-1.9371</v>
      </c>
      <c r="D404" t="n">
        <v>1.6916</v>
      </c>
      <c r="E404" t="n">
        <v>-1.1762</v>
      </c>
      <c r="F404" t="n">
        <v>0.73085</v>
      </c>
      <c r="G404" t="n">
        <v>-0.27423</v>
      </c>
      <c r="H404" t="n">
        <v>-0.43595</v>
      </c>
      <c r="I404" t="n">
        <v>0.79003</v>
      </c>
      <c r="J404" t="n">
        <v>1.1644</v>
      </c>
      <c r="K404" t="n">
        <v>-1.6156</v>
      </c>
      <c r="L404" t="n">
        <v>-0.6079</v>
      </c>
      <c r="M404" t="n">
        <v>-1.7682</v>
      </c>
      <c r="N404" t="n">
        <v>-1.0059</v>
      </c>
      <c r="O404" t="n">
        <v>-1.7537</v>
      </c>
      <c r="P404" t="n">
        <v>-0.42298</v>
      </c>
      <c r="Q404" t="n">
        <v>-0.71652</v>
      </c>
      <c r="R404" t="n">
        <v>-1.6655</v>
      </c>
      <c r="S404" t="n">
        <v>0.22995</v>
      </c>
      <c r="T404" t="n">
        <v>-1.1579</v>
      </c>
      <c r="U404" t="n">
        <v>-1.3828</v>
      </c>
      <c r="V404" t="n">
        <v>0.1788</v>
      </c>
      <c r="W404" t="n">
        <v>1.0548</v>
      </c>
      <c r="X404" t="n">
        <v>0.97006</v>
      </c>
      <c r="Y404" t="n">
        <v>1.2204</v>
      </c>
      <c r="Z404" t="n">
        <v>-0.03322</v>
      </c>
    </row>
    <row r="405">
      <c r="A405" t="inlineStr">
        <is>
          <t>autofollow</t>
        </is>
      </c>
      <c r="B405" t="n">
        <v>0.54793</v>
      </c>
      <c r="C405" t="n">
        <v>1.5681</v>
      </c>
      <c r="D405" t="n">
        <v>-2.2203</v>
      </c>
      <c r="E405" t="n">
        <v>-1.3572</v>
      </c>
      <c r="F405" t="n">
        <v>-0.050302</v>
      </c>
      <c r="G405" t="n">
        <v>-0.97884</v>
      </c>
      <c r="H405" t="n">
        <v>-0.17517</v>
      </c>
      <c r="I405" t="n">
        <v>0.96923</v>
      </c>
      <c r="J405" t="n">
        <v>-0.84667</v>
      </c>
      <c r="K405" t="n">
        <v>0.1974</v>
      </c>
      <c r="L405" t="n">
        <v>-0.43583</v>
      </c>
      <c r="M405" t="n">
        <v>0.9698</v>
      </c>
      <c r="N405" t="n">
        <v>-0.9409</v>
      </c>
      <c r="O405" t="n">
        <v>-0.88472</v>
      </c>
      <c r="P405" t="n">
        <v>-1.9938</v>
      </c>
      <c r="Q405" t="n">
        <v>0.47373</v>
      </c>
      <c r="R405" t="n">
        <v>-0.7033199999999999</v>
      </c>
      <c r="S405" t="n">
        <v>-1.4002</v>
      </c>
      <c r="T405" t="n">
        <v>-0.23695</v>
      </c>
      <c r="U405" t="n">
        <v>0.72636</v>
      </c>
      <c r="V405" t="n">
        <v>-0.72461</v>
      </c>
      <c r="W405" t="n">
        <v>-2.3139</v>
      </c>
      <c r="X405" t="n">
        <v>0.28829</v>
      </c>
      <c r="Y405" t="n">
        <v>-0.17118</v>
      </c>
      <c r="Z405" t="n">
        <v>0.41051</v>
      </c>
    </row>
    <row r="406">
      <c r="A406" t="inlineStr">
        <is>
          <t>inch</t>
        </is>
      </c>
      <c r="B406" t="n">
        <v>-0.30785</v>
      </c>
      <c r="C406" t="n">
        <v>-0.8442</v>
      </c>
      <c r="D406" t="n">
        <v>0.24157</v>
      </c>
      <c r="E406" t="n">
        <v>-0.43176</v>
      </c>
      <c r="F406" t="n">
        <v>0.53846</v>
      </c>
      <c r="G406" t="n">
        <v>0.6414800000000001</v>
      </c>
      <c r="H406" t="n">
        <v>-0.66965</v>
      </c>
      <c r="I406" t="n">
        <v>-0.65173</v>
      </c>
      <c r="J406" t="n">
        <v>1.6916</v>
      </c>
      <c r="K406" t="n">
        <v>0.064637</v>
      </c>
      <c r="L406" t="n">
        <v>0.78015</v>
      </c>
      <c r="M406" t="n">
        <v>0.4788</v>
      </c>
      <c r="N406" t="n">
        <v>-3.4494</v>
      </c>
      <c r="O406" t="n">
        <v>-0.39287</v>
      </c>
      <c r="P406" t="n">
        <v>-0.53042</v>
      </c>
      <c r="Q406" t="n">
        <v>-0.47287</v>
      </c>
      <c r="R406" t="n">
        <v>0.80106</v>
      </c>
      <c r="S406" t="n">
        <v>0.84209</v>
      </c>
      <c r="T406" t="n">
        <v>0.31236</v>
      </c>
      <c r="U406" t="n">
        <v>0.88059</v>
      </c>
      <c r="V406" t="n">
        <v>-1.5734</v>
      </c>
      <c r="W406" t="n">
        <v>-0.16045</v>
      </c>
      <c r="X406" t="n">
        <v>1.7212</v>
      </c>
      <c r="Y406" t="n">
        <v>0.33617</v>
      </c>
      <c r="Z406" t="n">
        <v>-0.97421</v>
      </c>
    </row>
    <row r="407">
      <c r="A407" t="inlineStr">
        <is>
          <t>olympic</t>
        </is>
      </c>
      <c r="B407" t="n">
        <v>-0.22994</v>
      </c>
      <c r="C407" t="n">
        <v>-0.020158</v>
      </c>
      <c r="D407" t="n">
        <v>0.093238</v>
      </c>
      <c r="E407" t="n">
        <v>-1.4939</v>
      </c>
      <c r="F407" t="n">
        <v>-0.0025367</v>
      </c>
      <c r="G407" t="n">
        <v>-0.28751</v>
      </c>
      <c r="H407" t="n">
        <v>1.2029</v>
      </c>
      <c r="I407" t="n">
        <v>-0.66309</v>
      </c>
      <c r="J407" t="n">
        <v>0.23475</v>
      </c>
      <c r="K407" t="n">
        <v>-0.88302</v>
      </c>
      <c r="L407" t="n">
        <v>0.68752</v>
      </c>
      <c r="M407" t="n">
        <v>0.33463</v>
      </c>
      <c r="N407" t="n">
        <v>-3.172</v>
      </c>
      <c r="O407" t="n">
        <v>1.1436</v>
      </c>
      <c r="P407" t="n">
        <v>0.048702</v>
      </c>
      <c r="Q407" t="n">
        <v>0.032824</v>
      </c>
      <c r="R407" t="n">
        <v>-0.098118</v>
      </c>
      <c r="S407" t="n">
        <v>-0.65373</v>
      </c>
      <c r="T407" t="n">
        <v>-0.039682</v>
      </c>
      <c r="U407" t="n">
        <v>0.59613</v>
      </c>
      <c r="V407" t="n">
        <v>-1.7214</v>
      </c>
      <c r="W407" t="n">
        <v>0.91132</v>
      </c>
      <c r="X407" t="n">
        <v>0.053109</v>
      </c>
      <c r="Y407" t="n">
        <v>-1.8862</v>
      </c>
      <c r="Z407" t="n">
        <v>-0.14287</v>
      </c>
    </row>
    <row r="408">
      <c r="A408" t="inlineStr">
        <is>
          <t>sunshine</t>
        </is>
      </c>
      <c r="B408" t="n">
        <v>-2.1705</v>
      </c>
      <c r="C408" t="n">
        <v>-0.60799</v>
      </c>
      <c r="D408" t="n">
        <v>0.0086593</v>
      </c>
      <c r="E408" t="n">
        <v>0.62832</v>
      </c>
      <c r="F408" t="n">
        <v>-1.3159</v>
      </c>
      <c r="G408" t="n">
        <v>0.092958</v>
      </c>
      <c r="H408" t="n">
        <v>1.6931</v>
      </c>
      <c r="I408" t="n">
        <v>-0.33576</v>
      </c>
      <c r="J408" t="n">
        <v>-0.91725</v>
      </c>
      <c r="K408" t="n">
        <v>-0.31463</v>
      </c>
      <c r="L408" t="n">
        <v>-0.54184</v>
      </c>
      <c r="M408" t="n">
        <v>-0.0057657</v>
      </c>
      <c r="N408" t="n">
        <v>-2.7501</v>
      </c>
      <c r="O408" t="n">
        <v>0.35592</v>
      </c>
      <c r="P408" t="n">
        <v>-0.5376300000000001</v>
      </c>
      <c r="Q408" t="n">
        <v>-0.51698</v>
      </c>
      <c r="R408" t="n">
        <v>-0.0042491</v>
      </c>
      <c r="S408" t="n">
        <v>-0.36356</v>
      </c>
      <c r="T408" t="n">
        <v>0.41174</v>
      </c>
      <c r="U408" t="n">
        <v>0.48358</v>
      </c>
      <c r="V408" t="n">
        <v>-0.64938</v>
      </c>
      <c r="W408" t="n">
        <v>-0.86609</v>
      </c>
      <c r="X408" t="n">
        <v>0.53595</v>
      </c>
      <c r="Y408" t="n">
        <v>0.88383</v>
      </c>
      <c r="Z408" t="n">
        <v>-0.26391</v>
      </c>
    </row>
    <row r="409">
      <c r="A409" t="inlineStr">
        <is>
          <t>oficial</t>
        </is>
      </c>
      <c r="B409" t="n">
        <v>0.32986</v>
      </c>
      <c r="C409" t="n">
        <v>0.21502</v>
      </c>
      <c r="D409" t="n">
        <v>0.51164</v>
      </c>
      <c r="E409" t="n">
        <v>-0.99885</v>
      </c>
      <c r="F409" t="n">
        <v>1.7546</v>
      </c>
      <c r="G409" t="n">
        <v>-0.98148</v>
      </c>
      <c r="H409" t="n">
        <v>-0.50058</v>
      </c>
      <c r="I409" t="n">
        <v>2.1968</v>
      </c>
      <c r="J409" t="n">
        <v>0.32712</v>
      </c>
      <c r="K409" t="n">
        <v>-1.818</v>
      </c>
      <c r="L409" t="n">
        <v>0.34192</v>
      </c>
      <c r="M409" t="n">
        <v>-1.0871</v>
      </c>
      <c r="N409" t="n">
        <v>-1.1924</v>
      </c>
      <c r="O409" t="n">
        <v>-0.5586100000000001</v>
      </c>
      <c r="P409" t="n">
        <v>0.26587</v>
      </c>
      <c r="Q409" t="n">
        <v>-0.15983</v>
      </c>
      <c r="R409" t="n">
        <v>-1.0735</v>
      </c>
      <c r="S409" t="n">
        <v>0.8041199999999999</v>
      </c>
      <c r="T409" t="n">
        <v>0.24786</v>
      </c>
      <c r="U409" t="n">
        <v>-0.16339</v>
      </c>
      <c r="V409" t="n">
        <v>-0.27615</v>
      </c>
      <c r="W409" t="n">
        <v>-0.9690299999999999</v>
      </c>
      <c r="X409" t="n">
        <v>0.47595</v>
      </c>
      <c r="Y409" t="n">
        <v>-0.76279</v>
      </c>
      <c r="Z409" t="n">
        <v>0.9730799999999999</v>
      </c>
    </row>
    <row r="410">
      <c r="A410" t="inlineStr">
        <is>
          <t>threw</t>
        </is>
      </c>
      <c r="B410" t="n">
        <v>-0.33219</v>
      </c>
      <c r="C410" t="n">
        <v>0.73081</v>
      </c>
      <c r="D410" t="n">
        <v>1.8742</v>
      </c>
      <c r="E410" t="n">
        <v>0.6127</v>
      </c>
      <c r="F410" t="n">
        <v>-0.57258</v>
      </c>
      <c r="G410" t="n">
        <v>0.21694</v>
      </c>
      <c r="H410" t="n">
        <v>0.28674</v>
      </c>
      <c r="I410" t="n">
        <v>-1.0554</v>
      </c>
      <c r="J410" t="n">
        <v>-0.24754</v>
      </c>
      <c r="K410" t="n">
        <v>0.40661</v>
      </c>
      <c r="L410" t="n">
        <v>0.36412</v>
      </c>
      <c r="M410" t="n">
        <v>1.0776</v>
      </c>
      <c r="N410" t="n">
        <v>-3.7693</v>
      </c>
      <c r="O410" t="n">
        <v>-0.16704</v>
      </c>
      <c r="P410" t="n">
        <v>0.41351</v>
      </c>
      <c r="Q410" t="n">
        <v>0.18943</v>
      </c>
      <c r="R410" t="n">
        <v>0.97106</v>
      </c>
      <c r="S410" t="n">
        <v>-0.61577</v>
      </c>
      <c r="T410" t="n">
        <v>-0.17089</v>
      </c>
      <c r="U410" t="n">
        <v>-0.46628</v>
      </c>
      <c r="V410" t="n">
        <v>0.14432</v>
      </c>
      <c r="W410" t="n">
        <v>0.99998</v>
      </c>
      <c r="X410" t="n">
        <v>1.9091</v>
      </c>
      <c r="Y410" t="n">
        <v>-0.33152</v>
      </c>
      <c r="Z410" t="n">
        <v>-0.40875</v>
      </c>
    </row>
    <row r="411">
      <c r="A411" t="inlineStr">
        <is>
          <t>wishes</t>
        </is>
      </c>
      <c r="B411" t="n">
        <v>-0.78888</v>
      </c>
      <c r="C411" t="n">
        <v>1.0303</v>
      </c>
      <c r="D411" t="n">
        <v>-0.02858</v>
      </c>
      <c r="E411" t="n">
        <v>0.29035</v>
      </c>
      <c r="F411" t="n">
        <v>-0.50543</v>
      </c>
      <c r="G411" t="n">
        <v>-0.66286</v>
      </c>
      <c r="H411" t="n">
        <v>1.4177</v>
      </c>
      <c r="I411" t="n">
        <v>-0.17694</v>
      </c>
      <c r="J411" t="n">
        <v>-0.94035</v>
      </c>
      <c r="K411" t="n">
        <v>-0.3166</v>
      </c>
      <c r="L411" t="n">
        <v>0.39662</v>
      </c>
      <c r="M411" t="n">
        <v>0.33048</v>
      </c>
      <c r="N411" t="n">
        <v>-2.7048</v>
      </c>
      <c r="O411" t="n">
        <v>0.99151</v>
      </c>
      <c r="P411" t="n">
        <v>-0.93558</v>
      </c>
      <c r="Q411" t="n">
        <v>-0.37604</v>
      </c>
      <c r="R411" t="n">
        <v>0.13757</v>
      </c>
      <c r="S411" t="n">
        <v>-0.96892</v>
      </c>
      <c r="T411" t="n">
        <v>0.4</v>
      </c>
      <c r="U411" t="n">
        <v>-0.066077</v>
      </c>
      <c r="V411" t="n">
        <v>-0.34232</v>
      </c>
      <c r="W411" t="n">
        <v>0.1138</v>
      </c>
      <c r="X411" t="n">
        <v>-1.5883</v>
      </c>
      <c r="Y411" t="n">
        <v>0.71941</v>
      </c>
      <c r="Z411" t="n">
        <v>-0.47296</v>
      </c>
    </row>
    <row r="412">
      <c r="A412" t="inlineStr">
        <is>
          <t>cheat</t>
        </is>
      </c>
      <c r="B412" t="n">
        <v>1.0233</v>
      </c>
      <c r="C412" t="n">
        <v>1.1347</v>
      </c>
      <c r="D412" t="n">
        <v>-0.5439000000000001</v>
      </c>
      <c r="E412" t="n">
        <v>-0.079916</v>
      </c>
      <c r="F412" t="n">
        <v>0.24283</v>
      </c>
      <c r="G412" t="n">
        <v>-0.18221</v>
      </c>
      <c r="H412" t="n">
        <v>0.81109</v>
      </c>
      <c r="I412" t="n">
        <v>-0.60676</v>
      </c>
      <c r="J412" t="n">
        <v>0.27278</v>
      </c>
      <c r="K412" t="n">
        <v>0.33868</v>
      </c>
      <c r="L412" t="n">
        <v>-0.13178</v>
      </c>
      <c r="M412" t="n">
        <v>0.52401</v>
      </c>
      <c r="N412" t="n">
        <v>-3.1163</v>
      </c>
      <c r="O412" t="n">
        <v>-0.79226</v>
      </c>
      <c r="P412" t="n">
        <v>-0.43626</v>
      </c>
      <c r="Q412" t="n">
        <v>1.4268</v>
      </c>
      <c r="R412" t="n">
        <v>0.37052</v>
      </c>
      <c r="S412" t="n">
        <v>-1.14</v>
      </c>
      <c r="T412" t="n">
        <v>0.9847</v>
      </c>
      <c r="U412" t="n">
        <v>-0.68758</v>
      </c>
      <c r="V412" t="n">
        <v>0.24271</v>
      </c>
      <c r="W412" t="n">
        <v>0.74318</v>
      </c>
      <c r="X412" t="n">
        <v>0.073489</v>
      </c>
      <c r="Y412" t="n">
        <v>-0.38298</v>
      </c>
      <c r="Z412" t="n">
        <v>-0.45715</v>
      </c>
    </row>
    <row r="413">
      <c r="A413" t="inlineStr">
        <is>
          <t>hemos</t>
        </is>
      </c>
      <c r="B413" t="n">
        <v>1.011</v>
      </c>
      <c r="C413" t="n">
        <v>0.52567</v>
      </c>
      <c r="D413" t="n">
        <v>0.48863</v>
      </c>
      <c r="E413" t="n">
        <v>-1.2974</v>
      </c>
      <c r="F413" t="n">
        <v>0.409</v>
      </c>
      <c r="G413" t="n">
        <v>0.16325</v>
      </c>
      <c r="H413" t="n">
        <v>-0.70609</v>
      </c>
      <c r="I413" t="n">
        <v>1.9206</v>
      </c>
      <c r="J413" t="n">
        <v>-1.3831</v>
      </c>
      <c r="K413" t="n">
        <v>-1.4529</v>
      </c>
      <c r="L413" t="n">
        <v>1.4376</v>
      </c>
      <c r="M413" t="n">
        <v>-2.4645</v>
      </c>
      <c r="N413" t="n">
        <v>-0.68545</v>
      </c>
      <c r="O413" t="n">
        <v>1.7388</v>
      </c>
      <c r="P413" t="n">
        <v>1.0487</v>
      </c>
      <c r="Q413" t="n">
        <v>0.18372</v>
      </c>
      <c r="R413" t="n">
        <v>0.91561</v>
      </c>
      <c r="S413" t="n">
        <v>0.87203</v>
      </c>
      <c r="T413" t="n">
        <v>0.34188</v>
      </c>
      <c r="U413" t="n">
        <v>-1.0226</v>
      </c>
      <c r="V413" t="n">
        <v>0.71372</v>
      </c>
      <c r="W413" t="n">
        <v>0.46768</v>
      </c>
      <c r="X413" t="n">
        <v>0.044681</v>
      </c>
      <c r="Y413" t="n">
        <v>0.85227</v>
      </c>
      <c r="Z413" t="n">
        <v>0.38805</v>
      </c>
    </row>
    <row r="414">
      <c r="A414" t="inlineStr">
        <is>
          <t>tongue</t>
        </is>
      </c>
      <c r="B414" t="n">
        <v>-0.71957</v>
      </c>
      <c r="C414" t="n">
        <v>-0.48157</v>
      </c>
      <c r="D414" t="n">
        <v>0.039795</v>
      </c>
      <c r="E414" t="n">
        <v>1.5783</v>
      </c>
      <c r="F414" t="n">
        <v>0.57839</v>
      </c>
      <c r="G414" t="n">
        <v>0.077249</v>
      </c>
      <c r="H414" t="n">
        <v>1.167</v>
      </c>
      <c r="I414" t="n">
        <v>-0.92575</v>
      </c>
      <c r="J414" t="n">
        <v>0.10819</v>
      </c>
      <c r="K414" t="n">
        <v>0.84262</v>
      </c>
      <c r="L414" t="n">
        <v>0.24146</v>
      </c>
      <c r="M414" t="n">
        <v>1.0826</v>
      </c>
      <c r="N414" t="n">
        <v>-3.0011</v>
      </c>
      <c r="O414" t="n">
        <v>-0.61163</v>
      </c>
      <c r="P414" t="n">
        <v>-0.75578</v>
      </c>
      <c r="Q414" t="n">
        <v>0.4324</v>
      </c>
      <c r="R414" t="n">
        <v>0.29718</v>
      </c>
      <c r="S414" t="n">
        <v>-0.15495</v>
      </c>
      <c r="T414" t="n">
        <v>0.15427</v>
      </c>
      <c r="U414" t="n">
        <v>-0.47429</v>
      </c>
      <c r="V414" t="n">
        <v>-0.10542</v>
      </c>
      <c r="W414" t="n">
        <v>1.6224</v>
      </c>
      <c r="X414" t="n">
        <v>1.6538</v>
      </c>
      <c r="Y414" t="n">
        <v>0.46404</v>
      </c>
      <c r="Z414" t="n">
        <v>-0.32146</v>
      </c>
    </row>
    <row r="415">
      <c r="A415" t="inlineStr">
        <is>
          <t>personality</t>
        </is>
      </c>
      <c r="B415" t="n">
        <v>0.009238400000000001</v>
      </c>
      <c r="C415" t="n">
        <v>-1.3353</v>
      </c>
      <c r="D415" t="n">
        <v>-0.78732</v>
      </c>
      <c r="E415" t="n">
        <v>0.31797</v>
      </c>
      <c r="F415" t="n">
        <v>1.3224</v>
      </c>
      <c r="G415" t="n">
        <v>0.6224</v>
      </c>
      <c r="H415" t="n">
        <v>1.5364</v>
      </c>
      <c r="I415" t="n">
        <v>-0.77949</v>
      </c>
      <c r="J415" t="n">
        <v>-0.24777</v>
      </c>
      <c r="K415" t="n">
        <v>-0.56824</v>
      </c>
      <c r="L415" t="n">
        <v>-0.38105</v>
      </c>
      <c r="M415" t="n">
        <v>1.1123</v>
      </c>
      <c r="N415" t="n">
        <v>-3.1835</v>
      </c>
      <c r="O415" t="n">
        <v>0.2048</v>
      </c>
      <c r="P415" t="n">
        <v>-0.18553</v>
      </c>
      <c r="Q415" t="n">
        <v>1.1082</v>
      </c>
      <c r="R415" t="n">
        <v>-0.097798</v>
      </c>
      <c r="S415" t="n">
        <v>-0.21224</v>
      </c>
      <c r="T415" t="n">
        <v>0.87033</v>
      </c>
      <c r="U415" t="n">
        <v>0.51705</v>
      </c>
      <c r="V415" t="n">
        <v>0.58875</v>
      </c>
      <c r="W415" t="n">
        <v>0.49177</v>
      </c>
      <c r="X415" t="n">
        <v>-0.22153</v>
      </c>
      <c r="Y415" t="n">
        <v>0.096806</v>
      </c>
      <c r="Z415" t="n">
        <v>-1.7314</v>
      </c>
    </row>
    <row r="416">
      <c r="A416" t="inlineStr">
        <is>
          <t>wasnt</t>
        </is>
      </c>
      <c r="B416" t="n">
        <v>-0.19723</v>
      </c>
      <c r="C416" t="n">
        <v>1.2209</v>
      </c>
      <c r="D416" t="n">
        <v>0.98832</v>
      </c>
      <c r="E416" t="n">
        <v>-0.8839399999999999</v>
      </c>
      <c r="F416" t="n">
        <v>-0.22959</v>
      </c>
      <c r="G416" t="n">
        <v>0.18633</v>
      </c>
      <c r="H416" t="n">
        <v>0.41597</v>
      </c>
      <c r="I416" t="n">
        <v>-0.84471</v>
      </c>
      <c r="J416" t="n">
        <v>-0.86304</v>
      </c>
      <c r="K416" t="n">
        <v>0.081498</v>
      </c>
      <c r="L416" t="n">
        <v>-0.74442</v>
      </c>
      <c r="M416" t="n">
        <v>1.1758</v>
      </c>
      <c r="N416" t="n">
        <v>-3.9853</v>
      </c>
      <c r="O416" t="n">
        <v>-0.32586</v>
      </c>
      <c r="P416" t="n">
        <v>0.52534</v>
      </c>
      <c r="Q416" t="n">
        <v>0.90485</v>
      </c>
      <c r="R416" t="n">
        <v>0.60356</v>
      </c>
      <c r="S416" t="n">
        <v>0.28288</v>
      </c>
      <c r="T416" t="n">
        <v>-0.23017</v>
      </c>
      <c r="U416" t="n">
        <v>-0.49614</v>
      </c>
      <c r="V416" t="n">
        <v>1.3228</v>
      </c>
      <c r="W416" t="n">
        <v>0.81028</v>
      </c>
      <c r="X416" t="n">
        <v>0.40374</v>
      </c>
      <c r="Y416" t="n">
        <v>0.62913</v>
      </c>
      <c r="Z416" t="n">
        <v>-0.28538</v>
      </c>
    </row>
    <row r="417">
      <c r="A417" t="inlineStr">
        <is>
          <t>fi</t>
        </is>
      </c>
      <c r="B417" t="n">
        <v>0.18764</v>
      </c>
      <c r="C417" t="n">
        <v>0.84045</v>
      </c>
      <c r="D417" t="n">
        <v>-0.55691</v>
      </c>
      <c r="E417" t="n">
        <v>0.3193</v>
      </c>
      <c r="F417" t="n">
        <v>-0.1961</v>
      </c>
      <c r="G417" t="n">
        <v>-0.28057</v>
      </c>
      <c r="H417" t="n">
        <v>-0.8254899999999999</v>
      </c>
      <c r="I417" t="n">
        <v>0.5897</v>
      </c>
      <c r="J417" t="n">
        <v>1.232</v>
      </c>
      <c r="K417" t="n">
        <v>0.5505100000000001</v>
      </c>
      <c r="L417" t="n">
        <v>-1.2362</v>
      </c>
      <c r="M417" t="n">
        <v>-0.68201</v>
      </c>
      <c r="N417" t="n">
        <v>-2.6688</v>
      </c>
      <c r="O417" t="n">
        <v>-0.1401</v>
      </c>
      <c r="P417" t="n">
        <v>-0.15518</v>
      </c>
      <c r="Q417" t="n">
        <v>-0.12508</v>
      </c>
      <c r="R417" t="n">
        <v>0.51831</v>
      </c>
      <c r="S417" t="n">
        <v>-0.10848</v>
      </c>
      <c r="T417" t="n">
        <v>-0.27978</v>
      </c>
      <c r="U417" t="n">
        <v>-0.07302500000000001</v>
      </c>
      <c r="V417" t="n">
        <v>0.14975</v>
      </c>
      <c r="W417" t="n">
        <v>0.51268</v>
      </c>
      <c r="X417" t="n">
        <v>0.21699</v>
      </c>
      <c r="Y417" t="n">
        <v>0.96505</v>
      </c>
      <c r="Z417" t="n">
        <v>0.2662</v>
      </c>
    </row>
    <row r="418">
      <c r="A418" t="inlineStr">
        <is>
          <t>although</t>
        </is>
      </c>
      <c r="B418" t="n">
        <v>-0.47981</v>
      </c>
      <c r="C418" t="n">
        <v>-0.24958</v>
      </c>
      <c r="D418" t="n">
        <v>-0.5352</v>
      </c>
      <c r="E418" t="n">
        <v>-0.24695</v>
      </c>
      <c r="F418" t="n">
        <v>-0.74497</v>
      </c>
      <c r="G418" t="n">
        <v>0.79271</v>
      </c>
      <c r="H418" t="n">
        <v>1.5165</v>
      </c>
      <c r="I418" t="n">
        <v>-1.0668</v>
      </c>
      <c r="J418" t="n">
        <v>-0.47177</v>
      </c>
      <c r="K418" t="n">
        <v>-0.63945</v>
      </c>
      <c r="L418" t="n">
        <v>-0.28092</v>
      </c>
      <c r="M418" t="n">
        <v>0.44515</v>
      </c>
      <c r="N418" t="n">
        <v>-3.3474</v>
      </c>
      <c r="O418" t="n">
        <v>0.85392</v>
      </c>
      <c r="P418" t="n">
        <v>0.61478</v>
      </c>
      <c r="Q418" t="n">
        <v>0.38608</v>
      </c>
      <c r="R418" t="n">
        <v>0.39716</v>
      </c>
      <c r="S418" t="n">
        <v>-0.18092</v>
      </c>
      <c r="T418" t="n">
        <v>0.54161</v>
      </c>
      <c r="U418" t="n">
        <v>-0.88767</v>
      </c>
      <c r="V418" t="n">
        <v>0.27453</v>
      </c>
      <c r="W418" t="n">
        <v>-0.15111</v>
      </c>
      <c r="X418" t="n">
        <v>-0.6664600000000001</v>
      </c>
      <c r="Y418" t="n">
        <v>0.6024</v>
      </c>
      <c r="Z418" t="n">
        <v>-1.1117</v>
      </c>
    </row>
    <row r="419">
      <c r="A419" t="inlineStr">
        <is>
          <t>released</t>
        </is>
      </c>
      <c r="B419" t="n">
        <v>0.46739</v>
      </c>
      <c r="C419" t="n">
        <v>0.61359</v>
      </c>
      <c r="D419" t="n">
        <v>0.97002</v>
      </c>
      <c r="E419" t="n">
        <v>-0.82501</v>
      </c>
      <c r="F419" t="n">
        <v>0.20637</v>
      </c>
      <c r="G419" t="n">
        <v>-1.2464</v>
      </c>
      <c r="H419" t="n">
        <v>0.93042</v>
      </c>
      <c r="I419" t="n">
        <v>-0.39995</v>
      </c>
      <c r="J419" t="n">
        <v>-0.1225</v>
      </c>
      <c r="K419" t="n">
        <v>-0.68921</v>
      </c>
      <c r="L419" t="n">
        <v>1.3787</v>
      </c>
      <c r="M419" t="n">
        <v>1.61</v>
      </c>
      <c r="N419" t="n">
        <v>-3.1119</v>
      </c>
      <c r="O419" t="n">
        <v>0.5166500000000001</v>
      </c>
      <c r="P419" t="n">
        <v>0.18667</v>
      </c>
      <c r="Q419" t="n">
        <v>-0.02009</v>
      </c>
      <c r="R419" t="n">
        <v>0.33846</v>
      </c>
      <c r="S419" t="n">
        <v>0.45829</v>
      </c>
      <c r="T419" t="n">
        <v>-0.0081954</v>
      </c>
      <c r="U419" t="n">
        <v>-0.87476</v>
      </c>
      <c r="V419" t="n">
        <v>-0.7746499999999999</v>
      </c>
      <c r="W419" t="n">
        <v>-0.64454</v>
      </c>
      <c r="X419" t="n">
        <v>0.21498</v>
      </c>
      <c r="Y419" t="n">
        <v>-0.65599</v>
      </c>
      <c r="Z419" t="n">
        <v>0.07899399999999999</v>
      </c>
    </row>
    <row r="420">
      <c r="A420" t="inlineStr">
        <is>
          <t>nothin</t>
        </is>
      </c>
      <c r="B420" t="n">
        <v>-0.0028683</v>
      </c>
      <c r="C420" t="n">
        <v>1.5775</v>
      </c>
      <c r="D420" t="n">
        <v>0.44186</v>
      </c>
      <c r="E420" t="n">
        <v>0.56675</v>
      </c>
      <c r="F420" t="n">
        <v>-0.24617</v>
      </c>
      <c r="G420" t="n">
        <v>1.0752</v>
      </c>
      <c r="H420" t="n">
        <v>0.26687</v>
      </c>
      <c r="I420" t="n">
        <v>-1.0238</v>
      </c>
      <c r="J420" t="n">
        <v>-0.44146</v>
      </c>
      <c r="K420" t="n">
        <v>-0.046232</v>
      </c>
      <c r="L420" t="n">
        <v>-1.5248</v>
      </c>
      <c r="M420" t="n">
        <v>0.73524</v>
      </c>
      <c r="N420" t="n">
        <v>-3.8147</v>
      </c>
      <c r="O420" t="n">
        <v>-0.13236</v>
      </c>
      <c r="P420" t="n">
        <v>-0.2322</v>
      </c>
      <c r="Q420" t="n">
        <v>0.64267</v>
      </c>
      <c r="R420" t="n">
        <v>-0.06296400000000001</v>
      </c>
      <c r="S420" t="n">
        <v>-0.076461</v>
      </c>
      <c r="T420" t="n">
        <v>0.26529</v>
      </c>
      <c r="U420" t="n">
        <v>0.39599</v>
      </c>
      <c r="V420" t="n">
        <v>0.71591</v>
      </c>
      <c r="W420" t="n">
        <v>0.75397</v>
      </c>
      <c r="X420" t="n">
        <v>0.77144</v>
      </c>
      <c r="Y420" t="n">
        <v>0.83966</v>
      </c>
      <c r="Z420" t="n">
        <v>0.49411</v>
      </c>
    </row>
    <row r="421">
      <c r="A421" t="inlineStr">
        <is>
          <t>information</t>
        </is>
      </c>
      <c r="B421" t="n">
        <v>0.4918</v>
      </c>
      <c r="C421" t="n">
        <v>0.52183</v>
      </c>
      <c r="D421" t="n">
        <v>-1.1841</v>
      </c>
      <c r="E421" t="n">
        <v>-0.031988</v>
      </c>
      <c r="F421" t="n">
        <v>1.1468</v>
      </c>
      <c r="G421" t="n">
        <v>-0.61078</v>
      </c>
      <c r="H421" t="n">
        <v>0.48485</v>
      </c>
      <c r="I421" t="n">
        <v>-1.1636</v>
      </c>
      <c r="J421" t="n">
        <v>0.73446</v>
      </c>
      <c r="K421" t="n">
        <v>0.076003</v>
      </c>
      <c r="L421" t="n">
        <v>0.12772</v>
      </c>
      <c r="M421" t="n">
        <v>0.4865</v>
      </c>
      <c r="N421" t="n">
        <v>-3.4833</v>
      </c>
      <c r="O421" t="n">
        <v>0.52375</v>
      </c>
      <c r="P421" t="n">
        <v>0.41481</v>
      </c>
      <c r="Q421" t="n">
        <v>0.10604</v>
      </c>
      <c r="R421" t="n">
        <v>0.70972</v>
      </c>
      <c r="S421" t="n">
        <v>0.55721</v>
      </c>
      <c r="T421" t="n">
        <v>0.14742</v>
      </c>
      <c r="U421" t="n">
        <v>-0.46564</v>
      </c>
      <c r="V421" t="n">
        <v>-0.071301</v>
      </c>
      <c r="W421" t="n">
        <v>-1.9889</v>
      </c>
      <c r="X421" t="n">
        <v>-1.0767</v>
      </c>
      <c r="Y421" t="n">
        <v>-0.14101</v>
      </c>
      <c r="Z421" t="n">
        <v>-0.81463</v>
      </c>
    </row>
    <row r="422">
      <c r="A422" t="inlineStr">
        <is>
          <t>cheating</t>
        </is>
      </c>
      <c r="B422" t="n">
        <v>0.25507</v>
      </c>
      <c r="C422" t="n">
        <v>1.0114</v>
      </c>
      <c r="D422" t="n">
        <v>-0.2113</v>
      </c>
      <c r="E422" t="n">
        <v>0.30292</v>
      </c>
      <c r="F422" t="n">
        <v>0.83691</v>
      </c>
      <c r="G422" t="n">
        <v>-0.10705</v>
      </c>
      <c r="H422" t="n">
        <v>0.75291</v>
      </c>
      <c r="I422" t="n">
        <v>-0.89422</v>
      </c>
      <c r="J422" t="n">
        <v>-1.0498</v>
      </c>
      <c r="K422" t="n">
        <v>0.85738</v>
      </c>
      <c r="L422" t="n">
        <v>-0.6693</v>
      </c>
      <c r="M422" t="n">
        <v>0.91129</v>
      </c>
      <c r="N422" t="n">
        <v>-2.9694</v>
      </c>
      <c r="O422" t="n">
        <v>-0.5638300000000001</v>
      </c>
      <c r="P422" t="n">
        <v>0.35352</v>
      </c>
      <c r="Q422" t="n">
        <v>0.93254</v>
      </c>
      <c r="R422" t="n">
        <v>-0.805</v>
      </c>
      <c r="S422" t="n">
        <v>-0.40997</v>
      </c>
      <c r="T422" t="n">
        <v>0.5047199999999999</v>
      </c>
      <c r="U422" t="n">
        <v>-1.0331</v>
      </c>
      <c r="V422" t="n">
        <v>1.1018</v>
      </c>
      <c r="W422" t="n">
        <v>1.6229</v>
      </c>
      <c r="X422" t="n">
        <v>-0.009609700000000001</v>
      </c>
      <c r="Y422" t="n">
        <v>-1.2616</v>
      </c>
      <c r="Z422" t="n">
        <v>-1.1107</v>
      </c>
    </row>
    <row r="423">
      <c r="A423" t="inlineStr">
        <is>
          <t>created</t>
        </is>
      </c>
      <c r="B423" t="n">
        <v>0.24106</v>
      </c>
      <c r="C423" t="n">
        <v>-0.3075</v>
      </c>
      <c r="D423" t="n">
        <v>0.045214</v>
      </c>
      <c r="E423" t="n">
        <v>-0.19064</v>
      </c>
      <c r="F423" t="n">
        <v>0.40512</v>
      </c>
      <c r="G423" t="n">
        <v>-0.72002</v>
      </c>
      <c r="H423" t="n">
        <v>0.7869699999999999</v>
      </c>
      <c r="I423" t="n">
        <v>-0.99581</v>
      </c>
      <c r="J423" t="n">
        <v>-0.43739</v>
      </c>
      <c r="K423" t="n">
        <v>-0.26186</v>
      </c>
      <c r="L423" t="n">
        <v>0.59552</v>
      </c>
      <c r="M423" t="n">
        <v>0.84554</v>
      </c>
      <c r="N423" t="n">
        <v>-3.7379</v>
      </c>
      <c r="O423" t="n">
        <v>0.11866</v>
      </c>
      <c r="P423" t="n">
        <v>-0.42013</v>
      </c>
      <c r="Q423" t="n">
        <v>0.33076</v>
      </c>
      <c r="R423" t="n">
        <v>0.75248</v>
      </c>
      <c r="S423" t="n">
        <v>0.98193</v>
      </c>
      <c r="T423" t="n">
        <v>1.1901</v>
      </c>
      <c r="U423" t="n">
        <v>-0.32141</v>
      </c>
      <c r="V423" t="n">
        <v>-0.33355</v>
      </c>
      <c r="W423" t="n">
        <v>-0.17086</v>
      </c>
      <c r="X423" t="n">
        <v>-0.83435</v>
      </c>
      <c r="Y423" t="n">
        <v>-0.24344</v>
      </c>
      <c r="Z423" t="n">
        <v>-0.43446</v>
      </c>
    </row>
    <row r="424">
      <c r="A424" t="inlineStr">
        <is>
          <t>throwing</t>
        </is>
      </c>
      <c r="B424" t="n">
        <v>-0.23866</v>
      </c>
      <c r="C424" t="n">
        <v>1.1842</v>
      </c>
      <c r="D424" t="n">
        <v>1.3916</v>
      </c>
      <c r="E424" t="n">
        <v>0.74779</v>
      </c>
      <c r="F424" t="n">
        <v>0.011273</v>
      </c>
      <c r="G424" t="n">
        <v>0.78086</v>
      </c>
      <c r="H424" t="n">
        <v>0.66253</v>
      </c>
      <c r="I424" t="n">
        <v>-1.6621</v>
      </c>
      <c r="J424" t="n">
        <v>-0.21509</v>
      </c>
      <c r="K424" t="n">
        <v>0.51076</v>
      </c>
      <c r="L424" t="n">
        <v>0.34251</v>
      </c>
      <c r="M424" t="n">
        <v>0.84372</v>
      </c>
      <c r="N424" t="n">
        <v>-3.2809</v>
      </c>
      <c r="O424" t="n">
        <v>-0.39703</v>
      </c>
      <c r="P424" t="n">
        <v>0.44033</v>
      </c>
      <c r="Q424" t="n">
        <v>0.06779200000000001</v>
      </c>
      <c r="R424" t="n">
        <v>-0.09371400000000001</v>
      </c>
      <c r="S424" t="n">
        <v>-0.88673</v>
      </c>
      <c r="T424" t="n">
        <v>0.011797</v>
      </c>
      <c r="U424" t="n">
        <v>-0.26121</v>
      </c>
      <c r="V424" t="n">
        <v>-0.14047</v>
      </c>
      <c r="W424" t="n">
        <v>0.97321</v>
      </c>
      <c r="X424" t="n">
        <v>1.1483</v>
      </c>
      <c r="Y424" t="n">
        <v>-0.8950900000000001</v>
      </c>
      <c r="Z424" t="n">
        <v>-0.34518</v>
      </c>
    </row>
    <row r="425">
      <c r="A425" t="inlineStr">
        <is>
          <t>chorar</t>
        </is>
      </c>
      <c r="B425" t="n">
        <v>1.0816</v>
      </c>
      <c r="C425" t="n">
        <v>-0.53565</v>
      </c>
      <c r="D425" t="n">
        <v>1.0153</v>
      </c>
      <c r="E425" t="n">
        <v>1.4666</v>
      </c>
      <c r="F425" t="n">
        <v>-0.97937</v>
      </c>
      <c r="G425" t="n">
        <v>1.1077</v>
      </c>
      <c r="H425" t="n">
        <v>-0.019692</v>
      </c>
      <c r="I425" t="n">
        <v>0.21962</v>
      </c>
      <c r="J425" t="n">
        <v>0.27232</v>
      </c>
      <c r="K425" t="n">
        <v>-1.5233</v>
      </c>
      <c r="L425" t="n">
        <v>-1.2231</v>
      </c>
      <c r="M425" t="n">
        <v>-2.176</v>
      </c>
      <c r="N425" t="n">
        <v>-0.79526</v>
      </c>
      <c r="O425" t="n">
        <v>-0.95458</v>
      </c>
      <c r="P425" t="n">
        <v>-0.61835</v>
      </c>
      <c r="Q425" t="n">
        <v>-0.04449</v>
      </c>
      <c r="R425" t="n">
        <v>-3.0191</v>
      </c>
      <c r="S425" t="n">
        <v>0.6585299999999999</v>
      </c>
      <c r="T425" t="n">
        <v>-0.67613</v>
      </c>
      <c r="U425" t="n">
        <v>-1.7854</v>
      </c>
      <c r="V425" t="n">
        <v>-0.35978</v>
      </c>
      <c r="W425" t="n">
        <v>0.84978</v>
      </c>
      <c r="X425" t="n">
        <v>0.35569</v>
      </c>
      <c r="Y425" t="n">
        <v>1.6522</v>
      </c>
      <c r="Z425" t="n">
        <v>0.50041</v>
      </c>
    </row>
    <row r="426">
      <c r="A426" t="inlineStr">
        <is>
          <t>share-worthy</t>
        </is>
      </c>
      <c r="B426" t="n">
        <v>2.2252</v>
      </c>
      <c r="C426" t="n">
        <v>1.3504</v>
      </c>
      <c r="D426" t="n">
        <v>-0.18903</v>
      </c>
      <c r="E426" t="n">
        <v>-3.7596</v>
      </c>
      <c r="F426" t="n">
        <v>1.1349</v>
      </c>
      <c r="G426" t="n">
        <v>-2.2197</v>
      </c>
      <c r="H426" t="n">
        <v>1.1343</v>
      </c>
      <c r="I426" t="n">
        <v>-1.7621</v>
      </c>
      <c r="J426" t="n">
        <v>-0.39542</v>
      </c>
      <c r="K426" t="n">
        <v>-3.6827</v>
      </c>
      <c r="L426" t="n">
        <v>0.23364</v>
      </c>
      <c r="M426" t="n">
        <v>1.9062</v>
      </c>
      <c r="N426" t="n">
        <v>0.20231</v>
      </c>
      <c r="O426" t="n">
        <v>0.49336</v>
      </c>
      <c r="P426" t="n">
        <v>1.4194</v>
      </c>
      <c r="Q426" t="n">
        <v>-0.18181</v>
      </c>
      <c r="R426" t="n">
        <v>-0.43605</v>
      </c>
      <c r="S426" t="n">
        <v>-0.31205</v>
      </c>
      <c r="T426" t="n">
        <v>-0.38928</v>
      </c>
      <c r="U426" t="n">
        <v>0.23758</v>
      </c>
      <c r="V426" t="n">
        <v>-0.66809</v>
      </c>
      <c r="W426" t="n">
        <v>-0.69815</v>
      </c>
      <c r="X426" t="n">
        <v>-1.0899</v>
      </c>
      <c r="Y426" t="n">
        <v>-2.1269</v>
      </c>
      <c r="Z426" t="n">
        <v>0.50784</v>
      </c>
    </row>
    <row r="427">
      <c r="A427" t="inlineStr">
        <is>
          <t>bora</t>
        </is>
      </c>
      <c r="B427" t="n">
        <v>-0.38313</v>
      </c>
      <c r="C427" t="n">
        <v>0.2939</v>
      </c>
      <c r="D427" t="n">
        <v>0.32173</v>
      </c>
      <c r="E427" t="n">
        <v>-0.25958</v>
      </c>
      <c r="F427" t="n">
        <v>-0.65188</v>
      </c>
      <c r="G427" t="n">
        <v>0.14744</v>
      </c>
      <c r="H427" t="n">
        <v>-0.052356</v>
      </c>
      <c r="I427" t="n">
        <v>0.5315</v>
      </c>
      <c r="J427" t="n">
        <v>1.1188</v>
      </c>
      <c r="K427" t="n">
        <v>-1.407</v>
      </c>
      <c r="L427" t="n">
        <v>-0.91209</v>
      </c>
      <c r="M427" t="n">
        <v>-1.6494</v>
      </c>
      <c r="N427" t="n">
        <v>-1.3643</v>
      </c>
      <c r="O427" t="n">
        <v>-0.67335</v>
      </c>
      <c r="P427" t="n">
        <v>-0.12802</v>
      </c>
      <c r="Q427" t="n">
        <v>-0.76925</v>
      </c>
      <c r="R427" t="n">
        <v>-1.119</v>
      </c>
      <c r="S427" t="n">
        <v>-0.78991</v>
      </c>
      <c r="T427" t="n">
        <v>-0.9563</v>
      </c>
      <c r="U427" t="n">
        <v>-0.17278</v>
      </c>
      <c r="V427" t="n">
        <v>-0.88817</v>
      </c>
      <c r="W427" t="n">
        <v>-0.4418</v>
      </c>
      <c r="X427" t="n">
        <v>-0.81943</v>
      </c>
      <c r="Y427" t="n">
        <v>0.7054</v>
      </c>
      <c r="Z427" t="n">
        <v>0.89645</v>
      </c>
    </row>
    <row r="428">
      <c r="A428" t="inlineStr">
        <is>
          <t>background</t>
        </is>
      </c>
      <c r="B428" t="n">
        <v>0.30702</v>
      </c>
      <c r="C428" t="n">
        <v>-0.47801</v>
      </c>
      <c r="D428" t="n">
        <v>0.6118</v>
      </c>
      <c r="E428" t="n">
        <v>0.042445</v>
      </c>
      <c r="F428" t="n">
        <v>1.3022</v>
      </c>
      <c r="G428" t="n">
        <v>-0.71796</v>
      </c>
      <c r="H428" t="n">
        <v>1.2288</v>
      </c>
      <c r="I428" t="n">
        <v>-0.037334</v>
      </c>
      <c r="J428" t="n">
        <v>0.82665</v>
      </c>
      <c r="K428" t="n">
        <v>0.17348</v>
      </c>
      <c r="L428" t="n">
        <v>-0.23496</v>
      </c>
      <c r="M428" t="n">
        <v>0.58626</v>
      </c>
      <c r="N428" t="n">
        <v>-2.8582</v>
      </c>
      <c r="O428" t="n">
        <v>-0.8162700000000001</v>
      </c>
      <c r="P428" t="n">
        <v>-0.020886</v>
      </c>
      <c r="Q428" t="n">
        <v>0.7944600000000001</v>
      </c>
      <c r="R428" t="n">
        <v>0.33105</v>
      </c>
      <c r="S428" t="n">
        <v>-0.37758</v>
      </c>
      <c r="T428" t="n">
        <v>-0.25281</v>
      </c>
      <c r="U428" t="n">
        <v>0.10826</v>
      </c>
      <c r="V428" t="n">
        <v>-0.43479</v>
      </c>
      <c r="W428" t="n">
        <v>-0.23341</v>
      </c>
      <c r="X428" t="n">
        <v>-0.11411</v>
      </c>
      <c r="Y428" t="n">
        <v>0.11947</v>
      </c>
      <c r="Z428" t="n">
        <v>-1.1792</v>
      </c>
    </row>
    <row r="429">
      <c r="A429" t="inlineStr">
        <is>
          <t>thousand</t>
        </is>
      </c>
      <c r="B429" t="n">
        <v>0.8735000000000001</v>
      </c>
      <c r="C429" t="n">
        <v>0.7684800000000001</v>
      </c>
      <c r="D429" t="n">
        <v>1.3188</v>
      </c>
      <c r="E429" t="n">
        <v>1.5366</v>
      </c>
      <c r="F429" t="n">
        <v>-0.6057399999999999</v>
      </c>
      <c r="G429" t="n">
        <v>0.22429</v>
      </c>
      <c r="H429" t="n">
        <v>1.2107</v>
      </c>
      <c r="I429" t="n">
        <v>-0.7143</v>
      </c>
      <c r="J429" t="n">
        <v>-1.1699</v>
      </c>
      <c r="K429" t="n">
        <v>0.17688</v>
      </c>
      <c r="L429" t="n">
        <v>0.3628</v>
      </c>
      <c r="M429" t="n">
        <v>0.35896</v>
      </c>
      <c r="N429" t="n">
        <v>-2.6437</v>
      </c>
      <c r="O429" t="n">
        <v>1.0937</v>
      </c>
      <c r="P429" t="n">
        <v>-1.378</v>
      </c>
      <c r="Q429" t="n">
        <v>-0.1132</v>
      </c>
      <c r="R429" t="n">
        <v>-0.27441</v>
      </c>
      <c r="S429" t="n">
        <v>-0.034526</v>
      </c>
      <c r="T429" t="n">
        <v>0.71333</v>
      </c>
      <c r="U429" t="n">
        <v>0.082859</v>
      </c>
      <c r="V429" t="n">
        <v>-1.1246</v>
      </c>
      <c r="W429" t="n">
        <v>0.063665</v>
      </c>
      <c r="X429" t="n">
        <v>-0.10244</v>
      </c>
      <c r="Y429" t="n">
        <v>-0.15105</v>
      </c>
      <c r="Z429" t="n">
        <v>-0.88924</v>
      </c>
    </row>
    <row r="430">
      <c r="A430" t="inlineStr">
        <is>
          <t>heads</t>
        </is>
      </c>
      <c r="B430" t="n">
        <v>-0.64824</v>
      </c>
      <c r="C430" t="n">
        <v>0.55806</v>
      </c>
      <c r="D430" t="n">
        <v>0.51306</v>
      </c>
      <c r="E430" t="n">
        <v>0.10594</v>
      </c>
      <c r="F430" t="n">
        <v>0.20375</v>
      </c>
      <c r="G430" t="n">
        <v>0.41453</v>
      </c>
      <c r="H430" t="n">
        <v>0.51802</v>
      </c>
      <c r="I430" t="n">
        <v>-1.4014</v>
      </c>
      <c r="J430" t="n">
        <v>-0.09134399999999999</v>
      </c>
      <c r="K430" t="n">
        <v>0.50885</v>
      </c>
      <c r="L430" t="n">
        <v>0.24107</v>
      </c>
      <c r="M430" t="n">
        <v>0.63781</v>
      </c>
      <c r="N430" t="n">
        <v>-3.3482</v>
      </c>
      <c r="O430" t="n">
        <v>0.07038800000000001</v>
      </c>
      <c r="P430" t="n">
        <v>-0.047112</v>
      </c>
      <c r="Q430" t="n">
        <v>-0.22957</v>
      </c>
      <c r="R430" t="n">
        <v>-0.30914</v>
      </c>
      <c r="S430" t="n">
        <v>-0.71758</v>
      </c>
      <c r="T430" t="n">
        <v>0.14115</v>
      </c>
      <c r="U430" t="n">
        <v>-0.21972</v>
      </c>
      <c r="V430" t="n">
        <v>0.0056252</v>
      </c>
      <c r="W430" t="n">
        <v>0.8717200000000001</v>
      </c>
      <c r="X430" t="n">
        <v>0.96888</v>
      </c>
      <c r="Y430" t="n">
        <v>-0.82028</v>
      </c>
      <c r="Z430" t="n">
        <v>0.21139</v>
      </c>
    </row>
    <row r="431">
      <c r="A431" t="inlineStr">
        <is>
          <t>homem</t>
        </is>
      </c>
      <c r="B431" t="n">
        <v>1.0741</v>
      </c>
      <c r="C431" t="n">
        <v>-1.5782</v>
      </c>
      <c r="D431" t="n">
        <v>0.32786</v>
      </c>
      <c r="E431" t="n">
        <v>0.91157</v>
      </c>
      <c r="F431" t="n">
        <v>0.57568</v>
      </c>
      <c r="G431" t="n">
        <v>0.03131</v>
      </c>
      <c r="H431" t="n">
        <v>-0.4208</v>
      </c>
      <c r="I431" t="n">
        <v>0.73044</v>
      </c>
      <c r="J431" t="n">
        <v>1.4662</v>
      </c>
      <c r="K431" t="n">
        <v>-0.85288</v>
      </c>
      <c r="L431" t="n">
        <v>0.040288</v>
      </c>
      <c r="M431" t="n">
        <v>-2.8883</v>
      </c>
      <c r="N431" t="n">
        <v>-0.88715</v>
      </c>
      <c r="O431" t="n">
        <v>-1.4474</v>
      </c>
      <c r="P431" t="n">
        <v>-0.50791</v>
      </c>
      <c r="Q431" t="n">
        <v>-0.90721</v>
      </c>
      <c r="R431" t="n">
        <v>-1.8068</v>
      </c>
      <c r="S431" t="n">
        <v>0.10303</v>
      </c>
      <c r="T431" t="n">
        <v>-0.44457</v>
      </c>
      <c r="U431" t="n">
        <v>-1.5855</v>
      </c>
      <c r="V431" t="n">
        <v>0.67631</v>
      </c>
      <c r="W431" t="n">
        <v>1.7152</v>
      </c>
      <c r="X431" t="n">
        <v>-0.24615</v>
      </c>
      <c r="Y431" t="n">
        <v>-0.50025</v>
      </c>
      <c r="Z431" t="n">
        <v>0.44222</v>
      </c>
    </row>
    <row r="432">
      <c r="A432" t="inlineStr">
        <is>
          <t>creepy</t>
        </is>
      </c>
      <c r="B432" t="n">
        <v>-0.22932</v>
      </c>
      <c r="C432" t="n">
        <v>-0.9582000000000001</v>
      </c>
      <c r="D432" t="n">
        <v>0.84149</v>
      </c>
      <c r="E432" t="n">
        <v>-0.012861</v>
      </c>
      <c r="F432" t="n">
        <v>0.83687</v>
      </c>
      <c r="G432" t="n">
        <v>0.47533</v>
      </c>
      <c r="H432" t="n">
        <v>1.9645</v>
      </c>
      <c r="I432" t="n">
        <v>-0.58496</v>
      </c>
      <c r="J432" t="n">
        <v>-0.7661</v>
      </c>
      <c r="K432" t="n">
        <v>0.08472399999999999</v>
      </c>
      <c r="L432" t="n">
        <v>-1.0227</v>
      </c>
      <c r="M432" t="n">
        <v>0.18201</v>
      </c>
      <c r="N432" t="n">
        <v>-2.624</v>
      </c>
      <c r="O432" t="n">
        <v>-1.0077</v>
      </c>
      <c r="P432" t="n">
        <v>0.61857</v>
      </c>
      <c r="Q432" t="n">
        <v>0.89897</v>
      </c>
      <c r="R432" t="n">
        <v>1.1308</v>
      </c>
      <c r="S432" t="n">
        <v>0.15405</v>
      </c>
      <c r="T432" t="n">
        <v>-0.034749</v>
      </c>
      <c r="U432" t="n">
        <v>-0.15969</v>
      </c>
      <c r="V432" t="n">
        <v>0.97764</v>
      </c>
      <c r="W432" t="n">
        <v>0.50288</v>
      </c>
      <c r="X432" t="n">
        <v>-0.066228</v>
      </c>
      <c r="Y432" t="n">
        <v>-0.62685</v>
      </c>
      <c r="Z432" t="n">
        <v>-0.35551</v>
      </c>
    </row>
    <row r="433">
      <c r="A433" t="inlineStr">
        <is>
          <t>opportunity</t>
        </is>
      </c>
      <c r="B433" t="n">
        <v>-0.5964</v>
      </c>
      <c r="C433" t="n">
        <v>0.97554</v>
      </c>
      <c r="D433" t="n">
        <v>-1.5907</v>
      </c>
      <c r="E433" t="n">
        <v>0.06370000000000001</v>
      </c>
      <c r="F433" t="n">
        <v>0.37329</v>
      </c>
      <c r="G433" t="n">
        <v>-0.44397</v>
      </c>
      <c r="H433" t="n">
        <v>0.82938</v>
      </c>
      <c r="I433" t="n">
        <v>-0.91208</v>
      </c>
      <c r="J433" t="n">
        <v>0.48701</v>
      </c>
      <c r="K433" t="n">
        <v>-1.1615</v>
      </c>
      <c r="L433" t="n">
        <v>-0.16801</v>
      </c>
      <c r="M433" t="n">
        <v>0.40747</v>
      </c>
      <c r="N433" t="n">
        <v>-3.7195</v>
      </c>
      <c r="O433" t="n">
        <v>1.2862</v>
      </c>
      <c r="P433" t="n">
        <v>0.43264</v>
      </c>
      <c r="Q433" t="n">
        <v>-0.14142</v>
      </c>
      <c r="R433" t="n">
        <v>0.5772699999999999</v>
      </c>
      <c r="S433" t="n">
        <v>0.30438</v>
      </c>
      <c r="T433" t="n">
        <v>0.79184</v>
      </c>
      <c r="U433" t="n">
        <v>-1.1025</v>
      </c>
      <c r="V433" t="n">
        <v>-0.28151</v>
      </c>
      <c r="W433" t="n">
        <v>-0.8591299999999999</v>
      </c>
      <c r="X433" t="n">
        <v>-0.77827</v>
      </c>
      <c r="Y433" t="n">
        <v>0.12496</v>
      </c>
      <c r="Z433" t="n">
        <v>-0.60914</v>
      </c>
    </row>
    <row r="434">
      <c r="A434" t="inlineStr">
        <is>
          <t>higher</t>
        </is>
      </c>
      <c r="B434" t="n">
        <v>0.4543</v>
      </c>
      <c r="C434" t="n">
        <v>0.28726</v>
      </c>
      <c r="D434" t="n">
        <v>-0.62819</v>
      </c>
      <c r="E434" t="n">
        <v>0.18894</v>
      </c>
      <c r="F434" t="n">
        <v>0.62448</v>
      </c>
      <c r="G434" t="n">
        <v>0.65986</v>
      </c>
      <c r="H434" t="n">
        <v>0.32606</v>
      </c>
      <c r="I434" t="n">
        <v>-1.3855</v>
      </c>
      <c r="J434" t="n">
        <v>0.53443</v>
      </c>
      <c r="K434" t="n">
        <v>-0.08740000000000001</v>
      </c>
      <c r="L434" t="n">
        <v>-0.11415</v>
      </c>
      <c r="M434" t="n">
        <v>0.55514</v>
      </c>
      <c r="N434" t="n">
        <v>-3.49</v>
      </c>
      <c r="O434" t="n">
        <v>1.3696</v>
      </c>
      <c r="P434" t="n">
        <v>-0.017523</v>
      </c>
      <c r="Q434" t="n">
        <v>-1.1098</v>
      </c>
      <c r="R434" t="n">
        <v>0.0056048</v>
      </c>
      <c r="S434" t="n">
        <v>0.15964</v>
      </c>
      <c r="T434" t="n">
        <v>0.98337</v>
      </c>
      <c r="U434" t="n">
        <v>-0.9619</v>
      </c>
      <c r="V434" t="n">
        <v>-0.68474</v>
      </c>
      <c r="W434" t="n">
        <v>-0.080939</v>
      </c>
      <c r="X434" t="n">
        <v>0.85224</v>
      </c>
      <c r="Y434" t="n">
        <v>-0.011555</v>
      </c>
      <c r="Z434" t="n">
        <v>-0.83695</v>
      </c>
    </row>
    <row r="435">
      <c r="A435" t="inlineStr">
        <is>
          <t>texted</t>
        </is>
      </c>
      <c r="B435" t="n">
        <v>-0.71517</v>
      </c>
      <c r="C435" t="n">
        <v>1.3194</v>
      </c>
      <c r="D435" t="n">
        <v>2.1341</v>
      </c>
      <c r="E435" t="n">
        <v>-0.093292</v>
      </c>
      <c r="F435" t="n">
        <v>-0.36413</v>
      </c>
      <c r="G435" t="n">
        <v>-1.1787</v>
      </c>
      <c r="H435" t="n">
        <v>0.52746</v>
      </c>
      <c r="I435" t="n">
        <v>-0.27188</v>
      </c>
      <c r="J435" t="n">
        <v>-1.6151</v>
      </c>
      <c r="K435" t="n">
        <v>0.24181</v>
      </c>
      <c r="L435" t="n">
        <v>-0.62325</v>
      </c>
      <c r="M435" t="n">
        <v>1.2137</v>
      </c>
      <c r="N435" t="n">
        <v>-3.1094</v>
      </c>
      <c r="O435" t="n">
        <v>-0.7225200000000001</v>
      </c>
      <c r="P435" t="n">
        <v>0.52023</v>
      </c>
      <c r="Q435" t="n">
        <v>0.38219</v>
      </c>
      <c r="R435" t="n">
        <v>1.109</v>
      </c>
      <c r="S435" t="n">
        <v>-0.32288</v>
      </c>
      <c r="T435" t="n">
        <v>-0.25109</v>
      </c>
      <c r="U435" t="n">
        <v>-0.78972</v>
      </c>
      <c r="V435" t="n">
        <v>2.0354</v>
      </c>
      <c r="W435" t="n">
        <v>-0.024684</v>
      </c>
      <c r="X435" t="n">
        <v>0.48621</v>
      </c>
      <c r="Y435" t="n">
        <v>0.5134300000000001</v>
      </c>
      <c r="Z435" t="n">
        <v>-1.244</v>
      </c>
    </row>
    <row r="436">
      <c r="A436" t="inlineStr">
        <is>
          <t>photography</t>
        </is>
      </c>
      <c r="B436" t="n">
        <v>-1.1189</v>
      </c>
      <c r="C436" t="n">
        <v>-0.7985100000000001</v>
      </c>
      <c r="D436" t="n">
        <v>0.1904</v>
      </c>
      <c r="E436" t="n">
        <v>-0.69415</v>
      </c>
      <c r="F436" t="n">
        <v>1.2006</v>
      </c>
      <c r="G436" t="n">
        <v>-0.62236</v>
      </c>
      <c r="H436" t="n">
        <v>1.0785</v>
      </c>
      <c r="I436" t="n">
        <v>-0.6017</v>
      </c>
      <c r="J436" t="n">
        <v>0.99825</v>
      </c>
      <c r="K436" t="n">
        <v>-0.88909</v>
      </c>
      <c r="L436" t="n">
        <v>0.2285</v>
      </c>
      <c r="M436" t="n">
        <v>0.46547</v>
      </c>
      <c r="N436" t="n">
        <v>-2.7889</v>
      </c>
      <c r="O436" t="n">
        <v>-0.69743</v>
      </c>
      <c r="P436" t="n">
        <v>0.060046</v>
      </c>
      <c r="Q436" t="n">
        <v>0.052499</v>
      </c>
      <c r="R436" t="n">
        <v>0.10293</v>
      </c>
      <c r="S436" t="n">
        <v>0.031101</v>
      </c>
      <c r="T436" t="n">
        <v>0.15401</v>
      </c>
      <c r="U436" t="n">
        <v>0.5992499999999999</v>
      </c>
      <c r="V436" t="n">
        <v>-0.75561</v>
      </c>
      <c r="W436" t="n">
        <v>-1.8123</v>
      </c>
      <c r="X436" t="n">
        <v>-1.287</v>
      </c>
      <c r="Y436" t="n">
        <v>-0.64401</v>
      </c>
      <c r="Z436" t="n">
        <v>-0.34783</v>
      </c>
    </row>
    <row r="437">
      <c r="A437" t="inlineStr">
        <is>
          <t>thick</t>
        </is>
      </c>
      <c r="B437" t="n">
        <v>-0.87775</v>
      </c>
      <c r="C437" t="n">
        <v>-0.6408700000000001</v>
      </c>
      <c r="D437" t="n">
        <v>-0.20872</v>
      </c>
      <c r="E437" t="n">
        <v>-0.20609</v>
      </c>
      <c r="F437" t="n">
        <v>0.97663</v>
      </c>
      <c r="G437" t="n">
        <v>1.4422</v>
      </c>
      <c r="H437" t="n">
        <v>0.38642</v>
      </c>
      <c r="I437" t="n">
        <v>-1.3003</v>
      </c>
      <c r="J437" t="n">
        <v>-0.49205</v>
      </c>
      <c r="K437" t="n">
        <v>0.50827</v>
      </c>
      <c r="L437" t="n">
        <v>-0.80474</v>
      </c>
      <c r="M437" t="n">
        <v>0.58657</v>
      </c>
      <c r="N437" t="n">
        <v>-3.3811</v>
      </c>
      <c r="O437" t="n">
        <v>-0.86364</v>
      </c>
      <c r="P437" t="n">
        <v>-1.0823</v>
      </c>
      <c r="Q437" t="n">
        <v>-0.68104</v>
      </c>
      <c r="R437" t="n">
        <v>0.6422</v>
      </c>
      <c r="S437" t="n">
        <v>-0.94057</v>
      </c>
      <c r="T437" t="n">
        <v>0.28302</v>
      </c>
      <c r="U437" t="n">
        <v>0.9946199999999999</v>
      </c>
      <c r="V437" t="n">
        <v>0.73761</v>
      </c>
      <c r="W437" t="n">
        <v>1.5193</v>
      </c>
      <c r="X437" t="n">
        <v>1.1425</v>
      </c>
      <c r="Y437" t="n">
        <v>-0.027036</v>
      </c>
      <c r="Z437" t="n">
        <v>-0.14366</v>
      </c>
    </row>
    <row r="438">
      <c r="A438" t="inlineStr">
        <is>
          <t>creative</t>
        </is>
      </c>
      <c r="B438" t="n">
        <v>-0.41253</v>
      </c>
      <c r="C438" t="n">
        <v>-0.0096956</v>
      </c>
      <c r="D438" t="n">
        <v>-0.70466</v>
      </c>
      <c r="E438" t="n">
        <v>-0.46463</v>
      </c>
      <c r="F438" t="n">
        <v>1.5188</v>
      </c>
      <c r="G438" t="n">
        <v>0.72656</v>
      </c>
      <c r="H438" t="n">
        <v>1.1312</v>
      </c>
      <c r="I438" t="n">
        <v>-0.80049</v>
      </c>
      <c r="J438" t="n">
        <v>0.77339</v>
      </c>
      <c r="K438" t="n">
        <v>-0.9922</v>
      </c>
      <c r="L438" t="n">
        <v>-0.63165</v>
      </c>
      <c r="M438" t="n">
        <v>0.26772</v>
      </c>
      <c r="N438" t="n">
        <v>-3.2877</v>
      </c>
      <c r="O438" t="n">
        <v>-0.24779</v>
      </c>
      <c r="P438" t="n">
        <v>-0.23076</v>
      </c>
      <c r="Q438" t="n">
        <v>0.16642</v>
      </c>
      <c r="R438" t="n">
        <v>0.21973</v>
      </c>
      <c r="S438" t="n">
        <v>0.3871</v>
      </c>
      <c r="T438" t="n">
        <v>0.70592</v>
      </c>
      <c r="U438" t="n">
        <v>0.086358</v>
      </c>
      <c r="V438" t="n">
        <v>-0.49021</v>
      </c>
      <c r="W438" t="n">
        <v>-0.95597</v>
      </c>
      <c r="X438" t="n">
        <v>-1.4105</v>
      </c>
      <c r="Y438" t="n">
        <v>-0.30542</v>
      </c>
      <c r="Z438" t="n">
        <v>-0.72072</v>
      </c>
    </row>
    <row r="439">
      <c r="A439" t="inlineStr">
        <is>
          <t>sougo</t>
        </is>
      </c>
      <c r="B439" t="n">
        <v>-1.3038</v>
      </c>
      <c r="C439" t="n">
        <v>1.3243</v>
      </c>
      <c r="D439" t="n">
        <v>-1.5008</v>
      </c>
      <c r="E439" t="n">
        <v>-2.3194</v>
      </c>
      <c r="F439" t="n">
        <v>-1.4188</v>
      </c>
      <c r="G439" t="n">
        <v>-0.47441</v>
      </c>
      <c r="H439" t="n">
        <v>-0.44173</v>
      </c>
      <c r="I439" t="n">
        <v>0.71205</v>
      </c>
      <c r="J439" t="n">
        <v>-0.3045</v>
      </c>
      <c r="K439" t="n">
        <v>-0.87056</v>
      </c>
      <c r="L439" t="n">
        <v>-0.49531</v>
      </c>
      <c r="M439" t="n">
        <v>0.54009</v>
      </c>
      <c r="N439" t="n">
        <v>-2.0506</v>
      </c>
      <c r="O439" t="n">
        <v>-1.3505</v>
      </c>
      <c r="P439" t="n">
        <v>-2.4142</v>
      </c>
      <c r="Q439" t="n">
        <v>0.56893</v>
      </c>
      <c r="R439" t="n">
        <v>-0.92986</v>
      </c>
      <c r="S439" t="n">
        <v>-1.5702</v>
      </c>
      <c r="T439" t="n">
        <v>0.25678</v>
      </c>
      <c r="U439" t="n">
        <v>1.006</v>
      </c>
      <c r="V439" t="n">
        <v>-0.8103</v>
      </c>
      <c r="W439" t="n">
        <v>-3.1315</v>
      </c>
      <c r="X439" t="n">
        <v>1.4278</v>
      </c>
      <c r="Y439" t="n">
        <v>-1.1154</v>
      </c>
      <c r="Z439" t="n">
        <v>0.30742</v>
      </c>
    </row>
    <row r="440">
      <c r="A440" t="inlineStr">
        <is>
          <t>charger</t>
        </is>
      </c>
      <c r="B440" t="n">
        <v>0.41995</v>
      </c>
      <c r="C440" t="n">
        <v>0.20773</v>
      </c>
      <c r="D440" t="n">
        <v>0.39065</v>
      </c>
      <c r="E440" t="n">
        <v>-0.1741</v>
      </c>
      <c r="F440" t="n">
        <v>0.42164</v>
      </c>
      <c r="G440" t="n">
        <v>0.12098</v>
      </c>
      <c r="H440" t="n">
        <v>-0.097716</v>
      </c>
      <c r="I440" t="n">
        <v>-0.26586</v>
      </c>
      <c r="J440" t="n">
        <v>1.3889</v>
      </c>
      <c r="K440" t="n">
        <v>1.6291</v>
      </c>
      <c r="L440" t="n">
        <v>0.34145</v>
      </c>
      <c r="M440" t="n">
        <v>0.34846</v>
      </c>
      <c r="N440" t="n">
        <v>-3.0415</v>
      </c>
      <c r="O440" t="n">
        <v>-0.85202</v>
      </c>
      <c r="P440" t="n">
        <v>0.59333</v>
      </c>
      <c r="Q440" t="n">
        <v>1.207</v>
      </c>
      <c r="R440" t="n">
        <v>0.84228</v>
      </c>
      <c r="S440" t="n">
        <v>-0.156</v>
      </c>
      <c r="T440" t="n">
        <v>-0.11007</v>
      </c>
      <c r="U440" t="n">
        <v>0.25039</v>
      </c>
      <c r="V440" t="n">
        <v>-0.8930399999999999</v>
      </c>
      <c r="W440" t="n">
        <v>-0.8557</v>
      </c>
      <c r="X440" t="n">
        <v>2.0142</v>
      </c>
      <c r="Y440" t="n">
        <v>0.74651</v>
      </c>
      <c r="Z440" t="n">
        <v>-1.3697</v>
      </c>
    </row>
    <row r="441">
      <c r="A441" t="inlineStr">
        <is>
          <t>cleaning</t>
        </is>
      </c>
      <c r="B441" t="n">
        <v>-1.6697</v>
      </c>
      <c r="C441" t="n">
        <v>0.84609</v>
      </c>
      <c r="D441" t="n">
        <v>0.90783</v>
      </c>
      <c r="E441" t="n">
        <v>-0.0018154</v>
      </c>
      <c r="F441" t="n">
        <v>1.3206</v>
      </c>
      <c r="G441" t="n">
        <v>0.77955</v>
      </c>
      <c r="H441" t="n">
        <v>0.8217</v>
      </c>
      <c r="I441" t="n">
        <v>-2.0625</v>
      </c>
      <c r="J441" t="n">
        <v>0.92271</v>
      </c>
      <c r="K441" t="n">
        <v>0.87838</v>
      </c>
      <c r="L441" t="n">
        <v>-0.14056</v>
      </c>
      <c r="M441" t="n">
        <v>-0.16759</v>
      </c>
      <c r="N441" t="n">
        <v>-3.2057</v>
      </c>
      <c r="O441" t="n">
        <v>-1.0316</v>
      </c>
      <c r="P441" t="n">
        <v>0.82382</v>
      </c>
      <c r="Q441" t="n">
        <v>0.02547</v>
      </c>
      <c r="R441" t="n">
        <v>0.36343</v>
      </c>
      <c r="S441" t="n">
        <v>-0.10129</v>
      </c>
      <c r="T441" t="n">
        <v>-0.0088641</v>
      </c>
      <c r="U441" t="n">
        <v>-0.61842</v>
      </c>
      <c r="V441" t="n">
        <v>-0.49038</v>
      </c>
      <c r="W441" t="n">
        <v>-0.79294</v>
      </c>
      <c r="X441" t="n">
        <v>0.23718</v>
      </c>
      <c r="Y441" t="n">
        <v>0.40059</v>
      </c>
      <c r="Z441" t="n">
        <v>-0.13889</v>
      </c>
    </row>
    <row r="442">
      <c r="A442" t="inlineStr">
        <is>
          <t>throat</t>
        </is>
      </c>
      <c r="B442" t="n">
        <v>-0.83987</v>
      </c>
      <c r="C442" t="n">
        <v>-0.015158</v>
      </c>
      <c r="D442" t="n">
        <v>0.11967</v>
      </c>
      <c r="E442" t="n">
        <v>1.1853</v>
      </c>
      <c r="F442" t="n">
        <v>0.66566</v>
      </c>
      <c r="G442" t="n">
        <v>0.20996</v>
      </c>
      <c r="H442" t="n">
        <v>1.4272</v>
      </c>
      <c r="I442" t="n">
        <v>-1.0287</v>
      </c>
      <c r="J442" t="n">
        <v>-0.17167</v>
      </c>
      <c r="K442" t="n">
        <v>1.1285</v>
      </c>
      <c r="L442" t="n">
        <v>0.072065</v>
      </c>
      <c r="M442" t="n">
        <v>0.7935</v>
      </c>
      <c r="N442" t="n">
        <v>-2.6039</v>
      </c>
      <c r="O442" t="n">
        <v>-0.56368</v>
      </c>
      <c r="P442" t="n">
        <v>0.66087</v>
      </c>
      <c r="Q442" t="n">
        <v>-0.031779</v>
      </c>
      <c r="R442" t="n">
        <v>0.19912</v>
      </c>
      <c r="S442" t="n">
        <v>-0.021847</v>
      </c>
      <c r="T442" t="n">
        <v>-0.0059966</v>
      </c>
      <c r="U442" t="n">
        <v>-1.0979</v>
      </c>
      <c r="V442" t="n">
        <v>-0.099569</v>
      </c>
      <c r="W442" t="n">
        <v>1.9452</v>
      </c>
      <c r="X442" t="n">
        <v>2.2872</v>
      </c>
      <c r="Y442" t="n">
        <v>0.88974</v>
      </c>
      <c r="Z442" t="n">
        <v>0.027238</v>
      </c>
    </row>
    <row r="443">
      <c r="A443" t="inlineStr">
        <is>
          <t>services</t>
        </is>
      </c>
      <c r="B443" t="n">
        <v>-0.51398</v>
      </c>
      <c r="C443" t="n">
        <v>0.67094</v>
      </c>
      <c r="D443" t="n">
        <v>-1.3458</v>
      </c>
      <c r="E443" t="n">
        <v>-0.78218</v>
      </c>
      <c r="F443" t="n">
        <v>1.0763</v>
      </c>
      <c r="G443" t="n">
        <v>-0.59789</v>
      </c>
      <c r="H443" t="n">
        <v>-0.55136</v>
      </c>
      <c r="I443" t="n">
        <v>-1.5635</v>
      </c>
      <c r="J443" t="n">
        <v>1.4981</v>
      </c>
      <c r="K443" t="n">
        <v>-0.02892</v>
      </c>
      <c r="L443" t="n">
        <v>0.38081</v>
      </c>
      <c r="M443" t="n">
        <v>-0.45138</v>
      </c>
      <c r="N443" t="n">
        <v>-3.8249</v>
      </c>
      <c r="O443" t="n">
        <v>0.47763</v>
      </c>
      <c r="P443" t="n">
        <v>1.0824</v>
      </c>
      <c r="Q443" t="n">
        <v>-0.35438</v>
      </c>
      <c r="R443" t="n">
        <v>0.41273</v>
      </c>
      <c r="S443" t="n">
        <v>0.0067651</v>
      </c>
      <c r="T443" t="n">
        <v>-0.00628</v>
      </c>
      <c r="U443" t="n">
        <v>-0.24494</v>
      </c>
      <c r="V443" t="n">
        <v>0.030407</v>
      </c>
      <c r="W443" t="n">
        <v>-2.4144</v>
      </c>
      <c r="X443" t="n">
        <v>-1.0448</v>
      </c>
      <c r="Y443" t="n">
        <v>-0.51042</v>
      </c>
      <c r="Z443" t="n">
        <v>-0.73771</v>
      </c>
    </row>
    <row r="444">
      <c r="A444" t="inlineStr">
        <is>
          <t>forreal</t>
        </is>
      </c>
      <c r="B444" t="n">
        <v>-0.15937</v>
      </c>
      <c r="C444" t="n">
        <v>1.1259</v>
      </c>
      <c r="D444" t="n">
        <v>0.25548</v>
      </c>
      <c r="E444" t="n">
        <v>-0.36125</v>
      </c>
      <c r="F444" t="n">
        <v>0.030775</v>
      </c>
      <c r="G444" t="n">
        <v>0.012</v>
      </c>
      <c r="H444" t="n">
        <v>0.83904</v>
      </c>
      <c r="I444" t="n">
        <v>-0.59946</v>
      </c>
      <c r="J444" t="n">
        <v>-0.90099</v>
      </c>
      <c r="K444" t="n">
        <v>0.59976</v>
      </c>
      <c r="L444" t="n">
        <v>-1.9004</v>
      </c>
      <c r="M444" t="n">
        <v>1.0374</v>
      </c>
      <c r="N444" t="n">
        <v>-3.1645</v>
      </c>
      <c r="O444" t="n">
        <v>-0.68993</v>
      </c>
      <c r="P444" t="n">
        <v>0.97423</v>
      </c>
      <c r="Q444" t="n">
        <v>0.59351</v>
      </c>
      <c r="R444" t="n">
        <v>0.23804</v>
      </c>
      <c r="S444" t="n">
        <v>-1.3224</v>
      </c>
      <c r="T444" t="n">
        <v>0.024219</v>
      </c>
      <c r="U444" t="n">
        <v>0.23195</v>
      </c>
      <c r="V444" t="n">
        <v>1.4296</v>
      </c>
      <c r="W444" t="n">
        <v>0.64641</v>
      </c>
      <c r="X444" t="n">
        <v>0.96968</v>
      </c>
      <c r="Y444" t="n">
        <v>0.54276</v>
      </c>
      <c r="Z444" t="n">
        <v>0.94496</v>
      </c>
    </row>
    <row r="445">
      <c r="A445" t="inlineStr">
        <is>
          <t>bouta</t>
        </is>
      </c>
      <c r="B445" t="n">
        <v>-0.73354</v>
      </c>
      <c r="C445" t="n">
        <v>2.4536</v>
      </c>
      <c r="D445" t="n">
        <v>0.91292</v>
      </c>
      <c r="E445" t="n">
        <v>-0.86133</v>
      </c>
      <c r="F445" t="n">
        <v>-0.41524</v>
      </c>
      <c r="G445" t="n">
        <v>0.6703</v>
      </c>
      <c r="H445" t="n">
        <v>0.47585</v>
      </c>
      <c r="I445" t="n">
        <v>-1.0253</v>
      </c>
      <c r="J445" t="n">
        <v>0.43879</v>
      </c>
      <c r="K445" t="n">
        <v>-0.31257</v>
      </c>
      <c r="L445" t="n">
        <v>-0.91118</v>
      </c>
      <c r="M445" t="n">
        <v>0.79756</v>
      </c>
      <c r="N445" t="n">
        <v>-2.9896</v>
      </c>
      <c r="O445" t="n">
        <v>-0.94503</v>
      </c>
      <c r="P445" t="n">
        <v>0.094833</v>
      </c>
      <c r="Q445" t="n">
        <v>0.28216</v>
      </c>
      <c r="R445" t="n">
        <v>0.8760599999999999</v>
      </c>
      <c r="S445" t="n">
        <v>-0.9895</v>
      </c>
      <c r="T445" t="n">
        <v>-0.82495</v>
      </c>
      <c r="U445" t="n">
        <v>-0.6877799999999999</v>
      </c>
      <c r="V445" t="n">
        <v>1.131</v>
      </c>
      <c r="W445" t="n">
        <v>0.7075</v>
      </c>
      <c r="X445" t="n">
        <v>1.9432</v>
      </c>
      <c r="Y445" t="n">
        <v>0.37231</v>
      </c>
      <c r="Z445" t="n">
        <v>1.0468</v>
      </c>
    </row>
    <row r="446">
      <c r="A446" t="inlineStr">
        <is>
          <t>marathon</t>
        </is>
      </c>
      <c r="B446" t="n">
        <v>-0.1607</v>
      </c>
      <c r="C446" t="n">
        <v>0.1784</v>
      </c>
      <c r="D446" t="n">
        <v>0.55381</v>
      </c>
      <c r="E446" t="n">
        <v>-0.82617</v>
      </c>
      <c r="F446" t="n">
        <v>-0.24095</v>
      </c>
      <c r="G446" t="n">
        <v>-0.46688</v>
      </c>
      <c r="H446" t="n">
        <v>1.4813</v>
      </c>
      <c r="I446" t="n">
        <v>-0.38537</v>
      </c>
      <c r="J446" t="n">
        <v>0.15211</v>
      </c>
      <c r="K446" t="n">
        <v>-0.059913</v>
      </c>
      <c r="L446" t="n">
        <v>0.42239</v>
      </c>
      <c r="M446" t="n">
        <v>0.58194</v>
      </c>
      <c r="N446" t="n">
        <v>-2.4475</v>
      </c>
      <c r="O446" t="n">
        <v>1.1615</v>
      </c>
      <c r="P446" t="n">
        <v>1.0293</v>
      </c>
      <c r="Q446" t="n">
        <v>0.81128</v>
      </c>
      <c r="R446" t="n">
        <v>0.1301</v>
      </c>
      <c r="S446" t="n">
        <v>-0.049618</v>
      </c>
      <c r="T446" t="n">
        <v>-0.55765</v>
      </c>
      <c r="U446" t="n">
        <v>-0.19738</v>
      </c>
      <c r="V446" t="n">
        <v>-0.8672299999999999</v>
      </c>
      <c r="W446" t="n">
        <v>-0.23766</v>
      </c>
      <c r="X446" t="n">
        <v>-0.061403</v>
      </c>
      <c r="Y446" t="n">
        <v>-1.1277</v>
      </c>
      <c r="Z446" t="n">
        <v>1.2273</v>
      </c>
    </row>
    <row r="447">
      <c r="A447" t="inlineStr">
        <is>
          <t>county</t>
        </is>
      </c>
      <c r="B447" t="n">
        <v>-1.2193</v>
      </c>
      <c r="C447" t="n">
        <v>0.25505</v>
      </c>
      <c r="D447" t="n">
        <v>0.28578</v>
      </c>
      <c r="E447" t="n">
        <v>-1.2109</v>
      </c>
      <c r="F447" t="n">
        <v>-0.81677</v>
      </c>
      <c r="G447" t="n">
        <v>-0.1947</v>
      </c>
      <c r="H447" t="n">
        <v>0.0030627</v>
      </c>
      <c r="I447" t="n">
        <v>-0.91832</v>
      </c>
      <c r="J447" t="n">
        <v>1.3886</v>
      </c>
      <c r="K447" t="n">
        <v>0.11834</v>
      </c>
      <c r="L447" t="n">
        <v>0.09408999999999999</v>
      </c>
      <c r="M447" t="n">
        <v>-0.21537</v>
      </c>
      <c r="N447" t="n">
        <v>-3.7763</v>
      </c>
      <c r="O447" t="n">
        <v>1.5703</v>
      </c>
      <c r="P447" t="n">
        <v>1.805</v>
      </c>
      <c r="Q447" t="n">
        <v>-1.9141</v>
      </c>
      <c r="R447" t="n">
        <v>0.20614</v>
      </c>
      <c r="S447" t="n">
        <v>0.2962</v>
      </c>
      <c r="T447" t="n">
        <v>-0.060825</v>
      </c>
      <c r="U447" t="n">
        <v>0.69552</v>
      </c>
      <c r="V447" t="n">
        <v>1.3253</v>
      </c>
      <c r="W447" t="n">
        <v>-0.15283</v>
      </c>
      <c r="X447" t="n">
        <v>0.07999199999999999</v>
      </c>
      <c r="Y447" t="n">
        <v>-1.6425</v>
      </c>
      <c r="Z447" t="n">
        <v>-0.13791</v>
      </c>
    </row>
    <row r="448">
      <c r="A448" t="inlineStr">
        <is>
          <t>washington</t>
        </is>
      </c>
      <c r="B448" t="n">
        <v>-0.1191</v>
      </c>
      <c r="C448" t="n">
        <v>0.26218</v>
      </c>
      <c r="D448" t="n">
        <v>-0.16353</v>
      </c>
      <c r="E448" t="n">
        <v>-0.72116</v>
      </c>
      <c r="F448" t="n">
        <v>-0.7811900000000001</v>
      </c>
      <c r="G448" t="n">
        <v>-0.42623</v>
      </c>
      <c r="H448" t="n">
        <v>-0.10097</v>
      </c>
      <c r="I448" t="n">
        <v>-0.2505</v>
      </c>
      <c r="J448" t="n">
        <v>0.75413</v>
      </c>
      <c r="K448" t="n">
        <v>-0.47336</v>
      </c>
      <c r="L448" t="n">
        <v>0.3879</v>
      </c>
      <c r="M448" t="n">
        <v>-0.1336</v>
      </c>
      <c r="N448" t="n">
        <v>-3.4461</v>
      </c>
      <c r="O448" t="n">
        <v>0.89002</v>
      </c>
      <c r="P448" t="n">
        <v>1.4017</v>
      </c>
      <c r="Q448" t="n">
        <v>-1.3791</v>
      </c>
      <c r="R448" t="n">
        <v>-0.41759</v>
      </c>
      <c r="S448" t="n">
        <v>0.41946</v>
      </c>
      <c r="T448" t="n">
        <v>0.22955</v>
      </c>
      <c r="U448" t="n">
        <v>-0.15579</v>
      </c>
      <c r="V448" t="n">
        <v>0.46612</v>
      </c>
      <c r="W448" t="n">
        <v>-0.60972</v>
      </c>
      <c r="X448" t="n">
        <v>-0.11067</v>
      </c>
      <c r="Y448" t="n">
        <v>-1.4612</v>
      </c>
      <c r="Z448" t="n">
        <v>0.13497</v>
      </c>
    </row>
    <row r="449">
      <c r="A449" t="inlineStr">
        <is>
          <t>thomas</t>
        </is>
      </c>
      <c r="B449" t="n">
        <v>-0.41657</v>
      </c>
      <c r="C449" t="n">
        <v>-0.70474</v>
      </c>
      <c r="D449" t="n">
        <v>-0.21367</v>
      </c>
      <c r="E449" t="n">
        <v>0.42747</v>
      </c>
      <c r="F449" t="n">
        <v>-1.0633</v>
      </c>
      <c r="G449" t="n">
        <v>-0.16528</v>
      </c>
      <c r="H449" t="n">
        <v>-0.67266</v>
      </c>
      <c r="I449" t="n">
        <v>0.42237</v>
      </c>
      <c r="J449" t="n">
        <v>0.29699</v>
      </c>
      <c r="K449" t="n">
        <v>-1.6956</v>
      </c>
      <c r="L449" t="n">
        <v>0.31194</v>
      </c>
      <c r="M449" t="n">
        <v>0.69081</v>
      </c>
      <c r="N449" t="n">
        <v>-3.2524</v>
      </c>
      <c r="O449" t="n">
        <v>-0.53279</v>
      </c>
      <c r="P449" t="n">
        <v>1.0406</v>
      </c>
      <c r="Q449" t="n">
        <v>-0.56352</v>
      </c>
      <c r="R449" t="n">
        <v>-0.69181</v>
      </c>
      <c r="S449" t="n">
        <v>0.27357</v>
      </c>
      <c r="T449" t="n">
        <v>-0.92081</v>
      </c>
      <c r="U449" t="n">
        <v>0.41603</v>
      </c>
      <c r="V449" t="n">
        <v>0.36869</v>
      </c>
      <c r="W449" t="n">
        <v>0.39414</v>
      </c>
      <c r="X449" t="n">
        <v>-0.63785</v>
      </c>
      <c r="Y449" t="n">
        <v>-0.34884</v>
      </c>
      <c r="Z449" t="n">
        <v>-0.61012</v>
      </c>
    </row>
    <row r="450">
      <c r="A450" t="inlineStr">
        <is>
          <t>becomes</t>
        </is>
      </c>
      <c r="B450" t="n">
        <v>-0.65562</v>
      </c>
      <c r="C450" t="n">
        <v>-0.48346</v>
      </c>
      <c r="D450" t="n">
        <v>-0.47729</v>
      </c>
      <c r="E450" t="n">
        <v>-0.49043</v>
      </c>
      <c r="F450" t="n">
        <v>0.36332</v>
      </c>
      <c r="G450" t="n">
        <v>-0.025192</v>
      </c>
      <c r="H450" t="n">
        <v>1.3923</v>
      </c>
      <c r="I450" t="n">
        <v>-0.66275</v>
      </c>
      <c r="J450" t="n">
        <v>-0.38386</v>
      </c>
      <c r="K450" t="n">
        <v>-0.24323</v>
      </c>
      <c r="L450" t="n">
        <v>0.16477</v>
      </c>
      <c r="M450" t="n">
        <v>1.157</v>
      </c>
      <c r="N450" t="n">
        <v>-3.4492</v>
      </c>
      <c r="O450" t="n">
        <v>0.55174</v>
      </c>
      <c r="P450" t="n">
        <v>0.31714</v>
      </c>
      <c r="Q450" t="n">
        <v>0.38321</v>
      </c>
      <c r="R450" t="n">
        <v>0.17722</v>
      </c>
      <c r="S450" t="n">
        <v>1.0231</v>
      </c>
      <c r="T450" t="n">
        <v>1.2804</v>
      </c>
      <c r="U450" t="n">
        <v>-0.9768</v>
      </c>
      <c r="V450" t="n">
        <v>0.31796</v>
      </c>
      <c r="W450" t="n">
        <v>0.53669</v>
      </c>
      <c r="X450" t="n">
        <v>-0.24504</v>
      </c>
      <c r="Y450" t="n">
        <v>-0.4053</v>
      </c>
      <c r="Z450" t="n">
        <v>-1.0519</v>
      </c>
    </row>
    <row r="451">
      <c r="A451" t="inlineStr">
        <is>
          <t>hacerlo</t>
        </is>
      </c>
      <c r="B451" t="n">
        <v>0.037234</v>
      </c>
      <c r="C451" t="n">
        <v>0.46063</v>
      </c>
      <c r="D451" t="n">
        <v>-0.61088</v>
      </c>
      <c r="E451" t="n">
        <v>1.0474</v>
      </c>
      <c r="F451" t="n">
        <v>0.26806</v>
      </c>
      <c r="G451" t="n">
        <v>1.0587</v>
      </c>
      <c r="H451" t="n">
        <v>-0.48659</v>
      </c>
      <c r="I451" t="n">
        <v>2.2699</v>
      </c>
      <c r="J451" t="n">
        <v>-1.1177</v>
      </c>
      <c r="K451" t="n">
        <v>-1.0471</v>
      </c>
      <c r="L451" t="n">
        <v>0.7225200000000001</v>
      </c>
      <c r="M451" t="n">
        <v>-2.2405</v>
      </c>
      <c r="N451" t="n">
        <v>-0.69851</v>
      </c>
      <c r="O451" t="n">
        <v>-0.0085106</v>
      </c>
      <c r="P451" t="n">
        <v>1.5231</v>
      </c>
      <c r="Q451" t="n">
        <v>0.89786</v>
      </c>
      <c r="R451" t="n">
        <v>-0.76894</v>
      </c>
      <c r="S451" t="n">
        <v>0.48397</v>
      </c>
      <c r="T451" t="n">
        <v>0.77146</v>
      </c>
      <c r="U451" t="n">
        <v>-1.4282</v>
      </c>
      <c r="V451" t="n">
        <v>-0.26631</v>
      </c>
      <c r="W451" t="n">
        <v>-0.83817</v>
      </c>
      <c r="X451" t="n">
        <v>-0.36395</v>
      </c>
      <c r="Y451" t="n">
        <v>1.463</v>
      </c>
      <c r="Z451" t="n">
        <v>-0.16882</v>
      </c>
    </row>
    <row r="452">
      <c r="A452" t="inlineStr">
        <is>
          <t>constantly</t>
        </is>
      </c>
      <c r="B452" t="n">
        <v>-0.45431</v>
      </c>
      <c r="C452" t="n">
        <v>0.88273</v>
      </c>
      <c r="D452" t="n">
        <v>0.11556</v>
      </c>
      <c r="E452" t="n">
        <v>-0.091248</v>
      </c>
      <c r="F452" t="n">
        <v>0.0010977</v>
      </c>
      <c r="G452" t="n">
        <v>0.58083</v>
      </c>
      <c r="H452" t="n">
        <v>1.5485</v>
      </c>
      <c r="I452" t="n">
        <v>-1.4023</v>
      </c>
      <c r="J452" t="n">
        <v>-0.34801</v>
      </c>
      <c r="K452" t="n">
        <v>0.55847</v>
      </c>
      <c r="L452" t="n">
        <v>-0.52134</v>
      </c>
      <c r="M452" t="n">
        <v>0.33457</v>
      </c>
      <c r="N452" t="n">
        <v>-3.2572</v>
      </c>
      <c r="O452" t="n">
        <v>-0.77474</v>
      </c>
      <c r="P452" t="n">
        <v>-0.20863</v>
      </c>
      <c r="Q452" t="n">
        <v>1.6808</v>
      </c>
      <c r="R452" t="n">
        <v>-0.85499</v>
      </c>
      <c r="S452" t="n">
        <v>-0.064676</v>
      </c>
      <c r="T452" t="n">
        <v>0.70789</v>
      </c>
      <c r="U452" t="n">
        <v>-1.8218</v>
      </c>
      <c r="V452" t="n">
        <v>0.89736</v>
      </c>
      <c r="W452" t="n">
        <v>-0.010291</v>
      </c>
      <c r="X452" t="n">
        <v>-0.030834</v>
      </c>
      <c r="Y452" t="n">
        <v>-0.2898</v>
      </c>
      <c r="Z452" t="n">
        <v>-1.1793</v>
      </c>
    </row>
    <row r="453">
      <c r="A453" t="inlineStr">
        <is>
          <t>twitcam</t>
        </is>
      </c>
      <c r="B453" t="n">
        <v>0.023774</v>
      </c>
      <c r="C453" t="n">
        <v>0.57115</v>
      </c>
      <c r="D453" t="n">
        <v>1.4181</v>
      </c>
      <c r="E453" t="n">
        <v>-0.43772</v>
      </c>
      <c r="F453" t="n">
        <v>0.019653</v>
      </c>
      <c r="G453" t="n">
        <v>-1.1486</v>
      </c>
      <c r="H453" t="n">
        <v>0.34336</v>
      </c>
      <c r="I453" t="n">
        <v>0.7829700000000001</v>
      </c>
      <c r="J453" t="n">
        <v>-0.90491</v>
      </c>
      <c r="K453" t="n">
        <v>-2.123</v>
      </c>
      <c r="L453" t="n">
        <v>-0.74756</v>
      </c>
      <c r="M453" t="n">
        <v>-1.1975</v>
      </c>
      <c r="N453" t="n">
        <v>-2.1272</v>
      </c>
      <c r="O453" t="n">
        <v>-0.33187</v>
      </c>
      <c r="P453" t="n">
        <v>-0.04016</v>
      </c>
      <c r="Q453" t="n">
        <v>1.2151</v>
      </c>
      <c r="R453" t="n">
        <v>-0.77261</v>
      </c>
      <c r="S453" t="n">
        <v>-0.26002</v>
      </c>
      <c r="T453" t="n">
        <v>-1.1739</v>
      </c>
      <c r="U453" t="n">
        <v>-0.19804</v>
      </c>
      <c r="V453" t="n">
        <v>-0.62477</v>
      </c>
      <c r="W453" t="n">
        <v>-0.45258</v>
      </c>
      <c r="X453" t="n">
        <v>0.015257</v>
      </c>
      <c r="Y453" t="n">
        <v>0.17573</v>
      </c>
      <c r="Z453" t="n">
        <v>0.065383</v>
      </c>
    </row>
    <row r="454">
      <c r="A454" t="inlineStr">
        <is>
          <t>houston</t>
        </is>
      </c>
      <c r="B454" t="n">
        <v>-0.86454</v>
      </c>
      <c r="C454" t="n">
        <v>1.0386</v>
      </c>
      <c r="D454" t="n">
        <v>0.30597</v>
      </c>
      <c r="E454" t="n">
        <v>-0.91243</v>
      </c>
      <c r="F454" t="n">
        <v>-0.6128</v>
      </c>
      <c r="G454" t="n">
        <v>-0.052723</v>
      </c>
      <c r="H454" t="n">
        <v>-0.007816</v>
      </c>
      <c r="I454" t="n">
        <v>0.084784</v>
      </c>
      <c r="J454" t="n">
        <v>0.41012</v>
      </c>
      <c r="K454" t="n">
        <v>-1.0049</v>
      </c>
      <c r="L454" t="n">
        <v>-0.24234</v>
      </c>
      <c r="M454" t="n">
        <v>0.46162</v>
      </c>
      <c r="N454" t="n">
        <v>-3.3841</v>
      </c>
      <c r="O454" t="n">
        <v>0.48406</v>
      </c>
      <c r="P454" t="n">
        <v>1.3784</v>
      </c>
      <c r="Q454" t="n">
        <v>-1.0034</v>
      </c>
      <c r="R454" t="n">
        <v>-0.20156</v>
      </c>
      <c r="S454" t="n">
        <v>-0.27544</v>
      </c>
      <c r="T454" t="n">
        <v>0.096303</v>
      </c>
      <c r="U454" t="n">
        <v>0.42308</v>
      </c>
      <c r="V454" t="n">
        <v>0.32782</v>
      </c>
      <c r="W454" t="n">
        <v>-0.73207</v>
      </c>
      <c r="X454" t="n">
        <v>0.24933</v>
      </c>
      <c r="Y454" t="n">
        <v>-1.3622</v>
      </c>
      <c r="Z454" t="n">
        <v>0.63034</v>
      </c>
    </row>
    <row r="455">
      <c r="A455" t="inlineStr">
        <is>
          <t>accounts</t>
        </is>
      </c>
      <c r="B455" t="n">
        <v>1.3827</v>
      </c>
      <c r="C455" t="n">
        <v>0.88035</v>
      </c>
      <c r="D455" t="n">
        <v>-0.11609</v>
      </c>
      <c r="E455" t="n">
        <v>-0.80768</v>
      </c>
      <c r="F455" t="n">
        <v>1.4938</v>
      </c>
      <c r="G455" t="n">
        <v>-1.3545</v>
      </c>
      <c r="H455" t="n">
        <v>0.40064</v>
      </c>
      <c r="I455" t="n">
        <v>-1.2229</v>
      </c>
      <c r="J455" t="n">
        <v>-1.3139</v>
      </c>
      <c r="K455" t="n">
        <v>0.62441</v>
      </c>
      <c r="L455" t="n">
        <v>0.12137</v>
      </c>
      <c r="M455" t="n">
        <v>0.2075</v>
      </c>
      <c r="N455" t="n">
        <v>-2.9444</v>
      </c>
      <c r="O455" t="n">
        <v>-0.99679</v>
      </c>
      <c r="P455" t="n">
        <v>0.022551</v>
      </c>
      <c r="Q455" t="n">
        <v>0.56241</v>
      </c>
      <c r="R455" t="n">
        <v>-0.066386</v>
      </c>
      <c r="S455" t="n">
        <v>-0.63209</v>
      </c>
      <c r="T455" t="n">
        <v>-0.01809</v>
      </c>
      <c r="U455" t="n">
        <v>-0.30586</v>
      </c>
      <c r="V455" t="n">
        <v>0.14143</v>
      </c>
      <c r="W455" t="n">
        <v>-0.95853</v>
      </c>
      <c r="X455" t="n">
        <v>-0.67197</v>
      </c>
      <c r="Y455" t="n">
        <v>-0.48559</v>
      </c>
      <c r="Z455" t="n">
        <v>-1.4029</v>
      </c>
    </row>
    <row r="456">
      <c r="A456" t="inlineStr">
        <is>
          <t>ear</t>
        </is>
      </c>
      <c r="B456" t="n">
        <v>-0.84017</v>
      </c>
      <c r="C456" t="n">
        <v>-0.34902</v>
      </c>
      <c r="D456" t="n">
        <v>0.37742</v>
      </c>
      <c r="E456" t="n">
        <v>1.1326</v>
      </c>
      <c r="F456" t="n">
        <v>0.71168</v>
      </c>
      <c r="G456" t="n">
        <v>-0.19998</v>
      </c>
      <c r="H456" t="n">
        <v>0.91513</v>
      </c>
      <c r="I456" t="n">
        <v>-1.0366</v>
      </c>
      <c r="J456" t="n">
        <v>0.16378</v>
      </c>
      <c r="K456" t="n">
        <v>0.99508</v>
      </c>
      <c r="L456" t="n">
        <v>0.19178</v>
      </c>
      <c r="M456" t="n">
        <v>0.97192</v>
      </c>
      <c r="N456" t="n">
        <v>-3.0419</v>
      </c>
      <c r="O456" t="n">
        <v>-0.88342</v>
      </c>
      <c r="P456" t="n">
        <v>-0.44333</v>
      </c>
      <c r="Q456" t="n">
        <v>0.56899</v>
      </c>
      <c r="R456" t="n">
        <v>0.26431</v>
      </c>
      <c r="S456" t="n">
        <v>0.18634</v>
      </c>
      <c r="T456" t="n">
        <v>0.24186</v>
      </c>
      <c r="U456" t="n">
        <v>-0.29616</v>
      </c>
      <c r="V456" t="n">
        <v>-0.45502</v>
      </c>
      <c r="W456" t="n">
        <v>0.9024</v>
      </c>
      <c r="X456" t="n">
        <v>2.0054</v>
      </c>
      <c r="Y456" t="n">
        <v>0.5642</v>
      </c>
      <c r="Z456" t="n">
        <v>-0.47548</v>
      </c>
    </row>
    <row r="457">
      <c r="A457" t="inlineStr">
        <is>
          <t>option</t>
        </is>
      </c>
      <c r="B457" t="n">
        <v>0.37271</v>
      </c>
      <c r="C457" t="n">
        <v>0.3081</v>
      </c>
      <c r="D457" t="n">
        <v>-1.2371</v>
      </c>
      <c r="E457" t="n">
        <v>0.046245</v>
      </c>
      <c r="F457" t="n">
        <v>0.67748</v>
      </c>
      <c r="G457" t="n">
        <v>-0.17995</v>
      </c>
      <c r="H457" t="n">
        <v>0.4387</v>
      </c>
      <c r="I457" t="n">
        <v>-1.1069</v>
      </c>
      <c r="J457" t="n">
        <v>0.18141</v>
      </c>
      <c r="K457" t="n">
        <v>-0.12171</v>
      </c>
      <c r="L457" t="n">
        <v>-0.0040669</v>
      </c>
      <c r="M457" t="n">
        <v>0.08001900000000001</v>
      </c>
      <c r="N457" t="n">
        <v>-2.9962</v>
      </c>
      <c r="O457" t="n">
        <v>0.43636</v>
      </c>
      <c r="P457" t="n">
        <v>0.60081</v>
      </c>
      <c r="Q457" t="n">
        <v>0.74266</v>
      </c>
      <c r="R457" t="n">
        <v>0.43647</v>
      </c>
      <c r="S457" t="n">
        <v>-0.5039</v>
      </c>
      <c r="T457" t="n">
        <v>-0.15617</v>
      </c>
      <c r="U457" t="n">
        <v>-0.65193</v>
      </c>
      <c r="V457" t="n">
        <v>-0.21946</v>
      </c>
      <c r="W457" t="n">
        <v>-0.46512</v>
      </c>
      <c r="X457" t="n">
        <v>-0.016261</v>
      </c>
      <c r="Y457" t="n">
        <v>0.24022</v>
      </c>
      <c r="Z457" t="n">
        <v>-1.1909</v>
      </c>
    </row>
    <row r="458">
      <c r="A458" t="inlineStr">
        <is>
          <t>allow</t>
        </is>
      </c>
      <c r="B458" t="n">
        <v>0.41695</v>
      </c>
      <c r="C458" t="n">
        <v>0.90495</v>
      </c>
      <c r="D458" t="n">
        <v>-1.3357</v>
      </c>
      <c r="E458" t="n">
        <v>0.22041</v>
      </c>
      <c r="F458" t="n">
        <v>-0.55925</v>
      </c>
      <c r="G458" t="n">
        <v>-0.78381</v>
      </c>
      <c r="H458" t="n">
        <v>0.70238</v>
      </c>
      <c r="I458" t="n">
        <v>-1.2627</v>
      </c>
      <c r="J458" t="n">
        <v>0.58125</v>
      </c>
      <c r="K458" t="n">
        <v>0.23952</v>
      </c>
      <c r="L458" t="n">
        <v>-0.31017</v>
      </c>
      <c r="M458" t="n">
        <v>0.073445</v>
      </c>
      <c r="N458" t="n">
        <v>-3.7925</v>
      </c>
      <c r="O458" t="n">
        <v>0.16904</v>
      </c>
      <c r="P458" t="n">
        <v>-0.32999</v>
      </c>
      <c r="Q458" t="n">
        <v>0.47526</v>
      </c>
      <c r="R458" t="n">
        <v>0.20769</v>
      </c>
      <c r="S458" t="n">
        <v>-0.44035</v>
      </c>
      <c r="T458" t="n">
        <v>1.0697</v>
      </c>
      <c r="U458" t="n">
        <v>-1.2833</v>
      </c>
      <c r="V458" t="n">
        <v>0.44655</v>
      </c>
      <c r="W458" t="n">
        <v>0.09402000000000001</v>
      </c>
      <c r="X458" t="n">
        <v>-0.17581</v>
      </c>
      <c r="Y458" t="n">
        <v>-0.14398</v>
      </c>
      <c r="Z458" t="n">
        <v>-0.7401799999999999</v>
      </c>
    </row>
    <row r="459">
      <c r="A459" t="inlineStr">
        <is>
          <t>research</t>
        </is>
      </c>
      <c r="B459" t="n">
        <v>0.38054</v>
      </c>
      <c r="C459" t="n">
        <v>0.56599</v>
      </c>
      <c r="D459" t="n">
        <v>-0.8150500000000001</v>
      </c>
      <c r="E459" t="n">
        <v>-0.52665</v>
      </c>
      <c r="F459" t="n">
        <v>1.3219</v>
      </c>
      <c r="G459" t="n">
        <v>-0.60271</v>
      </c>
      <c r="H459" t="n">
        <v>0.98022</v>
      </c>
      <c r="I459" t="n">
        <v>-1.3781</v>
      </c>
      <c r="J459" t="n">
        <v>1.6391</v>
      </c>
      <c r="K459" t="n">
        <v>-0.043452</v>
      </c>
      <c r="L459" t="n">
        <v>0.020539</v>
      </c>
      <c r="M459" t="n">
        <v>-0.067625</v>
      </c>
      <c r="N459" t="n">
        <v>-3.3916</v>
      </c>
      <c r="O459" t="n">
        <v>0.48226</v>
      </c>
      <c r="P459" t="n">
        <v>1.0773</v>
      </c>
      <c r="Q459" t="n">
        <v>-0.58704</v>
      </c>
      <c r="R459" t="n">
        <v>0.62386</v>
      </c>
      <c r="S459" t="n">
        <v>0.81116</v>
      </c>
      <c r="T459" t="n">
        <v>0.23743</v>
      </c>
      <c r="U459" t="n">
        <v>-0.71056</v>
      </c>
      <c r="V459" t="n">
        <v>-0.25032</v>
      </c>
      <c r="W459" t="n">
        <v>-0.65448</v>
      </c>
      <c r="X459" t="n">
        <v>-1.4903</v>
      </c>
      <c r="Y459" t="n">
        <v>0.019451</v>
      </c>
      <c r="Z459" t="n">
        <v>-0.44786</v>
      </c>
    </row>
    <row r="460">
      <c r="A460" t="inlineStr">
        <is>
          <t>heading</t>
        </is>
      </c>
      <c r="B460" t="n">
        <v>-1.5795</v>
      </c>
      <c r="C460" t="n">
        <v>0.84257</v>
      </c>
      <c r="D460" t="n">
        <v>0.69586</v>
      </c>
      <c r="E460" t="n">
        <v>-1.1456</v>
      </c>
      <c r="F460" t="n">
        <v>-1.2274</v>
      </c>
      <c r="G460" t="n">
        <v>0.39023</v>
      </c>
      <c r="H460" t="n">
        <v>0.96992</v>
      </c>
      <c r="I460" t="n">
        <v>-0.70535</v>
      </c>
      <c r="J460" t="n">
        <v>0.44568</v>
      </c>
      <c r="K460" t="n">
        <v>-0.07356</v>
      </c>
      <c r="L460" t="n">
        <v>-0.24319</v>
      </c>
      <c r="M460" t="n">
        <v>0.38571</v>
      </c>
      <c r="N460" t="n">
        <v>-3.1449</v>
      </c>
      <c r="O460" t="n">
        <v>1.051</v>
      </c>
      <c r="P460" t="n">
        <v>0.65782</v>
      </c>
      <c r="Q460" t="n">
        <v>-0.41428</v>
      </c>
      <c r="R460" t="n">
        <v>0.041651</v>
      </c>
      <c r="S460" t="n">
        <v>-0.4743</v>
      </c>
      <c r="T460" t="n">
        <v>-0.61286</v>
      </c>
      <c r="U460" t="n">
        <v>-0.75614</v>
      </c>
      <c r="V460" t="n">
        <v>-0.52196</v>
      </c>
      <c r="W460" t="n">
        <v>-0.82072</v>
      </c>
      <c r="X460" t="n">
        <v>0.35896</v>
      </c>
      <c r="Y460" t="n">
        <v>-0.64367</v>
      </c>
      <c r="Z460" t="n">
        <v>-0.093597</v>
      </c>
    </row>
    <row r="461">
      <c r="A461" t="inlineStr">
        <is>
          <t>crash</t>
        </is>
      </c>
      <c r="B461" t="n">
        <v>-0.31986</v>
      </c>
      <c r="C461" t="n">
        <v>0.4839</v>
      </c>
      <c r="D461" t="n">
        <v>0.40577</v>
      </c>
      <c r="E461" t="n">
        <v>-0.16617</v>
      </c>
      <c r="F461" t="n">
        <v>-0.55216</v>
      </c>
      <c r="G461" t="n">
        <v>-0.31417</v>
      </c>
      <c r="H461" t="n">
        <v>0.8996499999999999</v>
      </c>
      <c r="I461" t="n">
        <v>-0.22214</v>
      </c>
      <c r="J461" t="n">
        <v>0.82469</v>
      </c>
      <c r="K461" t="n">
        <v>0.74082</v>
      </c>
      <c r="L461" t="n">
        <v>0.64595</v>
      </c>
      <c r="M461" t="n">
        <v>0.58346</v>
      </c>
      <c r="N461" t="n">
        <v>-2.672</v>
      </c>
      <c r="O461" t="n">
        <v>0.6782</v>
      </c>
      <c r="P461" t="n">
        <v>1.3181</v>
      </c>
      <c r="Q461" t="n">
        <v>0.63705</v>
      </c>
      <c r="R461" t="n">
        <v>0.6518</v>
      </c>
      <c r="S461" t="n">
        <v>0.26623</v>
      </c>
      <c r="T461" t="n">
        <v>-0.11042</v>
      </c>
      <c r="U461" t="n">
        <v>-0.92858</v>
      </c>
      <c r="V461" t="n">
        <v>0.098257</v>
      </c>
      <c r="W461" t="n">
        <v>-0.60106</v>
      </c>
      <c r="X461" t="n">
        <v>1.3216</v>
      </c>
      <c r="Y461" t="n">
        <v>-1.5307</v>
      </c>
      <c r="Z461" t="n">
        <v>0.20322</v>
      </c>
    </row>
    <row r="462">
      <c r="A462" t="inlineStr">
        <is>
          <t>meaning</t>
        </is>
      </c>
      <c r="B462" t="n">
        <v>0.724</v>
      </c>
      <c r="C462" t="n">
        <v>-0.17225</v>
      </c>
      <c r="D462" t="n">
        <v>-0.1904</v>
      </c>
      <c r="E462" t="n">
        <v>0.6732900000000001</v>
      </c>
      <c r="F462" t="n">
        <v>0.25154</v>
      </c>
      <c r="G462" t="n">
        <v>-0.5361900000000001</v>
      </c>
      <c r="H462" t="n">
        <v>1.446</v>
      </c>
      <c r="I462" t="n">
        <v>-0.81969</v>
      </c>
      <c r="J462" t="n">
        <v>-0.17411</v>
      </c>
      <c r="K462" t="n">
        <v>0.11108</v>
      </c>
      <c r="L462" t="n">
        <v>-0.87512</v>
      </c>
      <c r="M462" t="n">
        <v>0.34872</v>
      </c>
      <c r="N462" t="n">
        <v>-3.2348</v>
      </c>
      <c r="O462" t="n">
        <v>0.6073499999999999</v>
      </c>
      <c r="P462" t="n">
        <v>-0.1075</v>
      </c>
      <c r="Q462" t="n">
        <v>0.72085</v>
      </c>
      <c r="R462" t="n">
        <v>0.8653</v>
      </c>
      <c r="S462" t="n">
        <v>0.58873</v>
      </c>
      <c r="T462" t="n">
        <v>0.8181</v>
      </c>
      <c r="U462" t="n">
        <v>-0.049388</v>
      </c>
      <c r="V462" t="n">
        <v>-0.11196</v>
      </c>
      <c r="W462" t="n">
        <v>0.43863</v>
      </c>
      <c r="X462" t="n">
        <v>-0.60278</v>
      </c>
      <c r="Y462" t="n">
        <v>0.65112</v>
      </c>
      <c r="Z462" t="n">
        <v>-0.81064</v>
      </c>
    </row>
    <row r="463">
      <c r="A463" t="inlineStr">
        <is>
          <t>cough</t>
        </is>
      </c>
      <c r="B463" t="n">
        <v>-0.35166</v>
      </c>
      <c r="C463" t="n">
        <v>0.3691</v>
      </c>
      <c r="D463" t="n">
        <v>-0.072654</v>
      </c>
      <c r="E463" t="n">
        <v>0.89761</v>
      </c>
      <c r="F463" t="n">
        <v>0.0051513</v>
      </c>
      <c r="G463" t="n">
        <v>-0.49737</v>
      </c>
      <c r="H463" t="n">
        <v>1.9537</v>
      </c>
      <c r="I463" t="n">
        <v>-0.92378</v>
      </c>
      <c r="J463" t="n">
        <v>-0.53624</v>
      </c>
      <c r="K463" t="n">
        <v>0.7</v>
      </c>
      <c r="L463" t="n">
        <v>-0.1008</v>
      </c>
      <c r="M463" t="n">
        <v>0.43788</v>
      </c>
      <c r="N463" t="n">
        <v>-2.0724</v>
      </c>
      <c r="O463" t="n">
        <v>-1.3015</v>
      </c>
      <c r="P463" t="n">
        <v>0.99988</v>
      </c>
      <c r="Q463" t="n">
        <v>-0.1107</v>
      </c>
      <c r="R463" t="n">
        <v>0.40304</v>
      </c>
      <c r="S463" t="n">
        <v>-0.56016</v>
      </c>
      <c r="T463" t="n">
        <v>0.27214</v>
      </c>
      <c r="U463" t="n">
        <v>-0.7438900000000001</v>
      </c>
      <c r="V463" t="n">
        <v>0.40397</v>
      </c>
      <c r="W463" t="n">
        <v>1.0189</v>
      </c>
      <c r="X463" t="n">
        <v>0.9664199999999999</v>
      </c>
      <c r="Y463" t="n">
        <v>0.37602</v>
      </c>
      <c r="Z463" t="n">
        <v>0.17311</v>
      </c>
    </row>
    <row r="464">
      <c r="A464" t="inlineStr">
        <is>
          <t>neither</t>
        </is>
      </c>
      <c r="B464" t="n">
        <v>0.32716</v>
      </c>
      <c r="C464" t="n">
        <v>0.3524</v>
      </c>
      <c r="D464" t="n">
        <v>-0.72399</v>
      </c>
      <c r="E464" t="n">
        <v>0.23735</v>
      </c>
      <c r="F464" t="n">
        <v>-0.7111499999999999</v>
      </c>
      <c r="G464" t="n">
        <v>-0.32615</v>
      </c>
      <c r="H464" t="n">
        <v>0.93731</v>
      </c>
      <c r="I464" t="n">
        <v>-1.0382</v>
      </c>
      <c r="J464" t="n">
        <v>-0.67477</v>
      </c>
      <c r="K464" t="n">
        <v>0.21243</v>
      </c>
      <c r="L464" t="n">
        <v>-0.51387</v>
      </c>
      <c r="M464" t="n">
        <v>0.43551</v>
      </c>
      <c r="N464" t="n">
        <v>-3.7666</v>
      </c>
      <c r="O464" t="n">
        <v>0.10863</v>
      </c>
      <c r="P464" t="n">
        <v>0.3142</v>
      </c>
      <c r="Q464" t="n">
        <v>0.14999</v>
      </c>
      <c r="R464" t="n">
        <v>0.52411</v>
      </c>
      <c r="S464" t="n">
        <v>0.00046428</v>
      </c>
      <c r="T464" t="n">
        <v>0.6831700000000001</v>
      </c>
      <c r="U464" t="n">
        <v>-0.34974</v>
      </c>
      <c r="V464" t="n">
        <v>0.90996</v>
      </c>
      <c r="W464" t="n">
        <v>0.91314</v>
      </c>
      <c r="X464" t="n">
        <v>-0.20711</v>
      </c>
      <c r="Y464" t="n">
        <v>0.39237</v>
      </c>
      <c r="Z464" t="n">
        <v>-0.43891</v>
      </c>
    </row>
    <row r="465">
      <c r="A465" t="inlineStr">
        <is>
          <t>pleasure</t>
        </is>
      </c>
      <c r="B465" t="n">
        <v>-1.5337</v>
      </c>
      <c r="C465" t="n">
        <v>0.48136</v>
      </c>
      <c r="D465" t="n">
        <v>-0.85493</v>
      </c>
      <c r="E465" t="n">
        <v>1.0457</v>
      </c>
      <c r="F465" t="n">
        <v>0.49608</v>
      </c>
      <c r="G465" t="n">
        <v>0.014159</v>
      </c>
      <c r="H465" t="n">
        <v>1.3982</v>
      </c>
      <c r="I465" t="n">
        <v>-0.73086</v>
      </c>
      <c r="J465" t="n">
        <v>-0.248</v>
      </c>
      <c r="K465" t="n">
        <v>-0.42516</v>
      </c>
      <c r="L465" t="n">
        <v>-0.4259</v>
      </c>
      <c r="M465" t="n">
        <v>0.77355</v>
      </c>
      <c r="N465" t="n">
        <v>-2.8497</v>
      </c>
      <c r="O465" t="n">
        <v>0.30283</v>
      </c>
      <c r="P465" t="n">
        <v>-0.07303800000000001</v>
      </c>
      <c r="Q465" t="n">
        <v>0.22354</v>
      </c>
      <c r="R465" t="n">
        <v>0.33211</v>
      </c>
      <c r="S465" t="n">
        <v>0.37072</v>
      </c>
      <c r="T465" t="n">
        <v>0.009811500000000001</v>
      </c>
      <c r="U465" t="n">
        <v>-0.14404</v>
      </c>
      <c r="V465" t="n">
        <v>-0.21015</v>
      </c>
      <c r="W465" t="n">
        <v>-0.13052</v>
      </c>
      <c r="X465" t="n">
        <v>-0.9484</v>
      </c>
      <c r="Y465" t="n">
        <v>0.77951</v>
      </c>
      <c r="Z465" t="n">
        <v>-0.32214</v>
      </c>
    </row>
    <row r="466">
      <c r="A466" t="inlineStr">
        <is>
          <t>rough</t>
        </is>
      </c>
      <c r="B466" t="n">
        <v>-0.85334</v>
      </c>
      <c r="C466" t="n">
        <v>0.062281</v>
      </c>
      <c r="D466" t="n">
        <v>0.10518</v>
      </c>
      <c r="E466" t="n">
        <v>-0.17796</v>
      </c>
      <c r="F466" t="n">
        <v>0.48156</v>
      </c>
      <c r="G466" t="n">
        <v>1.0054</v>
      </c>
      <c r="H466" t="n">
        <v>1.4092</v>
      </c>
      <c r="I466" t="n">
        <v>-1.0769</v>
      </c>
      <c r="J466" t="n">
        <v>-0.16088</v>
      </c>
      <c r="K466" t="n">
        <v>-0.29346</v>
      </c>
      <c r="L466" t="n">
        <v>-0.97912</v>
      </c>
      <c r="M466" t="n">
        <v>0.77855</v>
      </c>
      <c r="N466" t="n">
        <v>-2.8461</v>
      </c>
      <c r="O466" t="n">
        <v>0.29789</v>
      </c>
      <c r="P466" t="n">
        <v>0.40711</v>
      </c>
      <c r="Q466" t="n">
        <v>-0.016146</v>
      </c>
      <c r="R466" t="n">
        <v>0.40153</v>
      </c>
      <c r="S466" t="n">
        <v>-0.40349</v>
      </c>
      <c r="T466" t="n">
        <v>-0.0087201</v>
      </c>
      <c r="U466" t="n">
        <v>-0.47008</v>
      </c>
      <c r="V466" t="n">
        <v>-0.19699</v>
      </c>
      <c r="W466" t="n">
        <v>0.68631</v>
      </c>
      <c r="X466" t="n">
        <v>0.7261</v>
      </c>
      <c r="Y466" t="n">
        <v>0.087116</v>
      </c>
      <c r="Z466" t="n">
        <v>-0.088431</v>
      </c>
    </row>
    <row r="467">
      <c r="A467" t="inlineStr">
        <is>
          <t>actions</t>
        </is>
      </c>
      <c r="B467" t="n">
        <v>1.1878</v>
      </c>
      <c r="C467" t="n">
        <v>0.090462</v>
      </c>
      <c r="D467" t="n">
        <v>-1.5089</v>
      </c>
      <c r="E467" t="n">
        <v>1.0414</v>
      </c>
      <c r="F467" t="n">
        <v>0.098707</v>
      </c>
      <c r="G467" t="n">
        <v>0.056883</v>
      </c>
      <c r="H467" t="n">
        <v>0.82855</v>
      </c>
      <c r="I467" t="n">
        <v>-1.3805</v>
      </c>
      <c r="J467" t="n">
        <v>-0.10927</v>
      </c>
      <c r="K467" t="n">
        <v>-0.40636</v>
      </c>
      <c r="L467" t="n">
        <v>-0.74879</v>
      </c>
      <c r="M467" t="n">
        <v>0.4252</v>
      </c>
      <c r="N467" t="n">
        <v>-3.2365</v>
      </c>
      <c r="O467" t="n">
        <v>1.0047</v>
      </c>
      <c r="P467" t="n">
        <v>-0.17072</v>
      </c>
      <c r="Q467" t="n">
        <v>1.234</v>
      </c>
      <c r="R467" t="n">
        <v>-0.65398</v>
      </c>
      <c r="S467" t="n">
        <v>0.090881</v>
      </c>
      <c r="T467" t="n">
        <v>0.84072</v>
      </c>
      <c r="U467" t="n">
        <v>-0.78639</v>
      </c>
      <c r="V467" t="n">
        <v>0.73055</v>
      </c>
      <c r="W467" t="n">
        <v>-0.015701</v>
      </c>
      <c r="X467" t="n">
        <v>-0.51953</v>
      </c>
      <c r="Y467" t="n">
        <v>-0.36861</v>
      </c>
      <c r="Z467" t="n">
        <v>-1.2897</v>
      </c>
    </row>
    <row r="468">
      <c r="A468" t="inlineStr">
        <is>
          <t>insight</t>
        </is>
      </c>
      <c r="B468" t="n">
        <v>0.67284</v>
      </c>
      <c r="C468" t="n">
        <v>-0.84238</v>
      </c>
      <c r="D468" t="n">
        <v>-1.3883</v>
      </c>
      <c r="E468" t="n">
        <v>-0.34299</v>
      </c>
      <c r="F468" t="n">
        <v>0.19057</v>
      </c>
      <c r="G468" t="n">
        <v>-0.34428</v>
      </c>
      <c r="H468" t="n">
        <v>0.93743</v>
      </c>
      <c r="I468" t="n">
        <v>-1.1493</v>
      </c>
      <c r="J468" t="n">
        <v>0.28273</v>
      </c>
      <c r="K468" t="n">
        <v>-0.869</v>
      </c>
      <c r="L468" t="n">
        <v>-0.19392</v>
      </c>
      <c r="M468" t="n">
        <v>-0.010608</v>
      </c>
      <c r="N468" t="n">
        <v>-2.0373</v>
      </c>
      <c r="O468" t="n">
        <v>-0.16509</v>
      </c>
      <c r="P468" t="n">
        <v>0.29047</v>
      </c>
      <c r="Q468" t="n">
        <v>0.069385</v>
      </c>
      <c r="R468" t="n">
        <v>0.33797</v>
      </c>
      <c r="S468" t="n">
        <v>0.58356</v>
      </c>
      <c r="T468" t="n">
        <v>0.8339800000000001</v>
      </c>
      <c r="U468" t="n">
        <v>-0.25468</v>
      </c>
      <c r="V468" t="n">
        <v>-1.1949</v>
      </c>
      <c r="W468" t="n">
        <v>-1.4737</v>
      </c>
      <c r="X468" t="n">
        <v>-0.81432</v>
      </c>
      <c r="Y468" t="n">
        <v>-0.047058</v>
      </c>
      <c r="Z468" t="n">
        <v>-0.54078</v>
      </c>
    </row>
    <row r="469">
      <c r="A469" t="inlineStr">
        <is>
          <t>charlie</t>
        </is>
      </c>
      <c r="B469" t="n">
        <v>-0.44084</v>
      </c>
      <c r="C469" t="n">
        <v>-0.56901</v>
      </c>
      <c r="D469" t="n">
        <v>0.85599</v>
      </c>
      <c r="E469" t="n">
        <v>0.63032</v>
      </c>
      <c r="F469" t="n">
        <v>-0.58047</v>
      </c>
      <c r="G469" t="n">
        <v>-0.33582</v>
      </c>
      <c r="H469" t="n">
        <v>0.4579</v>
      </c>
      <c r="I469" t="n">
        <v>0.19653</v>
      </c>
      <c r="J469" t="n">
        <v>-0.34342</v>
      </c>
      <c r="K469" t="n">
        <v>-1.5269</v>
      </c>
      <c r="L469" t="n">
        <v>0.076943</v>
      </c>
      <c r="M469" t="n">
        <v>-0.34905</v>
      </c>
      <c r="N469" t="n">
        <v>-2.7363</v>
      </c>
      <c r="O469" t="n">
        <v>-0.80967</v>
      </c>
      <c r="P469" t="n">
        <v>0.74438</v>
      </c>
      <c r="Q469" t="n">
        <v>-0.6425999999999999</v>
      </c>
      <c r="R469" t="n">
        <v>-0.21963</v>
      </c>
      <c r="S469" t="n">
        <v>-0.10364</v>
      </c>
      <c r="T469" t="n">
        <v>-0.53127</v>
      </c>
      <c r="U469" t="n">
        <v>-0.0033601</v>
      </c>
      <c r="V469" t="n">
        <v>0.025148</v>
      </c>
      <c r="W469" t="n">
        <v>0.90218</v>
      </c>
      <c r="X469" t="n">
        <v>-0.49995</v>
      </c>
      <c r="Y469" t="n">
        <v>-0.45956</v>
      </c>
      <c r="Z469" t="n">
        <v>0.2174</v>
      </c>
    </row>
    <row r="470">
      <c r="A470" t="inlineStr">
        <is>
          <t>toute</t>
        </is>
      </c>
      <c r="B470" t="n">
        <v>0.1337</v>
      </c>
      <c r="C470" t="n">
        <v>-1.657</v>
      </c>
      <c r="D470" t="n">
        <v>-1.2345</v>
      </c>
      <c r="E470" t="n">
        <v>1.1399</v>
      </c>
      <c r="F470" t="n">
        <v>-0.096454</v>
      </c>
      <c r="G470" t="n">
        <v>0.73353</v>
      </c>
      <c r="H470" t="n">
        <v>-0.17926</v>
      </c>
      <c r="I470" t="n">
        <v>-0.048159</v>
      </c>
      <c r="J470" t="n">
        <v>0.21246</v>
      </c>
      <c r="K470" t="n">
        <v>-0.37875</v>
      </c>
      <c r="L470" t="n">
        <v>-1.2502</v>
      </c>
      <c r="M470" t="n">
        <v>-1.1112</v>
      </c>
      <c r="N470" t="n">
        <v>-1.6139</v>
      </c>
      <c r="O470" t="n">
        <v>1.4551</v>
      </c>
      <c r="P470" t="n">
        <v>0.55728</v>
      </c>
      <c r="Q470" t="n">
        <v>1.8285</v>
      </c>
      <c r="R470" t="n">
        <v>-0.22213</v>
      </c>
      <c r="S470" t="n">
        <v>0.14922</v>
      </c>
      <c r="T470" t="n">
        <v>-3.3743</v>
      </c>
      <c r="U470" t="n">
        <v>2.1968</v>
      </c>
      <c r="V470" t="n">
        <v>0.48494</v>
      </c>
      <c r="W470" t="n">
        <v>-1.3621</v>
      </c>
      <c r="X470" t="n">
        <v>0.0051357</v>
      </c>
      <c r="Y470" t="n">
        <v>-0.63512</v>
      </c>
      <c r="Z470" t="n">
        <v>-0.35077</v>
      </c>
    </row>
    <row r="471">
      <c r="A471" t="inlineStr">
        <is>
          <t>becoming</t>
        </is>
      </c>
      <c r="B471" t="n">
        <v>-0.54664</v>
      </c>
      <c r="C471" t="n">
        <v>0.31456</v>
      </c>
      <c r="D471" t="n">
        <v>-0.33596</v>
      </c>
      <c r="E471" t="n">
        <v>-0.92187</v>
      </c>
      <c r="F471" t="n">
        <v>0.64412</v>
      </c>
      <c r="G471" t="n">
        <v>0.85426</v>
      </c>
      <c r="H471" t="n">
        <v>1.0363</v>
      </c>
      <c r="I471" t="n">
        <v>-1.0775</v>
      </c>
      <c r="J471" t="n">
        <v>-0.73003</v>
      </c>
      <c r="K471" t="n">
        <v>-0.36838</v>
      </c>
      <c r="L471" t="n">
        <v>-0.64281</v>
      </c>
      <c r="M471" t="n">
        <v>0.71179</v>
      </c>
      <c r="N471" t="n">
        <v>-3.5294</v>
      </c>
      <c r="O471" t="n">
        <v>0.10743</v>
      </c>
      <c r="P471" t="n">
        <v>0.20404</v>
      </c>
      <c r="Q471" t="n">
        <v>-0.1674</v>
      </c>
      <c r="R471" t="n">
        <v>-0.11257</v>
      </c>
      <c r="S471" t="n">
        <v>0.72433</v>
      </c>
      <c r="T471" t="n">
        <v>0.9716399999999999</v>
      </c>
      <c r="U471" t="n">
        <v>-1.286</v>
      </c>
      <c r="V471" t="n">
        <v>-0.042009</v>
      </c>
      <c r="W471" t="n">
        <v>0.36109</v>
      </c>
      <c r="X471" t="n">
        <v>-0.90944</v>
      </c>
      <c r="Y471" t="n">
        <v>-0.92974</v>
      </c>
      <c r="Z471" t="n">
        <v>-0.5477</v>
      </c>
    </row>
    <row r="472">
      <c r="A472" t="inlineStr">
        <is>
          <t>refuse</t>
        </is>
      </c>
      <c r="B472" t="n">
        <v>-0.00052104</v>
      </c>
      <c r="C472" t="n">
        <v>0.59034</v>
      </c>
      <c r="D472" t="n">
        <v>-1.7231</v>
      </c>
      <c r="E472" t="n">
        <v>0.10059</v>
      </c>
      <c r="F472" t="n">
        <v>-1.0099</v>
      </c>
      <c r="G472" t="n">
        <v>0.00058707</v>
      </c>
      <c r="H472" t="n">
        <v>0.45718</v>
      </c>
      <c r="I472" t="n">
        <v>-1.3798</v>
      </c>
      <c r="J472" t="n">
        <v>0.19444</v>
      </c>
      <c r="K472" t="n">
        <v>0.078419</v>
      </c>
      <c r="L472" t="n">
        <v>-0.30232</v>
      </c>
      <c r="M472" t="n">
        <v>-0.29142</v>
      </c>
      <c r="N472" t="n">
        <v>-3.3731</v>
      </c>
      <c r="O472" t="n">
        <v>-0.02504</v>
      </c>
      <c r="P472" t="n">
        <v>-0.2829</v>
      </c>
      <c r="Q472" t="n">
        <v>1.5255</v>
      </c>
      <c r="R472" t="n">
        <v>0.072799</v>
      </c>
      <c r="S472" t="n">
        <v>-0.30324</v>
      </c>
      <c r="T472" t="n">
        <v>-0.23814</v>
      </c>
      <c r="U472" t="n">
        <v>-1.3359</v>
      </c>
      <c r="V472" t="n">
        <v>0.9243</v>
      </c>
      <c r="W472" t="n">
        <v>0.23903</v>
      </c>
      <c r="X472" t="n">
        <v>0.39674</v>
      </c>
      <c r="Y472" t="n">
        <v>-0.53788</v>
      </c>
      <c r="Z472" t="n">
        <v>-0.3187</v>
      </c>
    </row>
    <row r="473">
      <c r="A473" t="inlineStr">
        <is>
          <t>easter</t>
        </is>
      </c>
      <c r="B473" t="n">
        <v>-1.1595</v>
      </c>
      <c r="C473" t="n">
        <v>0.58123</v>
      </c>
      <c r="D473" t="n">
        <v>0.65082</v>
      </c>
      <c r="E473" t="n">
        <v>0.27446</v>
      </c>
      <c r="F473" t="n">
        <v>0.005672</v>
      </c>
      <c r="G473" t="n">
        <v>-0.44436</v>
      </c>
      <c r="H473" t="n">
        <v>1.5874</v>
      </c>
      <c r="I473" t="n">
        <v>-1.2852</v>
      </c>
      <c r="J473" t="n">
        <v>-0.89166</v>
      </c>
      <c r="K473" t="n">
        <v>-0.5353</v>
      </c>
      <c r="L473" t="n">
        <v>0.34567</v>
      </c>
      <c r="M473" t="n">
        <v>-0.48127</v>
      </c>
      <c r="N473" t="n">
        <v>-2.6372</v>
      </c>
      <c r="O473" t="n">
        <v>0.67094</v>
      </c>
      <c r="P473" t="n">
        <v>-0.52283</v>
      </c>
      <c r="Q473" t="n">
        <v>-0.61995</v>
      </c>
      <c r="R473" t="n">
        <v>0.95594</v>
      </c>
      <c r="S473" t="n">
        <v>-0.66025</v>
      </c>
      <c r="T473" t="n">
        <v>-0.53106</v>
      </c>
      <c r="U473" t="n">
        <v>0.7305</v>
      </c>
      <c r="V473" t="n">
        <v>-0.95404</v>
      </c>
      <c r="W473" t="n">
        <v>-0.058765</v>
      </c>
      <c r="X473" t="n">
        <v>-0.75634</v>
      </c>
      <c r="Y473" t="n">
        <v>0.39537</v>
      </c>
      <c r="Z473" t="n">
        <v>0.69016</v>
      </c>
    </row>
    <row r="474">
      <c r="A474" t="inlineStr">
        <is>
          <t>torres</t>
        </is>
      </c>
      <c r="B474" t="n">
        <v>0.12867</v>
      </c>
      <c r="C474" t="n">
        <v>0.22092</v>
      </c>
      <c r="D474" t="n">
        <v>0.54262</v>
      </c>
      <c r="E474" t="n">
        <v>-0.40254</v>
      </c>
      <c r="F474" t="n">
        <v>-1.0799</v>
      </c>
      <c r="G474" t="n">
        <v>0.51351</v>
      </c>
      <c r="H474" t="n">
        <v>-1.291</v>
      </c>
      <c r="I474" t="n">
        <v>1.6925</v>
      </c>
      <c r="J474" t="n">
        <v>0.024628</v>
      </c>
      <c r="K474" t="n">
        <v>-1.189</v>
      </c>
      <c r="L474" t="n">
        <v>1.0023</v>
      </c>
      <c r="M474" t="n">
        <v>0.037197</v>
      </c>
      <c r="N474" t="n">
        <v>-2.6893</v>
      </c>
      <c r="O474" t="n">
        <v>0.22431</v>
      </c>
      <c r="P474" t="n">
        <v>1.3472</v>
      </c>
      <c r="Q474" t="n">
        <v>-0.65947</v>
      </c>
      <c r="R474" t="n">
        <v>-0.67075</v>
      </c>
      <c r="S474" t="n">
        <v>-0.3377</v>
      </c>
      <c r="T474" t="n">
        <v>0.28309</v>
      </c>
      <c r="U474" t="n">
        <v>-0.16653</v>
      </c>
      <c r="V474" t="n">
        <v>-0.17479</v>
      </c>
      <c r="W474" t="n">
        <v>1.0729</v>
      </c>
      <c r="X474" t="n">
        <v>-0.09168800000000001</v>
      </c>
      <c r="Y474" t="n">
        <v>-0.48989</v>
      </c>
      <c r="Z474" t="n">
        <v>-0.75497</v>
      </c>
    </row>
    <row r="475">
      <c r="A475" t="inlineStr">
        <is>
          <t>written</t>
        </is>
      </c>
      <c r="B475" t="n">
        <v>0.88996</v>
      </c>
      <c r="C475" t="n">
        <v>-0.34193</v>
      </c>
      <c r="D475" t="n">
        <v>0.69223</v>
      </c>
      <c r="E475" t="n">
        <v>0.013648</v>
      </c>
      <c r="F475" t="n">
        <v>0.53917</v>
      </c>
      <c r="G475" t="n">
        <v>-1.0874</v>
      </c>
      <c r="H475" t="n">
        <v>1.1183</v>
      </c>
      <c r="I475" t="n">
        <v>-1.2063</v>
      </c>
      <c r="J475" t="n">
        <v>-0.5874</v>
      </c>
      <c r="K475" t="n">
        <v>-0.67357</v>
      </c>
      <c r="L475" t="n">
        <v>0.095763</v>
      </c>
      <c r="M475" t="n">
        <v>1.5746</v>
      </c>
      <c r="N475" t="n">
        <v>-3.3165</v>
      </c>
      <c r="O475" t="n">
        <v>0.11757</v>
      </c>
      <c r="P475" t="n">
        <v>0.0011641</v>
      </c>
      <c r="Q475" t="n">
        <v>0.44391</v>
      </c>
      <c r="R475" t="n">
        <v>0.9867</v>
      </c>
      <c r="S475" t="n">
        <v>1.3324</v>
      </c>
      <c r="T475" t="n">
        <v>-0.017471</v>
      </c>
      <c r="U475" t="n">
        <v>-0.5889799999999999</v>
      </c>
      <c r="V475" t="n">
        <v>-0.33052</v>
      </c>
      <c r="W475" t="n">
        <v>-0.27151</v>
      </c>
      <c r="X475" t="n">
        <v>-0.87914</v>
      </c>
      <c r="Y475" t="n">
        <v>0.23724</v>
      </c>
      <c r="Z475" t="n">
        <v>-0.71528</v>
      </c>
    </row>
    <row r="476">
      <c r="A476" t="inlineStr">
        <is>
          <t>headed</t>
        </is>
      </c>
      <c r="B476" t="n">
        <v>-1.4938</v>
      </c>
      <c r="C476" t="n">
        <v>0.54416</v>
      </c>
      <c r="D476" t="n">
        <v>0.024524</v>
      </c>
      <c r="E476" t="n">
        <v>-0.7571600000000001</v>
      </c>
      <c r="F476" t="n">
        <v>-0.24302</v>
      </c>
      <c r="G476" t="n">
        <v>0.7185</v>
      </c>
      <c r="H476" t="n">
        <v>0.6422099999999999</v>
      </c>
      <c r="I476" t="n">
        <v>-1.0789</v>
      </c>
      <c r="J476" t="n">
        <v>0.0832</v>
      </c>
      <c r="K476" t="n">
        <v>-0.018233</v>
      </c>
      <c r="L476" t="n">
        <v>-0.61431</v>
      </c>
      <c r="M476" t="n">
        <v>0.39246</v>
      </c>
      <c r="N476" t="n">
        <v>-3.3521</v>
      </c>
      <c r="O476" t="n">
        <v>0.5794</v>
      </c>
      <c r="P476" t="n">
        <v>0.43534</v>
      </c>
      <c r="Q476" t="n">
        <v>-0.46943</v>
      </c>
      <c r="R476" t="n">
        <v>0.51729</v>
      </c>
      <c r="S476" t="n">
        <v>-0.66274</v>
      </c>
      <c r="T476" t="n">
        <v>-0.046524</v>
      </c>
      <c r="U476" t="n">
        <v>-0.25947</v>
      </c>
      <c r="V476" t="n">
        <v>0.43931</v>
      </c>
      <c r="W476" t="n">
        <v>0.29585</v>
      </c>
      <c r="X476" t="n">
        <v>1.0102</v>
      </c>
      <c r="Y476" t="n">
        <v>-1.0101</v>
      </c>
      <c r="Z476" t="n">
        <v>0.14882</v>
      </c>
    </row>
    <row r="477">
      <c r="A477" t="inlineStr">
        <is>
          <t>complaining</t>
        </is>
      </c>
      <c r="B477" t="n">
        <v>-0.33897</v>
      </c>
      <c r="C477" t="n">
        <v>1.5792</v>
      </c>
      <c r="D477" t="n">
        <v>0.20753</v>
      </c>
      <c r="E477" t="n">
        <v>-0.26257</v>
      </c>
      <c r="F477" t="n">
        <v>0.13828</v>
      </c>
      <c r="G477" t="n">
        <v>0.63701</v>
      </c>
      <c r="H477" t="n">
        <v>1.1819</v>
      </c>
      <c r="I477" t="n">
        <v>-1.8366</v>
      </c>
      <c r="J477" t="n">
        <v>-1.0371</v>
      </c>
      <c r="K477" t="n">
        <v>0.67639</v>
      </c>
      <c r="L477" t="n">
        <v>-1.1977</v>
      </c>
      <c r="M477" t="n">
        <v>0.077227</v>
      </c>
      <c r="N477" t="n">
        <v>-3.2403</v>
      </c>
      <c r="O477" t="n">
        <v>-0.36413</v>
      </c>
      <c r="P477" t="n">
        <v>0.69385</v>
      </c>
      <c r="Q477" t="n">
        <v>0.50962</v>
      </c>
      <c r="R477" t="n">
        <v>-0.91025</v>
      </c>
      <c r="S477" t="n">
        <v>-0.58185</v>
      </c>
      <c r="T477" t="n">
        <v>0.12785</v>
      </c>
      <c r="U477" t="n">
        <v>-1.1162</v>
      </c>
      <c r="V477" t="n">
        <v>0.80736</v>
      </c>
      <c r="W477" t="n">
        <v>0.35656</v>
      </c>
      <c r="X477" t="n">
        <v>-0.27397</v>
      </c>
      <c r="Y477" t="n">
        <v>-0.27333</v>
      </c>
      <c r="Z477" t="n">
        <v>-1.05</v>
      </c>
    </row>
    <row r="478">
      <c r="A478" t="inlineStr">
        <is>
          <t>rights</t>
        </is>
      </c>
      <c r="B478" t="n">
        <v>0.43649</v>
      </c>
      <c r="C478" t="n">
        <v>0.79796</v>
      </c>
      <c r="D478" t="n">
        <v>-1.7097</v>
      </c>
      <c r="E478" t="n">
        <v>-0.12479</v>
      </c>
      <c r="F478" t="n">
        <v>0.93052</v>
      </c>
      <c r="G478" t="n">
        <v>-1.9667</v>
      </c>
      <c r="H478" t="n">
        <v>0.22588</v>
      </c>
      <c r="I478" t="n">
        <v>-1.043</v>
      </c>
      <c r="J478" t="n">
        <v>0.23397</v>
      </c>
      <c r="K478" t="n">
        <v>0.36634</v>
      </c>
      <c r="L478" t="n">
        <v>0.38144</v>
      </c>
      <c r="M478" t="n">
        <v>-0.096956</v>
      </c>
      <c r="N478" t="n">
        <v>-3.7157</v>
      </c>
      <c r="O478" t="n">
        <v>1.0063</v>
      </c>
      <c r="P478" t="n">
        <v>-0.14645</v>
      </c>
      <c r="Q478" t="n">
        <v>-0.10886</v>
      </c>
      <c r="R478" t="n">
        <v>-0.59321</v>
      </c>
      <c r="S478" t="n">
        <v>0.33696</v>
      </c>
      <c r="T478" t="n">
        <v>0.96878</v>
      </c>
      <c r="U478" t="n">
        <v>-0.36153</v>
      </c>
      <c r="V478" t="n">
        <v>0.1218</v>
      </c>
      <c r="W478" t="n">
        <v>0.37665</v>
      </c>
      <c r="X478" t="n">
        <v>-0.66079</v>
      </c>
      <c r="Y478" t="n">
        <v>-1.6512</v>
      </c>
      <c r="Z478" t="n">
        <v>-0.49658</v>
      </c>
    </row>
    <row r="479">
      <c r="A479" t="inlineStr">
        <is>
          <t>wasted</t>
        </is>
      </c>
      <c r="B479" t="n">
        <v>-0.14531</v>
      </c>
      <c r="C479" t="n">
        <v>0.94709</v>
      </c>
      <c r="D479" t="n">
        <v>0.29784</v>
      </c>
      <c r="E479" t="n">
        <v>0.1529</v>
      </c>
      <c r="F479" t="n">
        <v>0.1065</v>
      </c>
      <c r="G479" t="n">
        <v>0.73939</v>
      </c>
      <c r="H479" t="n">
        <v>0.93829</v>
      </c>
      <c r="I479" t="n">
        <v>-1.5709</v>
      </c>
      <c r="J479" t="n">
        <v>-1.4655</v>
      </c>
      <c r="K479" t="n">
        <v>0.28658</v>
      </c>
      <c r="L479" t="n">
        <v>-0.39861</v>
      </c>
      <c r="M479" t="n">
        <v>0.52708</v>
      </c>
      <c r="N479" t="n">
        <v>-2.9264</v>
      </c>
      <c r="O479" t="n">
        <v>0.59462</v>
      </c>
      <c r="P479" t="n">
        <v>0.24688</v>
      </c>
      <c r="Q479" t="n">
        <v>0.31179</v>
      </c>
      <c r="R479" t="n">
        <v>0.52134</v>
      </c>
      <c r="S479" t="n">
        <v>0.017862</v>
      </c>
      <c r="T479" t="n">
        <v>0.17857</v>
      </c>
      <c r="U479" t="n">
        <v>-0.50373</v>
      </c>
      <c r="V479" t="n">
        <v>-0.18172</v>
      </c>
      <c r="W479" t="n">
        <v>0.45405</v>
      </c>
      <c r="X479" t="n">
        <v>-0.0009398399999999999</v>
      </c>
      <c r="Y479" t="n">
        <v>0.35631</v>
      </c>
      <c r="Z479" t="n">
        <v>0.22905</v>
      </c>
    </row>
    <row r="480">
      <c r="A480" t="inlineStr">
        <is>
          <t>theme</t>
        </is>
      </c>
      <c r="B480" t="n">
        <v>0.34223</v>
      </c>
      <c r="C480" t="n">
        <v>-0.52137</v>
      </c>
      <c r="D480" t="n">
        <v>0.99638</v>
      </c>
      <c r="E480" t="n">
        <v>-0.36969</v>
      </c>
      <c r="F480" t="n">
        <v>0.95947</v>
      </c>
      <c r="G480" t="n">
        <v>-0.59293</v>
      </c>
      <c r="H480" t="n">
        <v>1.342</v>
      </c>
      <c r="I480" t="n">
        <v>-0.3451</v>
      </c>
      <c r="J480" t="n">
        <v>1.3207</v>
      </c>
      <c r="K480" t="n">
        <v>-1.0985</v>
      </c>
      <c r="L480" t="n">
        <v>0.3949</v>
      </c>
      <c r="M480" t="n">
        <v>0.15724</v>
      </c>
      <c r="N480" t="n">
        <v>-2.8677</v>
      </c>
      <c r="O480" t="n">
        <v>-0.67733</v>
      </c>
      <c r="P480" t="n">
        <v>0.2712</v>
      </c>
      <c r="Q480" t="n">
        <v>0.7340100000000001</v>
      </c>
      <c r="R480" t="n">
        <v>0.053254</v>
      </c>
      <c r="S480" t="n">
        <v>-0.1403</v>
      </c>
      <c r="T480" t="n">
        <v>0.028479</v>
      </c>
      <c r="U480" t="n">
        <v>0.48044</v>
      </c>
      <c r="V480" t="n">
        <v>-1.3599</v>
      </c>
      <c r="W480" t="n">
        <v>-0.36118</v>
      </c>
      <c r="X480" t="n">
        <v>-0.5400700000000001</v>
      </c>
      <c r="Y480" t="n">
        <v>0.22595</v>
      </c>
      <c r="Z480" t="n">
        <v>0.21689</v>
      </c>
    </row>
    <row r="481">
      <c r="A481" t="inlineStr">
        <is>
          <t>stressed</t>
        </is>
      </c>
      <c r="B481" t="n">
        <v>-0.18511</v>
      </c>
      <c r="C481" t="n">
        <v>0.1862</v>
      </c>
      <c r="D481" t="n">
        <v>-0.13827</v>
      </c>
      <c r="E481" t="n">
        <v>-0.6010799999999999</v>
      </c>
      <c r="F481" t="n">
        <v>0.35916</v>
      </c>
      <c r="G481" t="n">
        <v>1.2671</v>
      </c>
      <c r="H481" t="n">
        <v>1.589</v>
      </c>
      <c r="I481" t="n">
        <v>-1.6755</v>
      </c>
      <c r="J481" t="n">
        <v>-0.81374</v>
      </c>
      <c r="K481" t="n">
        <v>0.5567800000000001</v>
      </c>
      <c r="L481" t="n">
        <v>-1.8214</v>
      </c>
      <c r="M481" t="n">
        <v>0.24386</v>
      </c>
      <c r="N481" t="n">
        <v>-2.3608</v>
      </c>
      <c r="O481" t="n">
        <v>0.3638</v>
      </c>
      <c r="P481" t="n">
        <v>0.41177</v>
      </c>
      <c r="Q481" t="n">
        <v>0.20467</v>
      </c>
      <c r="R481" t="n">
        <v>0.62678</v>
      </c>
      <c r="S481" t="n">
        <v>0.19166</v>
      </c>
      <c r="T481" t="n">
        <v>0.55127</v>
      </c>
      <c r="U481" t="n">
        <v>-1.8624</v>
      </c>
      <c r="V481" t="n">
        <v>0.4399</v>
      </c>
      <c r="W481" t="n">
        <v>0.7585</v>
      </c>
      <c r="X481" t="n">
        <v>-0.12998</v>
      </c>
      <c r="Y481" t="n">
        <v>0.70912</v>
      </c>
      <c r="Z481" t="n">
        <v>0.3795</v>
      </c>
    </row>
    <row r="482">
      <c r="A482" t="inlineStr">
        <is>
          <t>headphones</t>
        </is>
      </c>
      <c r="B482" t="n">
        <v>0.024498</v>
      </c>
      <c r="C482" t="n">
        <v>0.55119</v>
      </c>
      <c r="D482" t="n">
        <v>1.1888</v>
      </c>
      <c r="E482" t="n">
        <v>-0.053616</v>
      </c>
      <c r="F482" t="n">
        <v>0.36108</v>
      </c>
      <c r="G482" t="n">
        <v>0.019734</v>
      </c>
      <c r="H482" t="n">
        <v>0.8730599999999999</v>
      </c>
      <c r="I482" t="n">
        <v>-1.0699</v>
      </c>
      <c r="J482" t="n">
        <v>0.09704599999999999</v>
      </c>
      <c r="K482" t="n">
        <v>0.5576</v>
      </c>
      <c r="L482" t="n">
        <v>-0.12886</v>
      </c>
      <c r="M482" t="n">
        <v>0.6065</v>
      </c>
      <c r="N482" t="n">
        <v>-2.8633</v>
      </c>
      <c r="O482" t="n">
        <v>-1.2768</v>
      </c>
      <c r="P482" t="n">
        <v>-0.24309</v>
      </c>
      <c r="Q482" t="n">
        <v>1.1407</v>
      </c>
      <c r="R482" t="n">
        <v>0.10078</v>
      </c>
      <c r="S482" t="n">
        <v>-0.088336</v>
      </c>
      <c r="T482" t="n">
        <v>1.2885</v>
      </c>
      <c r="U482" t="n">
        <v>0.26489</v>
      </c>
      <c r="V482" t="n">
        <v>-1.0119</v>
      </c>
      <c r="W482" t="n">
        <v>-0.86733</v>
      </c>
      <c r="X482" t="n">
        <v>1.9004</v>
      </c>
      <c r="Y482" t="n">
        <v>0.28787</v>
      </c>
      <c r="Z482" t="n">
        <v>-0.80111</v>
      </c>
    </row>
    <row r="483">
      <c r="A483" t="inlineStr">
        <is>
          <t>showed</t>
        </is>
      </c>
      <c r="B483" t="n">
        <v>-0.34773</v>
      </c>
      <c r="C483" t="n">
        <v>0.76469</v>
      </c>
      <c r="D483" t="n">
        <v>0.95603</v>
      </c>
      <c r="E483" t="n">
        <v>-0.39698</v>
      </c>
      <c r="F483" t="n">
        <v>-0.036822</v>
      </c>
      <c r="G483" t="n">
        <v>-0.66359</v>
      </c>
      <c r="H483" t="n">
        <v>0.73456</v>
      </c>
      <c r="I483" t="n">
        <v>-0.66654</v>
      </c>
      <c r="J483" t="n">
        <v>-0.7918500000000001</v>
      </c>
      <c r="K483" t="n">
        <v>-0.54299</v>
      </c>
      <c r="L483" t="n">
        <v>-0.014932</v>
      </c>
      <c r="M483" t="n">
        <v>1.2434</v>
      </c>
      <c r="N483" t="n">
        <v>-3.8167</v>
      </c>
      <c r="O483" t="n">
        <v>0.35358</v>
      </c>
      <c r="P483" t="n">
        <v>0.35013</v>
      </c>
      <c r="Q483" t="n">
        <v>0.40512</v>
      </c>
      <c r="R483" t="n">
        <v>0.44988</v>
      </c>
      <c r="S483" t="n">
        <v>0.091436</v>
      </c>
      <c r="T483" t="n">
        <v>0.098859</v>
      </c>
      <c r="U483" t="n">
        <v>-0.28879</v>
      </c>
      <c r="V483" t="n">
        <v>0.59516</v>
      </c>
      <c r="W483" t="n">
        <v>0.59371</v>
      </c>
      <c r="X483" t="n">
        <v>0.17816</v>
      </c>
      <c r="Y483" t="n">
        <v>-0.21844</v>
      </c>
      <c r="Z483" t="n">
        <v>-0.94274</v>
      </c>
    </row>
    <row r="484">
      <c r="A484" t="inlineStr">
        <is>
          <t>clock</t>
        </is>
      </c>
      <c r="B484" t="n">
        <v>-0.20028</v>
      </c>
      <c r="C484" t="n">
        <v>0.33838</v>
      </c>
      <c r="D484" t="n">
        <v>1.1355</v>
      </c>
      <c r="E484" t="n">
        <v>-0.1941</v>
      </c>
      <c r="F484" t="n">
        <v>0.31887</v>
      </c>
      <c r="G484" t="n">
        <v>0.01192</v>
      </c>
      <c r="H484" t="n">
        <v>1.0434</v>
      </c>
      <c r="I484" t="n">
        <v>-1.0452</v>
      </c>
      <c r="J484" t="n">
        <v>0.90389</v>
      </c>
      <c r="K484" t="n">
        <v>0.54343</v>
      </c>
      <c r="L484" t="n">
        <v>-0.061725</v>
      </c>
      <c r="M484" t="n">
        <v>0.70963</v>
      </c>
      <c r="N484" t="n">
        <v>-2.9237</v>
      </c>
      <c r="O484" t="n">
        <v>0.40531</v>
      </c>
      <c r="P484" t="n">
        <v>0.22687</v>
      </c>
      <c r="Q484" t="n">
        <v>0.077246</v>
      </c>
      <c r="R484" t="n">
        <v>0.48615</v>
      </c>
      <c r="S484" t="n">
        <v>0.4108</v>
      </c>
      <c r="T484" t="n">
        <v>0.22473</v>
      </c>
      <c r="U484" t="n">
        <v>-0.20586</v>
      </c>
      <c r="V484" t="n">
        <v>-0.51524</v>
      </c>
      <c r="W484" t="n">
        <v>-0.31871</v>
      </c>
      <c r="X484" t="n">
        <v>1.5758</v>
      </c>
      <c r="Y484" t="n">
        <v>0.30695</v>
      </c>
      <c r="Z484" t="n">
        <v>-0.14537</v>
      </c>
    </row>
    <row r="485">
      <c r="A485" t="inlineStr">
        <is>
          <t>products</t>
        </is>
      </c>
      <c r="B485" t="n">
        <v>-0.55133</v>
      </c>
      <c r="C485" t="n">
        <v>-0.0054504</v>
      </c>
      <c r="D485" t="n">
        <v>-0.79584</v>
      </c>
      <c r="E485" t="n">
        <v>-0.38402</v>
      </c>
      <c r="F485" t="n">
        <v>1.2224</v>
      </c>
      <c r="G485" t="n">
        <v>-0.1011</v>
      </c>
      <c r="H485" t="n">
        <v>-0.1626</v>
      </c>
      <c r="I485" t="n">
        <v>-1.8153</v>
      </c>
      <c r="J485" t="n">
        <v>0.83509</v>
      </c>
      <c r="K485" t="n">
        <v>-0.21669</v>
      </c>
      <c r="L485" t="n">
        <v>1.1287</v>
      </c>
      <c r="M485" t="n">
        <v>-0.25489</v>
      </c>
      <c r="N485" t="n">
        <v>-3.568</v>
      </c>
      <c r="O485" t="n">
        <v>-0.61348</v>
      </c>
      <c r="P485" t="n">
        <v>-0.36311</v>
      </c>
      <c r="Q485" t="n">
        <v>-0.9108000000000001</v>
      </c>
      <c r="R485" t="n">
        <v>0.69415</v>
      </c>
      <c r="S485" t="n">
        <v>-0.32473</v>
      </c>
      <c r="T485" t="n">
        <v>1.1841</v>
      </c>
      <c r="U485" t="n">
        <v>0.45249</v>
      </c>
      <c r="V485" t="n">
        <v>-1.0321</v>
      </c>
      <c r="W485" t="n">
        <v>-1.2659</v>
      </c>
      <c r="X485" t="n">
        <v>-0.74085</v>
      </c>
      <c r="Y485" t="n">
        <v>0.26441</v>
      </c>
      <c r="Z485" t="n">
        <v>-0.49707</v>
      </c>
    </row>
    <row r="486">
      <c r="A486" t="inlineStr">
        <is>
          <t>reached</t>
        </is>
      </c>
      <c r="B486" t="n">
        <v>-0.043312</v>
      </c>
      <c r="C486" t="n">
        <v>0.6555299999999999</v>
      </c>
      <c r="D486" t="n">
        <v>0.14788</v>
      </c>
      <c r="E486" t="n">
        <v>-0.81232</v>
      </c>
      <c r="F486" t="n">
        <v>-0.62624</v>
      </c>
      <c r="G486" t="n">
        <v>-0.53811</v>
      </c>
      <c r="H486" t="n">
        <v>0.63201</v>
      </c>
      <c r="I486" t="n">
        <v>-0.97806</v>
      </c>
      <c r="J486" t="n">
        <v>-0.53872</v>
      </c>
      <c r="K486" t="n">
        <v>-0.34821</v>
      </c>
      <c r="L486" t="n">
        <v>0.94967</v>
      </c>
      <c r="M486" t="n">
        <v>1.2075</v>
      </c>
      <c r="N486" t="n">
        <v>-2.6905</v>
      </c>
      <c r="O486" t="n">
        <v>1.0895</v>
      </c>
      <c r="P486" t="n">
        <v>0.37721</v>
      </c>
      <c r="Q486" t="n">
        <v>-0.04861</v>
      </c>
      <c r="R486" t="n">
        <v>0.5883699999999999</v>
      </c>
      <c r="S486" t="n">
        <v>0.795</v>
      </c>
      <c r="T486" t="n">
        <v>0.058747</v>
      </c>
      <c r="U486" t="n">
        <v>-1.0539</v>
      </c>
      <c r="V486" t="n">
        <v>-0.7845</v>
      </c>
      <c r="W486" t="n">
        <v>-0.18329</v>
      </c>
      <c r="X486" t="n">
        <v>0.59587</v>
      </c>
      <c r="Y486" t="n">
        <v>0.041504</v>
      </c>
      <c r="Z486" t="n">
        <v>-0.58096</v>
      </c>
    </row>
    <row r="487">
      <c r="A487" t="inlineStr">
        <is>
          <t>pulled</t>
        </is>
      </c>
      <c r="B487" t="n">
        <v>-0.7411799999999999</v>
      </c>
      <c r="C487" t="n">
        <v>0.35379</v>
      </c>
      <c r="D487" t="n">
        <v>1.1576</v>
      </c>
      <c r="E487" t="n">
        <v>-0.24369</v>
      </c>
      <c r="F487" t="n">
        <v>-0.1014</v>
      </c>
      <c r="G487" t="n">
        <v>0.042009</v>
      </c>
      <c r="H487" t="n">
        <v>0.27345</v>
      </c>
      <c r="I487" t="n">
        <v>-1.1977</v>
      </c>
      <c r="J487" t="n">
        <v>-0.68192</v>
      </c>
      <c r="K487" t="n">
        <v>0.30528</v>
      </c>
      <c r="L487" t="n">
        <v>0.82077</v>
      </c>
      <c r="M487" t="n">
        <v>1.2692</v>
      </c>
      <c r="N487" t="n">
        <v>-3.3461</v>
      </c>
      <c r="O487" t="n">
        <v>-0.25148</v>
      </c>
      <c r="P487" t="n">
        <v>0.6187</v>
      </c>
      <c r="Q487" t="n">
        <v>0.23287</v>
      </c>
      <c r="R487" t="n">
        <v>1.044</v>
      </c>
      <c r="S487" t="n">
        <v>-0.25526</v>
      </c>
      <c r="T487" t="n">
        <v>-0.16064</v>
      </c>
      <c r="U487" t="n">
        <v>-0.98613</v>
      </c>
      <c r="V487" t="n">
        <v>0.1533</v>
      </c>
      <c r="W487" t="n">
        <v>0.90173</v>
      </c>
      <c r="X487" t="n">
        <v>1.5782</v>
      </c>
      <c r="Y487" t="n">
        <v>-0.46796</v>
      </c>
      <c r="Z487" t="n">
        <v>-0.42492</v>
      </c>
    </row>
    <row r="488">
      <c r="A488" t="inlineStr">
        <is>
          <t>possibly</t>
        </is>
      </c>
      <c r="B488" t="n">
        <v>0.13772</v>
      </c>
      <c r="C488" t="n">
        <v>0.31949</v>
      </c>
      <c r="D488" t="n">
        <v>0.020989</v>
      </c>
      <c r="E488" t="n">
        <v>-0.6141799999999999</v>
      </c>
      <c r="F488" t="n">
        <v>-0.58512</v>
      </c>
      <c r="G488" t="n">
        <v>0.25513</v>
      </c>
      <c r="H488" t="n">
        <v>1.4168</v>
      </c>
      <c r="I488" t="n">
        <v>-1.1925</v>
      </c>
      <c r="J488" t="n">
        <v>-0.32445</v>
      </c>
      <c r="K488" t="n">
        <v>-0.77946</v>
      </c>
      <c r="L488" t="n">
        <v>0.29931</v>
      </c>
      <c r="M488" t="n">
        <v>0.76617</v>
      </c>
      <c r="N488" t="n">
        <v>-3.307</v>
      </c>
      <c r="O488" t="n">
        <v>0.29687</v>
      </c>
      <c r="P488" t="n">
        <v>0.24832</v>
      </c>
      <c r="Q488" t="n">
        <v>0.53568</v>
      </c>
      <c r="R488" t="n">
        <v>0.83504</v>
      </c>
      <c r="S488" t="n">
        <v>-0.20927</v>
      </c>
      <c r="T488" t="n">
        <v>0.2224</v>
      </c>
      <c r="U488" t="n">
        <v>-1.2668</v>
      </c>
      <c r="V488" t="n">
        <v>0.31788</v>
      </c>
      <c r="W488" t="n">
        <v>0.11229</v>
      </c>
      <c r="X488" t="n">
        <v>-0.14446</v>
      </c>
      <c r="Y488" t="n">
        <v>0.036266</v>
      </c>
      <c r="Z488" t="n">
        <v>-0.38085</v>
      </c>
    </row>
    <row r="489">
      <c r="A489" t="inlineStr">
        <is>
          <t>ears</t>
        </is>
      </c>
      <c r="B489" t="n">
        <v>-0.95173</v>
      </c>
      <c r="C489" t="n">
        <v>-0.51185</v>
      </c>
      <c r="D489" t="n">
        <v>0.63547</v>
      </c>
      <c r="E489" t="n">
        <v>0.77482</v>
      </c>
      <c r="F489" t="n">
        <v>0.31818</v>
      </c>
      <c r="G489" t="n">
        <v>-0.20138</v>
      </c>
      <c r="H489" t="n">
        <v>1.1401</v>
      </c>
      <c r="I489" t="n">
        <v>-0.99358</v>
      </c>
      <c r="J489" t="n">
        <v>-0.48962</v>
      </c>
      <c r="K489" t="n">
        <v>0.7057099999999999</v>
      </c>
      <c r="L489" t="n">
        <v>-0.011101</v>
      </c>
      <c r="M489" t="n">
        <v>0.79334</v>
      </c>
      <c r="N489" t="n">
        <v>-3.0078</v>
      </c>
      <c r="O489" t="n">
        <v>-0.64263</v>
      </c>
      <c r="P489" t="n">
        <v>-0.75183</v>
      </c>
      <c r="Q489" t="n">
        <v>0.47771</v>
      </c>
      <c r="R489" t="n">
        <v>0.18437</v>
      </c>
      <c r="S489" t="n">
        <v>-0.1688</v>
      </c>
      <c r="T489" t="n">
        <v>0.6426500000000001</v>
      </c>
      <c r="U489" t="n">
        <v>-0.68767</v>
      </c>
      <c r="V489" t="n">
        <v>-0.37257</v>
      </c>
      <c r="W489" t="n">
        <v>0.86249</v>
      </c>
      <c r="X489" t="n">
        <v>1.6321</v>
      </c>
      <c r="Y489" t="n">
        <v>0.5662700000000001</v>
      </c>
      <c r="Z489" t="n">
        <v>-0.29735</v>
      </c>
    </row>
    <row r="490">
      <c r="A490" t="inlineStr">
        <is>
          <t>expected</t>
        </is>
      </c>
      <c r="B490" t="n">
        <v>0.08182200000000001</v>
      </c>
      <c r="C490" t="n">
        <v>0.31898</v>
      </c>
      <c r="D490" t="n">
        <v>-0.61557</v>
      </c>
      <c r="E490" t="n">
        <v>-0.93129</v>
      </c>
      <c r="F490" t="n">
        <v>-0.74739</v>
      </c>
      <c r="G490" t="n">
        <v>-0.052149</v>
      </c>
      <c r="H490" t="n">
        <v>0.83345</v>
      </c>
      <c r="I490" t="n">
        <v>-1.2257</v>
      </c>
      <c r="J490" t="n">
        <v>-0.032907</v>
      </c>
      <c r="K490" t="n">
        <v>-0.52403</v>
      </c>
      <c r="L490" t="n">
        <v>0.60004</v>
      </c>
      <c r="M490" t="n">
        <v>0.78837</v>
      </c>
      <c r="N490" t="n">
        <v>-3.2771</v>
      </c>
      <c r="O490" t="n">
        <v>1.5855</v>
      </c>
      <c r="P490" t="n">
        <v>0.89737</v>
      </c>
      <c r="Q490" t="n">
        <v>-0.35952</v>
      </c>
      <c r="R490" t="n">
        <v>0.21077</v>
      </c>
      <c r="S490" t="n">
        <v>-0.017761</v>
      </c>
      <c r="T490" t="n">
        <v>0.28496</v>
      </c>
      <c r="U490" t="n">
        <v>-1.6081</v>
      </c>
      <c r="V490" t="n">
        <v>0.085532</v>
      </c>
      <c r="W490" t="n">
        <v>-0.25932</v>
      </c>
      <c r="X490" t="n">
        <v>0.66937</v>
      </c>
      <c r="Y490" t="n">
        <v>0.13392</v>
      </c>
      <c r="Z490" t="n">
        <v>-0.82256</v>
      </c>
    </row>
    <row r="491">
      <c r="A491" t="inlineStr">
        <is>
          <t>bence</t>
        </is>
      </c>
      <c r="B491" t="n">
        <v>0.21895</v>
      </c>
      <c r="C491" t="n">
        <v>0.15278</v>
      </c>
      <c r="D491" t="n">
        <v>0.040869</v>
      </c>
      <c r="E491" t="n">
        <v>0.12174</v>
      </c>
      <c r="F491" t="n">
        <v>1.2134</v>
      </c>
      <c r="G491" t="n">
        <v>0.35424</v>
      </c>
      <c r="H491" t="n">
        <v>-1.4651</v>
      </c>
      <c r="I491" t="n">
        <v>0.034594</v>
      </c>
      <c r="J491" t="n">
        <v>-1.6146</v>
      </c>
      <c r="K491" t="n">
        <v>1.0196</v>
      </c>
      <c r="L491" t="n">
        <v>0.050255</v>
      </c>
      <c r="M491" t="n">
        <v>-1.0696</v>
      </c>
      <c r="N491" t="n">
        <v>-0.27581</v>
      </c>
      <c r="O491" t="n">
        <v>0.59232</v>
      </c>
      <c r="P491" t="n">
        <v>-0.9998899999999999</v>
      </c>
      <c r="Q491" t="n">
        <v>-1.7373</v>
      </c>
      <c r="R491" t="n">
        <v>0.49972</v>
      </c>
      <c r="S491" t="n">
        <v>-0.3334</v>
      </c>
      <c r="T491" t="n">
        <v>-1.4739</v>
      </c>
      <c r="U491" t="n">
        <v>0.84379</v>
      </c>
      <c r="V491" t="n">
        <v>1.1694</v>
      </c>
      <c r="W491" t="n">
        <v>1.0209</v>
      </c>
      <c r="X491" t="n">
        <v>-1.1205</v>
      </c>
      <c r="Y491" t="n">
        <v>-0.88897</v>
      </c>
      <c r="Z491" t="n">
        <v>0.26608</v>
      </c>
    </row>
    <row r="492">
      <c r="A492" t="inlineStr">
        <is>
          <t>prof</t>
        </is>
      </c>
      <c r="B492" t="n">
        <v>0.94686</v>
      </c>
      <c r="C492" t="n">
        <v>-0.3897</v>
      </c>
      <c r="D492" t="n">
        <v>-0.39323</v>
      </c>
      <c r="E492" t="n">
        <v>-0.38994</v>
      </c>
      <c r="F492" t="n">
        <v>0.014665</v>
      </c>
      <c r="G492" t="n">
        <v>-1.2298</v>
      </c>
      <c r="H492" t="n">
        <v>-0.51431</v>
      </c>
      <c r="I492" t="n">
        <v>0.38222</v>
      </c>
      <c r="J492" t="n">
        <v>1.3537</v>
      </c>
      <c r="K492" t="n">
        <v>-0.59763</v>
      </c>
      <c r="L492" t="n">
        <v>-0.8216599999999999</v>
      </c>
      <c r="M492" t="n">
        <v>-1.3096</v>
      </c>
      <c r="N492" t="n">
        <v>-2.4377</v>
      </c>
      <c r="O492" t="n">
        <v>-0.015943</v>
      </c>
      <c r="P492" t="n">
        <v>1.0455</v>
      </c>
      <c r="Q492" t="n">
        <v>0.97584</v>
      </c>
      <c r="R492" t="n">
        <v>0.13631</v>
      </c>
      <c r="S492" t="n">
        <v>1.21</v>
      </c>
      <c r="T492" t="n">
        <v>-2.3341</v>
      </c>
      <c r="U492" t="n">
        <v>0.4686</v>
      </c>
      <c r="V492" t="n">
        <v>0.42286</v>
      </c>
      <c r="W492" t="n">
        <v>-0.12444</v>
      </c>
      <c r="X492" t="n">
        <v>-0.77068</v>
      </c>
      <c r="Y492" t="n">
        <v>-0.15334</v>
      </c>
      <c r="Z492" t="n">
        <v>-0.59131</v>
      </c>
    </row>
    <row r="493">
      <c r="A493" t="inlineStr">
        <is>
          <t>chemistry</t>
        </is>
      </c>
      <c r="B493" t="n">
        <v>1.5397</v>
      </c>
      <c r="C493" t="n">
        <v>0.27348</v>
      </c>
      <c r="D493" t="n">
        <v>0.45948</v>
      </c>
      <c r="E493" t="n">
        <v>-0.43167</v>
      </c>
      <c r="F493" t="n">
        <v>0.20495</v>
      </c>
      <c r="G493" t="n">
        <v>-0.73522</v>
      </c>
      <c r="H493" t="n">
        <v>2.022</v>
      </c>
      <c r="I493" t="n">
        <v>-0.85632</v>
      </c>
      <c r="J493" t="n">
        <v>0.37749</v>
      </c>
      <c r="K493" t="n">
        <v>-0.95348</v>
      </c>
      <c r="L493" t="n">
        <v>-1.0684</v>
      </c>
      <c r="M493" t="n">
        <v>0.40367</v>
      </c>
      <c r="N493" t="n">
        <v>-2.3306</v>
      </c>
      <c r="O493" t="n">
        <v>-0.052566</v>
      </c>
      <c r="P493" t="n">
        <v>0.9735</v>
      </c>
      <c r="Q493" t="n">
        <v>-0.17996</v>
      </c>
      <c r="R493" t="n">
        <v>-0.79145</v>
      </c>
      <c r="S493" t="n">
        <v>0.05898</v>
      </c>
      <c r="T493" t="n">
        <v>0.33139</v>
      </c>
      <c r="U493" t="n">
        <v>0.03811</v>
      </c>
      <c r="V493" t="n">
        <v>-1.348</v>
      </c>
      <c r="W493" t="n">
        <v>1.4302</v>
      </c>
      <c r="X493" t="n">
        <v>-0.98787</v>
      </c>
      <c r="Y493" t="n">
        <v>0.31152</v>
      </c>
      <c r="Z493" t="n">
        <v>-0.50851</v>
      </c>
    </row>
    <row r="494">
      <c r="A494" t="inlineStr">
        <is>
          <t>championship</t>
        </is>
      </c>
      <c r="B494" t="n">
        <v>0.16254</v>
      </c>
      <c r="C494" t="n">
        <v>0.83574</v>
      </c>
      <c r="D494" t="n">
        <v>-0.30493</v>
      </c>
      <c r="E494" t="n">
        <v>-1.9583</v>
      </c>
      <c r="F494" t="n">
        <v>-0.016777</v>
      </c>
      <c r="G494" t="n">
        <v>-0.28387</v>
      </c>
      <c r="H494" t="n">
        <v>0.51855</v>
      </c>
      <c r="I494" t="n">
        <v>-0.37081</v>
      </c>
      <c r="J494" t="n">
        <v>0.11591</v>
      </c>
      <c r="K494" t="n">
        <v>-1.0386</v>
      </c>
      <c r="L494" t="n">
        <v>0.13317</v>
      </c>
      <c r="M494" t="n">
        <v>0.58977</v>
      </c>
      <c r="N494" t="n">
        <v>-3.3008</v>
      </c>
      <c r="O494" t="n">
        <v>1.5863</v>
      </c>
      <c r="P494" t="n">
        <v>1.0426</v>
      </c>
      <c r="Q494" t="n">
        <v>-0.38608</v>
      </c>
      <c r="R494" t="n">
        <v>-0.57138</v>
      </c>
      <c r="S494" t="n">
        <v>-0.85511</v>
      </c>
      <c r="T494" t="n">
        <v>0.073823</v>
      </c>
      <c r="U494" t="n">
        <v>1.0661</v>
      </c>
      <c r="V494" t="n">
        <v>-1.8046</v>
      </c>
      <c r="W494" t="n">
        <v>0.8845</v>
      </c>
      <c r="X494" t="n">
        <v>1.02</v>
      </c>
      <c r="Y494" t="n">
        <v>-0.83135</v>
      </c>
      <c r="Z494" t="n">
        <v>-0.1549</v>
      </c>
    </row>
    <row r="495">
      <c r="A495" t="inlineStr">
        <is>
          <t>corinthians</t>
        </is>
      </c>
      <c r="B495" t="n">
        <v>0.67358</v>
      </c>
      <c r="C495" t="n">
        <v>0.102</v>
      </c>
      <c r="D495" t="n">
        <v>-0.10832</v>
      </c>
      <c r="E495" t="n">
        <v>-0.52223</v>
      </c>
      <c r="F495" t="n">
        <v>-0.56977</v>
      </c>
      <c r="G495" t="n">
        <v>-0.43924</v>
      </c>
      <c r="H495" t="n">
        <v>-0.24452</v>
      </c>
      <c r="I495" t="n">
        <v>0.8396400000000001</v>
      </c>
      <c r="J495" t="n">
        <v>0.9071399999999999</v>
      </c>
      <c r="K495" t="n">
        <v>-1.6145</v>
      </c>
      <c r="L495" t="n">
        <v>-1.0314</v>
      </c>
      <c r="M495" t="n">
        <v>-1.7443</v>
      </c>
      <c r="N495" t="n">
        <v>-1.752</v>
      </c>
      <c r="O495" t="n">
        <v>0.73173</v>
      </c>
      <c r="P495" t="n">
        <v>0.32383</v>
      </c>
      <c r="Q495" t="n">
        <v>-1.4875</v>
      </c>
      <c r="R495" t="n">
        <v>-2.7883</v>
      </c>
      <c r="S495" t="n">
        <v>-0.66767</v>
      </c>
      <c r="T495" t="n">
        <v>0.49835</v>
      </c>
      <c r="U495" t="n">
        <v>-0.7957</v>
      </c>
      <c r="V495" t="n">
        <v>-0.79701</v>
      </c>
      <c r="W495" t="n">
        <v>1.6778</v>
      </c>
      <c r="X495" t="n">
        <v>0.6892200000000001</v>
      </c>
      <c r="Y495" t="n">
        <v>-0.51391</v>
      </c>
      <c r="Z495" t="n">
        <v>0.38979</v>
      </c>
    </row>
    <row r="496">
      <c r="A496" t="inlineStr">
        <is>
          <t>prolly</t>
        </is>
      </c>
      <c r="B496" t="n">
        <v>-0.18964</v>
      </c>
      <c r="C496" t="n">
        <v>1.7738</v>
      </c>
      <c r="D496" t="n">
        <v>0.83952</v>
      </c>
      <c r="E496" t="n">
        <v>-0.84106</v>
      </c>
      <c r="F496" t="n">
        <v>-0.48876</v>
      </c>
      <c r="G496" t="n">
        <v>0.53562</v>
      </c>
      <c r="H496" t="n">
        <v>0.35573</v>
      </c>
      <c r="I496" t="n">
        <v>-1.0569</v>
      </c>
      <c r="J496" t="n">
        <v>-0.22342</v>
      </c>
      <c r="K496" t="n">
        <v>-0.091227</v>
      </c>
      <c r="L496" t="n">
        <v>-0.56191</v>
      </c>
      <c r="M496" t="n">
        <v>0.8398099999999999</v>
      </c>
      <c r="N496" t="n">
        <v>-3.6418</v>
      </c>
      <c r="O496" t="n">
        <v>-0.25224</v>
      </c>
      <c r="P496" t="n">
        <v>-0.17943</v>
      </c>
      <c r="Q496" t="n">
        <v>0.75381</v>
      </c>
      <c r="R496" t="n">
        <v>0.82912</v>
      </c>
      <c r="S496" t="n">
        <v>-0.51357</v>
      </c>
      <c r="T496" t="n">
        <v>-0.19378</v>
      </c>
      <c r="U496" t="n">
        <v>-0.42822</v>
      </c>
      <c r="V496" t="n">
        <v>1.6662</v>
      </c>
      <c r="W496" t="n">
        <v>1.0186</v>
      </c>
      <c r="X496" t="n">
        <v>1.1072</v>
      </c>
      <c r="Y496" t="n">
        <v>0.59627</v>
      </c>
      <c r="Z496" t="n">
        <v>0.46937</v>
      </c>
    </row>
    <row r="497">
      <c r="A497" t="inlineStr">
        <is>
          <t>professional</t>
        </is>
      </c>
      <c r="B497" t="n">
        <v>-0.37955</v>
      </c>
      <c r="C497" t="n">
        <v>0.33086</v>
      </c>
      <c r="D497" t="n">
        <v>-0.6797800000000001</v>
      </c>
      <c r="E497" t="n">
        <v>-1.324</v>
      </c>
      <c r="F497" t="n">
        <v>2.0042</v>
      </c>
      <c r="G497" t="n">
        <v>0.39043</v>
      </c>
      <c r="H497" t="n">
        <v>0.32255</v>
      </c>
      <c r="I497" t="n">
        <v>-0.53677</v>
      </c>
      <c r="J497" t="n">
        <v>1.3436</v>
      </c>
      <c r="K497" t="n">
        <v>-0.8275400000000001</v>
      </c>
      <c r="L497" t="n">
        <v>0.011694</v>
      </c>
      <c r="M497" t="n">
        <v>0.22583</v>
      </c>
      <c r="N497" t="n">
        <v>-3.4032</v>
      </c>
      <c r="O497" t="n">
        <v>-0.92863</v>
      </c>
      <c r="P497" t="n">
        <v>0.3214</v>
      </c>
      <c r="Q497" t="n">
        <v>-0.11102</v>
      </c>
      <c r="R497" t="n">
        <v>0.5857</v>
      </c>
      <c r="S497" t="n">
        <v>0.043057</v>
      </c>
      <c r="T497" t="n">
        <v>0.83111</v>
      </c>
      <c r="U497" t="n">
        <v>0.22881</v>
      </c>
      <c r="V497" t="n">
        <v>-0.78549</v>
      </c>
      <c r="W497" t="n">
        <v>-0.12683</v>
      </c>
      <c r="X497" t="n">
        <v>-0.62427</v>
      </c>
      <c r="Y497" t="n">
        <v>-0.68993</v>
      </c>
      <c r="Z497" t="n">
        <v>-0.90807</v>
      </c>
    </row>
    <row r="498">
      <c r="A498" t="inlineStr">
        <is>
          <t>microsoft</t>
        </is>
      </c>
      <c r="B498" t="n">
        <v>1.2304</v>
      </c>
      <c r="C498" t="n">
        <v>0.40331</v>
      </c>
      <c r="D498" t="n">
        <v>-0.10809</v>
      </c>
      <c r="E498" t="n">
        <v>-0.86166</v>
      </c>
      <c r="F498" t="n">
        <v>0.41455</v>
      </c>
      <c r="G498" t="n">
        <v>-0.45356</v>
      </c>
      <c r="H498" t="n">
        <v>-0.38301</v>
      </c>
      <c r="I498" t="n">
        <v>-0.0083566</v>
      </c>
      <c r="J498" t="n">
        <v>1.2839</v>
      </c>
      <c r="K498" t="n">
        <v>-0.43736</v>
      </c>
      <c r="L498" t="n">
        <v>1.321</v>
      </c>
      <c r="M498" t="n">
        <v>0.058678</v>
      </c>
      <c r="N498" t="n">
        <v>-2.8713</v>
      </c>
      <c r="O498" t="n">
        <v>-0.88536</v>
      </c>
      <c r="P498" t="n">
        <v>0.42118</v>
      </c>
      <c r="Q498" t="n">
        <v>-0.24683</v>
      </c>
      <c r="R498" t="n">
        <v>-0.008348299999999999</v>
      </c>
      <c r="S498" t="n">
        <v>1.0385</v>
      </c>
      <c r="T498" t="n">
        <v>0.55854</v>
      </c>
      <c r="U498" t="n">
        <v>-0.21484</v>
      </c>
      <c r="V498" t="n">
        <v>-0.33944</v>
      </c>
      <c r="W498" t="n">
        <v>-1.7641</v>
      </c>
      <c r="X498" t="n">
        <v>-0.19785</v>
      </c>
      <c r="Y498" t="n">
        <v>-0.86013</v>
      </c>
      <c r="Z498" t="n">
        <v>-0.93408</v>
      </c>
    </row>
    <row r="499">
      <c r="A499" t="inlineStr">
        <is>
          <t>agreed</t>
        </is>
      </c>
      <c r="B499" t="n">
        <v>0.052829</v>
      </c>
      <c r="C499" t="n">
        <v>0.87158</v>
      </c>
      <c r="D499" t="n">
        <v>-0.69865</v>
      </c>
      <c r="E499" t="n">
        <v>-1.1929</v>
      </c>
      <c r="F499" t="n">
        <v>-0.71168</v>
      </c>
      <c r="G499" t="n">
        <v>-0.33847</v>
      </c>
      <c r="H499" t="n">
        <v>0.49776</v>
      </c>
      <c r="I499" t="n">
        <v>-0.76855</v>
      </c>
      <c r="J499" t="n">
        <v>-0.95042</v>
      </c>
      <c r="K499" t="n">
        <v>-0.48431</v>
      </c>
      <c r="L499" t="n">
        <v>0.84887</v>
      </c>
      <c r="M499" t="n">
        <v>0.98416</v>
      </c>
      <c r="N499" t="n">
        <v>-3.0445</v>
      </c>
      <c r="O499" t="n">
        <v>0.18768</v>
      </c>
      <c r="P499" t="n">
        <v>1.1951</v>
      </c>
      <c r="Q499" t="n">
        <v>-0.55924</v>
      </c>
      <c r="R499" t="n">
        <v>0.21729</v>
      </c>
      <c r="S499" t="n">
        <v>-0.25204</v>
      </c>
      <c r="T499" t="n">
        <v>-0.051096</v>
      </c>
      <c r="U499" t="n">
        <v>-1.0255</v>
      </c>
      <c r="V499" t="n">
        <v>0.67562</v>
      </c>
      <c r="W499" t="n">
        <v>0.36897</v>
      </c>
      <c r="X499" t="n">
        <v>-0.2884</v>
      </c>
      <c r="Y499" t="n">
        <v>0.1673</v>
      </c>
      <c r="Z499" t="n">
        <v>-1.0727</v>
      </c>
    </row>
    <row r="500">
      <c r="A500" t="inlineStr">
        <is>
          <t>tear</t>
        </is>
      </c>
      <c r="B500" t="n">
        <v>-0.55011</v>
      </c>
      <c r="C500" t="n">
        <v>0.21404</v>
      </c>
      <c r="D500" t="n">
        <v>0.13383</v>
      </c>
      <c r="E500" t="n">
        <v>1.076</v>
      </c>
      <c r="F500" t="n">
        <v>-0.53611</v>
      </c>
      <c r="G500" t="n">
        <v>0.12502</v>
      </c>
      <c r="H500" t="n">
        <v>0.89758</v>
      </c>
      <c r="I500" t="n">
        <v>-0.99236</v>
      </c>
      <c r="J500" t="n">
        <v>-0.21801</v>
      </c>
      <c r="K500" t="n">
        <v>0.35331</v>
      </c>
      <c r="L500" t="n">
        <v>0.20887</v>
      </c>
      <c r="M500" t="n">
        <v>1.0122</v>
      </c>
      <c r="N500" t="n">
        <v>-3.0398</v>
      </c>
      <c r="O500" t="n">
        <v>0.65118</v>
      </c>
      <c r="P500" t="n">
        <v>-0.56567</v>
      </c>
      <c r="Q500" t="n">
        <v>0.51662</v>
      </c>
      <c r="R500" t="n">
        <v>0.18424</v>
      </c>
      <c r="S500" t="n">
        <v>-0.0085608</v>
      </c>
      <c r="T500" t="n">
        <v>0.18033</v>
      </c>
      <c r="U500" t="n">
        <v>-0.78817</v>
      </c>
      <c r="V500" t="n">
        <v>-0.25034</v>
      </c>
      <c r="W500" t="n">
        <v>0.94784</v>
      </c>
      <c r="X500" t="n">
        <v>1.8125</v>
      </c>
      <c r="Y500" t="n">
        <v>-0.15672</v>
      </c>
      <c r="Z500" t="n">
        <v>-0.039339</v>
      </c>
    </row>
    <row r="501">
      <c r="A501" t="inlineStr">
        <is>
          <t>flowers</t>
        </is>
      </c>
      <c r="B501" t="n">
        <v>-1.6066</v>
      </c>
      <c r="C501" t="n">
        <v>-0.83399</v>
      </c>
      <c r="D501" t="n">
        <v>0.9144</v>
      </c>
      <c r="E501" t="n">
        <v>0.91143</v>
      </c>
      <c r="F501" t="n">
        <v>-0.41101</v>
      </c>
      <c r="G501" t="n">
        <v>-0.07423200000000001</v>
      </c>
      <c r="H501" t="n">
        <v>1.0318</v>
      </c>
      <c r="I501" t="n">
        <v>-1.2455</v>
      </c>
      <c r="J501" t="n">
        <v>-0.43918</v>
      </c>
      <c r="K501" t="n">
        <v>-0.23958</v>
      </c>
      <c r="L501" t="n">
        <v>0.7208599999999999</v>
      </c>
      <c r="M501" t="n">
        <v>-0.28881</v>
      </c>
      <c r="N501" t="n">
        <v>-3.158</v>
      </c>
      <c r="O501" t="n">
        <v>-0.020649</v>
      </c>
      <c r="P501" t="n">
        <v>-1.2171</v>
      </c>
      <c r="Q501" t="n">
        <v>-0.13287</v>
      </c>
      <c r="R501" t="n">
        <v>0.90078</v>
      </c>
      <c r="S501" t="n">
        <v>-0.5428500000000001</v>
      </c>
      <c r="T501" t="n">
        <v>0.44227</v>
      </c>
      <c r="U501" t="n">
        <v>0.37368</v>
      </c>
      <c r="V501" t="n">
        <v>-0.56847</v>
      </c>
      <c r="W501" t="n">
        <v>-0.32328</v>
      </c>
      <c r="X501" t="n">
        <v>-0.33297</v>
      </c>
      <c r="Y501" t="n">
        <v>0.2459</v>
      </c>
      <c r="Z501" t="n">
        <v>-0.11398</v>
      </c>
    </row>
    <row r="502">
      <c r="A502" t="inlineStr">
        <is>
          <t>guilty</t>
        </is>
      </c>
      <c r="B502" t="n">
        <v>0.0025841</v>
      </c>
      <c r="C502" t="n">
        <v>0.30572</v>
      </c>
      <c r="D502" t="n">
        <v>0.072758</v>
      </c>
      <c r="E502" t="n">
        <v>0.1761</v>
      </c>
      <c r="F502" t="n">
        <v>0.59288</v>
      </c>
      <c r="G502" t="n">
        <v>-0.78717</v>
      </c>
      <c r="H502" t="n">
        <v>0.79715</v>
      </c>
      <c r="I502" t="n">
        <v>-0.79675</v>
      </c>
      <c r="J502" t="n">
        <v>-0.31082</v>
      </c>
      <c r="K502" t="n">
        <v>0.59717</v>
      </c>
      <c r="L502" t="n">
        <v>-0.20869</v>
      </c>
      <c r="M502" t="n">
        <v>0.83564</v>
      </c>
      <c r="N502" t="n">
        <v>-2.5828</v>
      </c>
      <c r="O502" t="n">
        <v>0.22038</v>
      </c>
      <c r="P502" t="n">
        <v>0.42226</v>
      </c>
      <c r="Q502" t="n">
        <v>-0.22633</v>
      </c>
      <c r="R502" t="n">
        <v>0.22564</v>
      </c>
      <c r="S502" t="n">
        <v>0.7018</v>
      </c>
      <c r="T502" t="n">
        <v>0.17539</v>
      </c>
      <c r="U502" t="n">
        <v>-1.6344</v>
      </c>
      <c r="V502" t="n">
        <v>1.0175</v>
      </c>
      <c r="W502" t="n">
        <v>1.2898</v>
      </c>
      <c r="X502" t="n">
        <v>-0.05137</v>
      </c>
      <c r="Y502" t="n">
        <v>-0.9430500000000001</v>
      </c>
      <c r="Z502" t="n">
        <v>-0.16232</v>
      </c>
    </row>
    <row r="503">
      <c r="A503" t="inlineStr">
        <is>
          <t>chicks</t>
        </is>
      </c>
      <c r="B503" t="n">
        <v>0.23608</v>
      </c>
      <c r="C503" t="n">
        <v>0.21257</v>
      </c>
      <c r="D503" t="n">
        <v>0.53587</v>
      </c>
      <c r="E503" t="n">
        <v>-0.56876</v>
      </c>
      <c r="F503" t="n">
        <v>0.76549</v>
      </c>
      <c r="G503" t="n">
        <v>0.46005</v>
      </c>
      <c r="H503" t="n">
        <v>0.34374</v>
      </c>
      <c r="I503" t="n">
        <v>-0.90098</v>
      </c>
      <c r="J503" t="n">
        <v>-0.77962</v>
      </c>
      <c r="K503" t="n">
        <v>0.70355</v>
      </c>
      <c r="L503" t="n">
        <v>-0.72155</v>
      </c>
      <c r="M503" t="n">
        <v>0.041155</v>
      </c>
      <c r="N503" t="n">
        <v>-3.1626</v>
      </c>
      <c r="O503" t="n">
        <v>-0.42735</v>
      </c>
      <c r="P503" t="n">
        <v>-1.0088</v>
      </c>
      <c r="Q503" t="n">
        <v>1.1986</v>
      </c>
      <c r="R503" t="n">
        <v>0.68103</v>
      </c>
      <c r="S503" t="n">
        <v>-1.2448</v>
      </c>
      <c r="T503" t="n">
        <v>0.27752</v>
      </c>
      <c r="U503" t="n">
        <v>0.99353</v>
      </c>
      <c r="V503" t="n">
        <v>0.28683</v>
      </c>
      <c r="W503" t="n">
        <v>1.2944</v>
      </c>
      <c r="X503" t="n">
        <v>0.048856</v>
      </c>
      <c r="Y503" t="n">
        <v>-0.87688</v>
      </c>
      <c r="Z503" t="n">
        <v>0.25884</v>
      </c>
    </row>
    <row r="504">
      <c r="A504" t="inlineStr">
        <is>
          <t>thisn</t>
        </is>
      </c>
      <c r="B504" t="n">
        <v>0.17568</v>
      </c>
      <c r="C504" t="n">
        <v>2.2436</v>
      </c>
      <c r="D504" t="n">
        <v>-1.7415</v>
      </c>
      <c r="E504" t="n">
        <v>0.097745</v>
      </c>
      <c r="F504" t="n">
        <v>-0.40453</v>
      </c>
      <c r="G504" t="n">
        <v>-1.5111</v>
      </c>
      <c r="H504" t="n">
        <v>-0.47416</v>
      </c>
      <c r="I504" t="n">
        <v>0.67396</v>
      </c>
      <c r="J504" t="n">
        <v>-2.0967</v>
      </c>
      <c r="K504" t="n">
        <v>0.4573</v>
      </c>
      <c r="L504" t="n">
        <v>-0.0033674</v>
      </c>
      <c r="M504" t="n">
        <v>0.91743</v>
      </c>
      <c r="N504" t="n">
        <v>-2.1613</v>
      </c>
      <c r="O504" t="n">
        <v>-0.86098</v>
      </c>
      <c r="P504" t="n">
        <v>-2.3652</v>
      </c>
      <c r="Q504" t="n">
        <v>0.4487</v>
      </c>
      <c r="R504" t="n">
        <v>-0.36335</v>
      </c>
      <c r="S504" t="n">
        <v>-0.63992</v>
      </c>
      <c r="T504" t="n">
        <v>0.64111</v>
      </c>
      <c r="U504" t="n">
        <v>0.16739</v>
      </c>
      <c r="V504" t="n">
        <v>-0.34741</v>
      </c>
      <c r="W504" t="n">
        <v>-1.5087</v>
      </c>
      <c r="X504" t="n">
        <v>1.1581</v>
      </c>
      <c r="Y504" t="n">
        <v>0.30629</v>
      </c>
      <c r="Z504" t="n">
        <v>-0.7847499999999999</v>
      </c>
    </row>
    <row r="505">
      <c r="A505" t="inlineStr">
        <is>
          <t>arrive</t>
        </is>
      </c>
      <c r="B505" t="n">
        <v>-0.3758</v>
      </c>
      <c r="C505" t="n">
        <v>-0.77217</v>
      </c>
      <c r="D505" t="n">
        <v>-1.2371</v>
      </c>
      <c r="E505" t="n">
        <v>0.27778</v>
      </c>
      <c r="F505" t="n">
        <v>-1.6456</v>
      </c>
      <c r="G505" t="n">
        <v>-0.11482</v>
      </c>
      <c r="H505" t="n">
        <v>0.009337399999999999</v>
      </c>
      <c r="I505" t="n">
        <v>-0.87957</v>
      </c>
      <c r="J505" t="n">
        <v>0.066195</v>
      </c>
      <c r="K505" t="n">
        <v>-0.27487</v>
      </c>
      <c r="L505" t="n">
        <v>0.18451</v>
      </c>
      <c r="M505" t="n">
        <v>-0.30638</v>
      </c>
      <c r="N505" t="n">
        <v>-2.6899</v>
      </c>
      <c r="O505" t="n">
        <v>0.71091</v>
      </c>
      <c r="P505" t="n">
        <v>0.64545</v>
      </c>
      <c r="Q505" t="n">
        <v>1.571</v>
      </c>
      <c r="R505" t="n">
        <v>-0.19103</v>
      </c>
      <c r="S505" t="n">
        <v>-0.31065</v>
      </c>
      <c r="T505" t="n">
        <v>-2.5545</v>
      </c>
      <c r="U505" t="n">
        <v>-0.24062</v>
      </c>
      <c r="V505" t="n">
        <v>-0.086447</v>
      </c>
      <c r="W505" t="n">
        <v>-1.5309</v>
      </c>
      <c r="X505" t="n">
        <v>0.63617</v>
      </c>
      <c r="Y505" t="n">
        <v>-0.11986</v>
      </c>
      <c r="Z505" t="n">
        <v>-0.16516</v>
      </c>
    </row>
    <row r="506">
      <c r="A506" t="inlineStr">
        <is>
          <t>recently</t>
        </is>
      </c>
      <c r="B506" t="n">
        <v>-0.13625</v>
      </c>
      <c r="C506" t="n">
        <v>0.28326</v>
      </c>
      <c r="D506" t="n">
        <v>0.71752</v>
      </c>
      <c r="E506" t="n">
        <v>-1.0982</v>
      </c>
      <c r="F506" t="n">
        <v>0.2098</v>
      </c>
      <c r="G506" t="n">
        <v>-0.25241</v>
      </c>
      <c r="H506" t="n">
        <v>0.45278</v>
      </c>
      <c r="I506" t="n">
        <v>-0.82877</v>
      </c>
      <c r="J506" t="n">
        <v>-0.92631</v>
      </c>
      <c r="K506" t="n">
        <v>-0.19191</v>
      </c>
      <c r="L506" t="n">
        <v>0.78298</v>
      </c>
      <c r="M506" t="n">
        <v>0.9168500000000001</v>
      </c>
      <c r="N506" t="n">
        <v>-3.2855</v>
      </c>
      <c r="O506" t="n">
        <v>0.27379</v>
      </c>
      <c r="P506" t="n">
        <v>0.31931</v>
      </c>
      <c r="Q506" t="n">
        <v>0.54386</v>
      </c>
      <c r="R506" t="n">
        <v>0.94891</v>
      </c>
      <c r="S506" t="n">
        <v>0.62813</v>
      </c>
      <c r="T506" t="n">
        <v>0.49726</v>
      </c>
      <c r="U506" t="n">
        <v>-1.1344</v>
      </c>
      <c r="V506" t="n">
        <v>0.23677</v>
      </c>
      <c r="W506" t="n">
        <v>-0.95464</v>
      </c>
      <c r="X506" t="n">
        <v>-0.6434800000000001</v>
      </c>
      <c r="Y506" t="n">
        <v>-0.085373</v>
      </c>
      <c r="Z506" t="n">
        <v>-0.57924</v>
      </c>
    </row>
    <row r="507">
      <c r="A507" t="inlineStr">
        <is>
          <t>earn</t>
        </is>
      </c>
      <c r="B507" t="n">
        <v>0.32836</v>
      </c>
      <c r="C507" t="n">
        <v>1.7861</v>
      </c>
      <c r="D507" t="n">
        <v>-1.0979</v>
      </c>
      <c r="E507" t="n">
        <v>-0.23649</v>
      </c>
      <c r="F507" t="n">
        <v>0.14113</v>
      </c>
      <c r="G507" t="n">
        <v>0.02189</v>
      </c>
      <c r="H507" t="n">
        <v>-0.039658</v>
      </c>
      <c r="I507" t="n">
        <v>-1.6021</v>
      </c>
      <c r="J507" t="n">
        <v>-0.19335</v>
      </c>
      <c r="K507" t="n">
        <v>-0.9962</v>
      </c>
      <c r="L507" t="n">
        <v>0.5416800000000001</v>
      </c>
      <c r="M507" t="n">
        <v>0.31934</v>
      </c>
      <c r="N507" t="n">
        <v>-3.4318</v>
      </c>
      <c r="O507" t="n">
        <v>-0.026179</v>
      </c>
      <c r="P507" t="n">
        <v>-0.52456</v>
      </c>
      <c r="Q507" t="n">
        <v>-0.36002</v>
      </c>
      <c r="R507" t="n">
        <v>0.37644</v>
      </c>
      <c r="S507" t="n">
        <v>-0.86298</v>
      </c>
      <c r="T507" t="n">
        <v>0.67798</v>
      </c>
      <c r="U507" t="n">
        <v>-0.93547</v>
      </c>
      <c r="V507" t="n">
        <v>-1.4119</v>
      </c>
      <c r="W507" t="n">
        <v>-1.1431</v>
      </c>
      <c r="X507" t="n">
        <v>-0.19081</v>
      </c>
      <c r="Y507" t="n">
        <v>0.62314</v>
      </c>
      <c r="Z507" t="n">
        <v>-0.23759</v>
      </c>
    </row>
    <row r="508">
      <c r="A508" t="inlineStr">
        <is>
          <t>item</t>
        </is>
      </c>
      <c r="B508" t="n">
        <v>-0.010776</v>
      </c>
      <c r="C508" t="n">
        <v>-0.5051099999999999</v>
      </c>
      <c r="D508" t="n">
        <v>-0.37836</v>
      </c>
      <c r="E508" t="n">
        <v>-0.62632</v>
      </c>
      <c r="F508" t="n">
        <v>1.0638</v>
      </c>
      <c r="G508" t="n">
        <v>-0.29755</v>
      </c>
      <c r="H508" t="n">
        <v>0.35059</v>
      </c>
      <c r="I508" t="n">
        <v>0.52686</v>
      </c>
      <c r="J508" t="n">
        <v>1.1766</v>
      </c>
      <c r="K508" t="n">
        <v>0.59567</v>
      </c>
      <c r="L508" t="n">
        <v>1.2613</v>
      </c>
      <c r="M508" t="n">
        <v>0.50268</v>
      </c>
      <c r="N508" t="n">
        <v>-2.3872</v>
      </c>
      <c r="O508" t="n">
        <v>-0.54522</v>
      </c>
      <c r="P508" t="n">
        <v>-0.7126400000000001</v>
      </c>
      <c r="Q508" t="n">
        <v>-0.22178</v>
      </c>
      <c r="R508" t="n">
        <v>1.1341</v>
      </c>
      <c r="S508" t="n">
        <v>-0.64003</v>
      </c>
      <c r="T508" t="n">
        <v>-0.14671</v>
      </c>
      <c r="U508" t="n">
        <v>0.5968</v>
      </c>
      <c r="V508" t="n">
        <v>-1.5568</v>
      </c>
      <c r="W508" t="n">
        <v>0.6574</v>
      </c>
      <c r="X508" t="n">
        <v>-0.72699</v>
      </c>
      <c r="Y508" t="n">
        <v>1.2041</v>
      </c>
      <c r="Z508" t="n">
        <v>-0.49516</v>
      </c>
    </row>
    <row r="509">
      <c r="A509" t="inlineStr">
        <is>
          <t>reaction</t>
        </is>
      </c>
      <c r="B509" t="n">
        <v>0.23875</v>
      </c>
      <c r="C509" t="n">
        <v>-0.35199</v>
      </c>
      <c r="D509" t="n">
        <v>0.3799</v>
      </c>
      <c r="E509" t="n">
        <v>0.2481</v>
      </c>
      <c r="F509" t="n">
        <v>0.5753200000000001</v>
      </c>
      <c r="G509" t="n">
        <v>-0.67585</v>
      </c>
      <c r="H509" t="n">
        <v>1.7711</v>
      </c>
      <c r="I509" t="n">
        <v>-0.3122</v>
      </c>
      <c r="J509" t="n">
        <v>-0.18912</v>
      </c>
      <c r="K509" t="n">
        <v>-0.72945</v>
      </c>
      <c r="L509" t="n">
        <v>0.18875</v>
      </c>
      <c r="M509" t="n">
        <v>0.8354200000000001</v>
      </c>
      <c r="N509" t="n">
        <v>-2.6494</v>
      </c>
      <c r="O509" t="n">
        <v>0.49426</v>
      </c>
      <c r="P509" t="n">
        <v>0.7984</v>
      </c>
      <c r="Q509" t="n">
        <v>0.88274</v>
      </c>
      <c r="R509" t="n">
        <v>0.089556</v>
      </c>
      <c r="S509" t="n">
        <v>-0.19763</v>
      </c>
      <c r="T509" t="n">
        <v>-0.40998</v>
      </c>
      <c r="U509" t="n">
        <v>-0.42134</v>
      </c>
      <c r="V509" t="n">
        <v>0.18959</v>
      </c>
      <c r="W509" t="n">
        <v>0.67459</v>
      </c>
      <c r="X509" t="n">
        <v>0.28785</v>
      </c>
      <c r="Y509" t="n">
        <v>-0.49466</v>
      </c>
      <c r="Z509" t="n">
        <v>-1.5948</v>
      </c>
    </row>
    <row r="510">
      <c r="A510" t="inlineStr">
        <is>
          <t>hiciste</t>
        </is>
      </c>
      <c r="B510" t="n">
        <v>0.29274</v>
      </c>
      <c r="C510" t="n">
        <v>-0.026572</v>
      </c>
      <c r="D510" t="n">
        <v>0.052118</v>
      </c>
      <c r="E510" t="n">
        <v>1.1299</v>
      </c>
      <c r="F510" t="n">
        <v>0.21093</v>
      </c>
      <c r="G510" t="n">
        <v>0.29904</v>
      </c>
      <c r="H510" t="n">
        <v>0.11466</v>
      </c>
      <c r="I510" t="n">
        <v>2.3494</v>
      </c>
      <c r="J510" t="n">
        <v>-0.85303</v>
      </c>
      <c r="K510" t="n">
        <v>-1.449</v>
      </c>
      <c r="L510" t="n">
        <v>1.2639</v>
      </c>
      <c r="M510" t="n">
        <v>-1.6415</v>
      </c>
      <c r="N510" t="n">
        <v>-0.36746</v>
      </c>
      <c r="O510" t="n">
        <v>-0.42807</v>
      </c>
      <c r="P510" t="n">
        <v>1.5402</v>
      </c>
      <c r="Q510" t="n">
        <v>0.9938399999999999</v>
      </c>
      <c r="R510" t="n">
        <v>0.0045954</v>
      </c>
      <c r="S510" t="n">
        <v>1.4236</v>
      </c>
      <c r="T510" t="n">
        <v>-0.12786</v>
      </c>
      <c r="U510" t="n">
        <v>-0.0065164</v>
      </c>
      <c r="V510" t="n">
        <v>0.87516</v>
      </c>
      <c r="W510" t="n">
        <v>0.181</v>
      </c>
      <c r="X510" t="n">
        <v>0.91648</v>
      </c>
      <c r="Y510" t="n">
        <v>1.7891</v>
      </c>
      <c r="Z510" t="n">
        <v>-0.61492</v>
      </c>
    </row>
    <row r="511">
      <c r="A511" t="inlineStr">
        <is>
          <t>wave</t>
        </is>
      </c>
      <c r="B511" t="n">
        <v>-0.55236</v>
      </c>
      <c r="C511" t="n">
        <v>-0.327</v>
      </c>
      <c r="D511" t="n">
        <v>-0.23731</v>
      </c>
      <c r="E511" t="n">
        <v>-0.052938</v>
      </c>
      <c r="F511" t="n">
        <v>0.0022736</v>
      </c>
      <c r="G511" t="n">
        <v>-0.12548</v>
      </c>
      <c r="H511" t="n">
        <v>1.1346</v>
      </c>
      <c r="I511" t="n">
        <v>-0.38852</v>
      </c>
      <c r="J511" t="n">
        <v>1.1991</v>
      </c>
      <c r="K511" t="n">
        <v>0.24086</v>
      </c>
      <c r="L511" t="n">
        <v>-0.27916</v>
      </c>
      <c r="M511" t="n">
        <v>0.6767</v>
      </c>
      <c r="N511" t="n">
        <v>-2.8084</v>
      </c>
      <c r="O511" t="n">
        <v>0.38625</v>
      </c>
      <c r="P511" t="n">
        <v>-0.28584</v>
      </c>
      <c r="Q511" t="n">
        <v>0.1608</v>
      </c>
      <c r="R511" t="n">
        <v>-0.13074</v>
      </c>
      <c r="S511" t="n">
        <v>0.23757</v>
      </c>
      <c r="T511" t="n">
        <v>0.49153</v>
      </c>
      <c r="U511" t="n">
        <v>0.3943</v>
      </c>
      <c r="V511" t="n">
        <v>-0.60036</v>
      </c>
      <c r="W511" t="n">
        <v>-0.35679</v>
      </c>
      <c r="X511" t="n">
        <v>1.442</v>
      </c>
      <c r="Y511" t="n">
        <v>-0.441</v>
      </c>
      <c r="Z511" t="n">
        <v>0.1054</v>
      </c>
    </row>
    <row r="512">
      <c r="A512" t="inlineStr">
        <is>
          <t>arrested</t>
        </is>
      </c>
      <c r="B512" t="n">
        <v>-0.29688</v>
      </c>
      <c r="C512" t="n">
        <v>1.1506</v>
      </c>
      <c r="D512" t="n">
        <v>1.0571</v>
      </c>
      <c r="E512" t="n">
        <v>-0.48257</v>
      </c>
      <c r="F512" t="n">
        <v>0.24203</v>
      </c>
      <c r="G512" t="n">
        <v>-1.1083</v>
      </c>
      <c r="H512" t="n">
        <v>0.25816</v>
      </c>
      <c r="I512" t="n">
        <v>-0.85504</v>
      </c>
      <c r="J512" t="n">
        <v>-0.010232</v>
      </c>
      <c r="K512" t="n">
        <v>0.71931</v>
      </c>
      <c r="L512" t="n">
        <v>1.3623</v>
      </c>
      <c r="M512" t="n">
        <v>1.0177</v>
      </c>
      <c r="N512" t="n">
        <v>-2.9355</v>
      </c>
      <c r="O512" t="n">
        <v>-0.061524</v>
      </c>
      <c r="P512" t="n">
        <v>0.76249</v>
      </c>
      <c r="Q512" t="n">
        <v>-0.29022</v>
      </c>
      <c r="R512" t="n">
        <v>0.21184</v>
      </c>
      <c r="S512" t="n">
        <v>0.28241</v>
      </c>
      <c r="T512" t="n">
        <v>-0.24724</v>
      </c>
      <c r="U512" t="n">
        <v>-1.607</v>
      </c>
      <c r="V512" t="n">
        <v>0.90702</v>
      </c>
      <c r="W512" t="n">
        <v>0.82942</v>
      </c>
      <c r="X512" t="n">
        <v>0.010748</v>
      </c>
      <c r="Y512" t="n">
        <v>-2.4939</v>
      </c>
      <c r="Z512" t="n">
        <v>0.4534</v>
      </c>
    </row>
    <row r="513">
      <c r="A513" t="inlineStr">
        <is>
          <t>childhood</t>
        </is>
      </c>
      <c r="B513" t="n">
        <v>-0.41366</v>
      </c>
      <c r="C513" t="n">
        <v>0.66494</v>
      </c>
      <c r="D513" t="n">
        <v>0.9462</v>
      </c>
      <c r="E513" t="n">
        <v>0.73237</v>
      </c>
      <c r="F513" t="n">
        <v>0.75636</v>
      </c>
      <c r="G513" t="n">
        <v>-0.33677</v>
      </c>
      <c r="H513" t="n">
        <v>2.1473</v>
      </c>
      <c r="I513" t="n">
        <v>-0.47748</v>
      </c>
      <c r="J513" t="n">
        <v>-0.8922099999999999</v>
      </c>
      <c r="K513" t="n">
        <v>-0.3612</v>
      </c>
      <c r="L513" t="n">
        <v>-0.14419</v>
      </c>
      <c r="M513" t="n">
        <v>0.14131</v>
      </c>
      <c r="N513" t="n">
        <v>-2.618</v>
      </c>
      <c r="O513" t="n">
        <v>0.92333</v>
      </c>
      <c r="P513" t="n">
        <v>0.392</v>
      </c>
      <c r="Q513" t="n">
        <v>0.9450499999999999</v>
      </c>
      <c r="R513" t="n">
        <v>0.59102</v>
      </c>
      <c r="S513" t="n">
        <v>0.29776</v>
      </c>
      <c r="T513" t="n">
        <v>0.79775</v>
      </c>
      <c r="U513" t="n">
        <v>-0.018436</v>
      </c>
      <c r="V513" t="n">
        <v>-0.35471</v>
      </c>
      <c r="W513" t="n">
        <v>0.38086</v>
      </c>
      <c r="X513" t="n">
        <v>-0.95905</v>
      </c>
      <c r="Y513" t="n">
        <v>-0.57701</v>
      </c>
      <c r="Z513" t="n">
        <v>-0.07881199999999999</v>
      </c>
    </row>
    <row r="514">
      <c r="A514" t="inlineStr">
        <is>
          <t>comedy</t>
        </is>
      </c>
      <c r="B514" t="n">
        <v>0.23816</v>
      </c>
      <c r="C514" t="n">
        <v>0.32357</v>
      </c>
      <c r="D514" t="n">
        <v>0.60653</v>
      </c>
      <c r="E514" t="n">
        <v>-0.6175</v>
      </c>
      <c r="F514" t="n">
        <v>0.76635</v>
      </c>
      <c r="G514" t="n">
        <v>-0.41492</v>
      </c>
      <c r="H514" t="n">
        <v>1.6852</v>
      </c>
      <c r="I514" t="n">
        <v>-0.020745</v>
      </c>
      <c r="J514" t="n">
        <v>0.58125</v>
      </c>
      <c r="K514" t="n">
        <v>-0.9149</v>
      </c>
      <c r="L514" t="n">
        <v>-0.21841</v>
      </c>
      <c r="M514" t="n">
        <v>0.9347800000000001</v>
      </c>
      <c r="N514" t="n">
        <v>-2.4926</v>
      </c>
      <c r="O514" t="n">
        <v>-0.0054146</v>
      </c>
      <c r="P514" t="n">
        <v>0.85154</v>
      </c>
      <c r="Q514" t="n">
        <v>0.61013</v>
      </c>
      <c r="R514" t="n">
        <v>0.35495</v>
      </c>
      <c r="S514" t="n">
        <v>-0.20849</v>
      </c>
      <c r="T514" t="n">
        <v>-0.33864</v>
      </c>
      <c r="U514" t="n">
        <v>0.63095</v>
      </c>
      <c r="V514" t="n">
        <v>-0.64269</v>
      </c>
      <c r="W514" t="n">
        <v>0.043399</v>
      </c>
      <c r="X514" t="n">
        <v>-1.0789</v>
      </c>
      <c r="Y514" t="n">
        <v>-0.86008</v>
      </c>
      <c r="Z514" t="n">
        <v>0.7710900000000001</v>
      </c>
    </row>
    <row r="515">
      <c r="A515" t="inlineStr">
        <is>
          <t>whose</t>
        </is>
      </c>
      <c r="B515" t="n">
        <v>-0.6427</v>
      </c>
      <c r="C515" t="n">
        <v>0.92998</v>
      </c>
      <c r="D515" t="n">
        <v>0.25295</v>
      </c>
      <c r="E515" t="n">
        <v>-0.033085</v>
      </c>
      <c r="F515" t="n">
        <v>0.31581</v>
      </c>
      <c r="G515" t="n">
        <v>-0.4901</v>
      </c>
      <c r="H515" t="n">
        <v>1.0386</v>
      </c>
      <c r="I515" t="n">
        <v>-0.76772</v>
      </c>
      <c r="J515" t="n">
        <v>-0.19946</v>
      </c>
      <c r="K515" t="n">
        <v>-0.29873</v>
      </c>
      <c r="L515" t="n">
        <v>0.085685</v>
      </c>
      <c r="M515" t="n">
        <v>0.31097</v>
      </c>
      <c r="N515" t="n">
        <v>-3.9757</v>
      </c>
      <c r="O515" t="n">
        <v>0.49151</v>
      </c>
      <c r="P515" t="n">
        <v>-0.50136</v>
      </c>
      <c r="Q515" t="n">
        <v>0.44508</v>
      </c>
      <c r="R515" t="n">
        <v>0.4473</v>
      </c>
      <c r="S515" t="n">
        <v>0.12516</v>
      </c>
      <c r="T515" t="n">
        <v>0.60943</v>
      </c>
      <c r="U515" t="n">
        <v>-0.07707600000000001</v>
      </c>
      <c r="V515" t="n">
        <v>1.1111</v>
      </c>
      <c r="W515" t="n">
        <v>0.4984</v>
      </c>
      <c r="X515" t="n">
        <v>-0.58113</v>
      </c>
      <c r="Y515" t="n">
        <v>-0.44897</v>
      </c>
      <c r="Z515" t="n">
        <v>-0.80805</v>
      </c>
    </row>
    <row r="516">
      <c r="A516" t="inlineStr">
        <is>
          <t>hicieron</t>
        </is>
      </c>
      <c r="B516" t="n">
        <v>1.063</v>
      </c>
      <c r="C516" t="n">
        <v>0.84184</v>
      </c>
      <c r="D516" t="n">
        <v>0.39282</v>
      </c>
      <c r="E516" t="n">
        <v>0.34495</v>
      </c>
      <c r="F516" t="n">
        <v>0.24512</v>
      </c>
      <c r="G516" t="n">
        <v>0.6244499999999999</v>
      </c>
      <c r="H516" t="n">
        <v>-0.4417</v>
      </c>
      <c r="I516" t="n">
        <v>2.4426</v>
      </c>
      <c r="J516" t="n">
        <v>-1.2443</v>
      </c>
      <c r="K516" t="n">
        <v>-1.6255</v>
      </c>
      <c r="L516" t="n">
        <v>0.86193</v>
      </c>
      <c r="M516" t="n">
        <v>-1.8187</v>
      </c>
      <c r="N516" t="n">
        <v>-0.70467</v>
      </c>
      <c r="O516" t="n">
        <v>0.30911</v>
      </c>
      <c r="P516" t="n">
        <v>0.66954</v>
      </c>
      <c r="Q516" t="n">
        <v>1.5509</v>
      </c>
      <c r="R516" t="n">
        <v>-0.25086</v>
      </c>
      <c r="S516" t="n">
        <v>0.17472</v>
      </c>
      <c r="T516" t="n">
        <v>0.53829</v>
      </c>
      <c r="U516" t="n">
        <v>0.5812</v>
      </c>
      <c r="V516" t="n">
        <v>0.34537</v>
      </c>
      <c r="W516" t="n">
        <v>0.24845</v>
      </c>
      <c r="X516" t="n">
        <v>0.30276</v>
      </c>
      <c r="Y516" t="n">
        <v>0.22056</v>
      </c>
      <c r="Z516" t="n">
        <v>0.70962</v>
      </c>
    </row>
    <row r="517">
      <c r="A517" t="inlineStr">
        <is>
          <t>switch</t>
        </is>
      </c>
      <c r="B517" t="n">
        <v>0.23642</v>
      </c>
      <c r="C517" t="n">
        <v>0.51609</v>
      </c>
      <c r="D517" t="n">
        <v>0.33687</v>
      </c>
      <c r="E517" t="n">
        <v>-0.28996</v>
      </c>
      <c r="F517" t="n">
        <v>0.13568</v>
      </c>
      <c r="G517" t="n">
        <v>0.062154</v>
      </c>
      <c r="H517" t="n">
        <v>0.29365</v>
      </c>
      <c r="I517" t="n">
        <v>-0.72242</v>
      </c>
      <c r="J517" t="n">
        <v>1.1194</v>
      </c>
      <c r="K517" t="n">
        <v>0.20132</v>
      </c>
      <c r="L517" t="n">
        <v>-0.03234</v>
      </c>
      <c r="M517" t="n">
        <v>0.38617</v>
      </c>
      <c r="N517" t="n">
        <v>-3.463</v>
      </c>
      <c r="O517" t="n">
        <v>-0.2319</v>
      </c>
      <c r="P517" t="n">
        <v>-0.01113</v>
      </c>
      <c r="Q517" t="n">
        <v>0.80683</v>
      </c>
      <c r="R517" t="n">
        <v>0.50383</v>
      </c>
      <c r="S517" t="n">
        <v>-0.35909</v>
      </c>
      <c r="T517" t="n">
        <v>0.59161</v>
      </c>
      <c r="U517" t="n">
        <v>0.0095114</v>
      </c>
      <c r="V517" t="n">
        <v>-0.35647</v>
      </c>
      <c r="W517" t="n">
        <v>-0.47251</v>
      </c>
      <c r="X517" t="n">
        <v>1.3359</v>
      </c>
      <c r="Y517" t="n">
        <v>-0.26002</v>
      </c>
      <c r="Z517" t="n">
        <v>-0.87046</v>
      </c>
    </row>
    <row r="518">
      <c r="A518" t="inlineStr">
        <is>
          <t>fou</t>
        </is>
      </c>
      <c r="B518" t="n">
        <v>0.389</v>
      </c>
      <c r="C518" t="n">
        <v>-1.0147</v>
      </c>
      <c r="D518" t="n">
        <v>-2.1253</v>
      </c>
      <c r="E518" t="n">
        <v>0.27899</v>
      </c>
      <c r="F518" t="n">
        <v>-0.32157</v>
      </c>
      <c r="G518" t="n">
        <v>0.48728</v>
      </c>
      <c r="H518" t="n">
        <v>-0.4234</v>
      </c>
      <c r="I518" t="n">
        <v>0.45722</v>
      </c>
      <c r="J518" t="n">
        <v>0.11472</v>
      </c>
      <c r="K518" t="n">
        <v>0.087294</v>
      </c>
      <c r="L518" t="n">
        <v>-1.2286</v>
      </c>
      <c r="M518" t="n">
        <v>-0.36913</v>
      </c>
      <c r="N518" t="n">
        <v>-1.1891</v>
      </c>
      <c r="O518" t="n">
        <v>0.4128</v>
      </c>
      <c r="P518" t="n">
        <v>1.1974</v>
      </c>
      <c r="Q518" t="n">
        <v>1.5897</v>
      </c>
      <c r="R518" t="n">
        <v>-0.52312</v>
      </c>
      <c r="S518" t="n">
        <v>-0.15208</v>
      </c>
      <c r="T518" t="n">
        <v>-3.0546</v>
      </c>
      <c r="U518" t="n">
        <v>1.6011</v>
      </c>
      <c r="V518" t="n">
        <v>0.8896500000000001</v>
      </c>
      <c r="W518" t="n">
        <v>0.22105</v>
      </c>
      <c r="X518" t="n">
        <v>1.5415</v>
      </c>
      <c r="Y518" t="n">
        <v>-0.49818</v>
      </c>
      <c r="Z518" t="n">
        <v>-0.44431</v>
      </c>
    </row>
    <row r="519">
      <c r="A519" t="inlineStr">
        <is>
          <t>whoa</t>
        </is>
      </c>
      <c r="B519" t="n">
        <v>0.07926800000000001</v>
      </c>
      <c r="C519" t="n">
        <v>0.11277</v>
      </c>
      <c r="D519" t="n">
        <v>0.3193</v>
      </c>
      <c r="E519" t="n">
        <v>-0.5304</v>
      </c>
      <c r="F519" t="n">
        <v>-0.40011</v>
      </c>
      <c r="G519" t="n">
        <v>-0.15539</v>
      </c>
      <c r="H519" t="n">
        <v>1.5575</v>
      </c>
      <c r="I519" t="n">
        <v>-0.27846</v>
      </c>
      <c r="J519" t="n">
        <v>-0.89139</v>
      </c>
      <c r="K519" t="n">
        <v>0.21286</v>
      </c>
      <c r="L519" t="n">
        <v>-0.64423</v>
      </c>
      <c r="M519" t="n">
        <v>1.0427</v>
      </c>
      <c r="N519" t="n">
        <v>-1.9656</v>
      </c>
      <c r="O519" t="n">
        <v>-0.67743</v>
      </c>
      <c r="P519" t="n">
        <v>0.7444499999999999</v>
      </c>
      <c r="Q519" t="n">
        <v>-0.17895</v>
      </c>
      <c r="R519" t="n">
        <v>0.48071</v>
      </c>
      <c r="S519" t="n">
        <v>-0.11222</v>
      </c>
      <c r="T519" t="n">
        <v>-0.16967</v>
      </c>
      <c r="U519" t="n">
        <v>0.049464</v>
      </c>
      <c r="V519" t="n">
        <v>0.598</v>
      </c>
      <c r="W519" t="n">
        <v>0.23803</v>
      </c>
      <c r="X519" t="n">
        <v>0.54597</v>
      </c>
      <c r="Y519" t="n">
        <v>0.13884</v>
      </c>
      <c r="Z519" t="n">
        <v>0.028375</v>
      </c>
    </row>
    <row r="520">
      <c r="A520" t="inlineStr">
        <is>
          <t>shinee</t>
        </is>
      </c>
      <c r="B520" t="n">
        <v>-0.41879</v>
      </c>
      <c r="C520" t="n">
        <v>0.21076</v>
      </c>
      <c r="D520" t="n">
        <v>0.90346</v>
      </c>
      <c r="E520" t="n">
        <v>-0.56845</v>
      </c>
      <c r="F520" t="n">
        <v>-0.36819</v>
      </c>
      <c r="G520" t="n">
        <v>-0.92875</v>
      </c>
      <c r="H520" t="n">
        <v>1.0812</v>
      </c>
      <c r="I520" t="n">
        <v>1.5372</v>
      </c>
      <c r="J520" t="n">
        <v>0.4115</v>
      </c>
      <c r="K520" t="n">
        <v>-1.5033</v>
      </c>
      <c r="L520" t="n">
        <v>0.40567</v>
      </c>
      <c r="M520" t="n">
        <v>1.431</v>
      </c>
      <c r="N520" t="n">
        <v>-2.0535</v>
      </c>
      <c r="O520" t="n">
        <v>-0.086714</v>
      </c>
      <c r="P520" t="n">
        <v>-0.73341</v>
      </c>
      <c r="Q520" t="n">
        <v>-0.14097</v>
      </c>
      <c r="R520" t="n">
        <v>-0.95265</v>
      </c>
      <c r="S520" t="n">
        <v>0.10333</v>
      </c>
      <c r="T520" t="n">
        <v>-0.43041</v>
      </c>
      <c r="U520" t="n">
        <v>0.83724</v>
      </c>
      <c r="V520" t="n">
        <v>-0.94168</v>
      </c>
      <c r="W520" t="n">
        <v>-0.1991</v>
      </c>
      <c r="X520" t="n">
        <v>-0.7821900000000001</v>
      </c>
      <c r="Y520" t="n">
        <v>-0.41115</v>
      </c>
      <c r="Z520" t="n">
        <v>-0.64768</v>
      </c>
    </row>
    <row r="521">
      <c r="A521" t="inlineStr">
        <is>
          <t>youth</t>
        </is>
      </c>
      <c r="B521" t="n">
        <v>-0.57343</v>
      </c>
      <c r="C521" t="n">
        <v>0.71768</v>
      </c>
      <c r="D521" t="n">
        <v>-1.0437</v>
      </c>
      <c r="E521" t="n">
        <v>-0.74895</v>
      </c>
      <c r="F521" t="n">
        <v>0.58734</v>
      </c>
      <c r="G521" t="n">
        <v>-0.49839</v>
      </c>
      <c r="H521" t="n">
        <v>0.53989</v>
      </c>
      <c r="I521" t="n">
        <v>-0.68113</v>
      </c>
      <c r="J521" t="n">
        <v>1.0239</v>
      </c>
      <c r="K521" t="n">
        <v>-0.42617</v>
      </c>
      <c r="L521" t="n">
        <v>-0.25729</v>
      </c>
      <c r="M521" t="n">
        <v>0.038724</v>
      </c>
      <c r="N521" t="n">
        <v>-3.5431</v>
      </c>
      <c r="O521" t="n">
        <v>1.2635</v>
      </c>
      <c r="P521" t="n">
        <v>-0.071411</v>
      </c>
      <c r="Q521" t="n">
        <v>-0.34892</v>
      </c>
      <c r="R521" t="n">
        <v>-0.32502</v>
      </c>
      <c r="S521" t="n">
        <v>-0.1431</v>
      </c>
      <c r="T521" t="n">
        <v>0.58251</v>
      </c>
      <c r="U521" t="n">
        <v>0.33872</v>
      </c>
      <c r="V521" t="n">
        <v>-0.78489</v>
      </c>
      <c r="W521" t="n">
        <v>0.29158</v>
      </c>
      <c r="X521" t="n">
        <v>-1.0165</v>
      </c>
      <c r="Y521" t="n">
        <v>-1.3103</v>
      </c>
      <c r="Z521" t="n">
        <v>0.268</v>
      </c>
    </row>
    <row r="522">
      <c r="A522" t="inlineStr">
        <is>
          <t>ath</t>
        </is>
      </c>
      <c r="B522" t="n">
        <v>0.3528</v>
      </c>
      <c r="C522" t="n">
        <v>2.0094</v>
      </c>
      <c r="D522" t="n">
        <v>-0.71317</v>
      </c>
      <c r="E522" t="n">
        <v>0.37769</v>
      </c>
      <c r="F522" t="n">
        <v>-1.3574</v>
      </c>
      <c r="G522" t="n">
        <v>-1.5104</v>
      </c>
      <c r="H522" t="n">
        <v>-0.77466</v>
      </c>
      <c r="I522" t="n">
        <v>1.2493</v>
      </c>
      <c r="J522" t="n">
        <v>1.2904</v>
      </c>
      <c r="K522" t="n">
        <v>2.3798</v>
      </c>
      <c r="L522" t="n">
        <v>-0.50728</v>
      </c>
      <c r="M522" t="n">
        <v>-0.78923</v>
      </c>
      <c r="N522" t="n">
        <v>-1.355</v>
      </c>
      <c r="O522" t="n">
        <v>-0.25929</v>
      </c>
      <c r="P522" t="n">
        <v>0.19274</v>
      </c>
      <c r="Q522" t="n">
        <v>0.4345</v>
      </c>
      <c r="R522" t="n">
        <v>0.85222</v>
      </c>
      <c r="S522" t="n">
        <v>-0.31553</v>
      </c>
      <c r="T522" t="n">
        <v>-0.74859</v>
      </c>
      <c r="U522" t="n">
        <v>0.4006</v>
      </c>
      <c r="V522" t="n">
        <v>-0.64468</v>
      </c>
      <c r="W522" t="n">
        <v>1.6038</v>
      </c>
      <c r="X522" t="n">
        <v>-0.97022</v>
      </c>
      <c r="Y522" t="n">
        <v>1.4508</v>
      </c>
      <c r="Z522" t="n">
        <v>0.74977</v>
      </c>
    </row>
    <row r="523">
      <c r="A523" t="inlineStr">
        <is>
          <t>fback</t>
        </is>
      </c>
      <c r="B523" t="n">
        <v>-0.67721</v>
      </c>
      <c r="C523" t="n">
        <v>1.1342</v>
      </c>
      <c r="D523" t="n">
        <v>-0.95258</v>
      </c>
      <c r="E523" t="n">
        <v>0.97937</v>
      </c>
      <c r="F523" t="n">
        <v>0.41115</v>
      </c>
      <c r="G523" t="n">
        <v>-1.6023</v>
      </c>
      <c r="H523" t="n">
        <v>-0.2335</v>
      </c>
      <c r="I523" t="n">
        <v>0.7995</v>
      </c>
      <c r="J523" t="n">
        <v>-1.5771</v>
      </c>
      <c r="K523" t="n">
        <v>0.1899</v>
      </c>
      <c r="L523" t="n">
        <v>-0.013237</v>
      </c>
      <c r="M523" t="n">
        <v>-1.1928</v>
      </c>
      <c r="N523" t="n">
        <v>-1.1781</v>
      </c>
      <c r="O523" t="n">
        <v>-0.43188</v>
      </c>
      <c r="P523" t="n">
        <v>-1.5109</v>
      </c>
      <c r="Q523" t="n">
        <v>0.068858</v>
      </c>
      <c r="R523" t="n">
        <v>-0.40388</v>
      </c>
      <c r="S523" t="n">
        <v>-0.21158</v>
      </c>
      <c r="T523" t="n">
        <v>0.048393</v>
      </c>
      <c r="U523" t="n">
        <v>-0.3047</v>
      </c>
      <c r="V523" t="n">
        <v>0.28733</v>
      </c>
      <c r="W523" t="n">
        <v>-2.7584</v>
      </c>
      <c r="X523" t="n">
        <v>0.63407</v>
      </c>
      <c r="Y523" t="n">
        <v>1.4421</v>
      </c>
      <c r="Z523" t="n">
        <v>-1.1564</v>
      </c>
    </row>
    <row r="524">
      <c r="A524" t="inlineStr">
        <is>
          <t>stayed</t>
        </is>
      </c>
      <c r="B524" t="n">
        <v>-1.2307</v>
      </c>
      <c r="C524" t="n">
        <v>1.1573</v>
      </c>
      <c r="D524" t="n">
        <v>1.6365</v>
      </c>
      <c r="E524" t="n">
        <v>-0.99049</v>
      </c>
      <c r="F524" t="n">
        <v>-0.73729</v>
      </c>
      <c r="G524" t="n">
        <v>0.29157</v>
      </c>
      <c r="H524" t="n">
        <v>0.41639</v>
      </c>
      <c r="I524" t="n">
        <v>-0.88454</v>
      </c>
      <c r="J524" t="n">
        <v>-1.1076</v>
      </c>
      <c r="K524" t="n">
        <v>0.10311</v>
      </c>
      <c r="L524" t="n">
        <v>-0.53037</v>
      </c>
      <c r="M524" t="n">
        <v>1.0235</v>
      </c>
      <c r="N524" t="n">
        <v>-3.6654</v>
      </c>
      <c r="O524" t="n">
        <v>0.75202</v>
      </c>
      <c r="P524" t="n">
        <v>0.012537</v>
      </c>
      <c r="Q524" t="n">
        <v>0.68549</v>
      </c>
      <c r="R524" t="n">
        <v>0.80947</v>
      </c>
      <c r="S524" t="n">
        <v>0.040046</v>
      </c>
      <c r="T524" t="n">
        <v>0.16439</v>
      </c>
      <c r="U524" t="n">
        <v>-1.081</v>
      </c>
      <c r="V524" t="n">
        <v>0.52699</v>
      </c>
      <c r="W524" t="n">
        <v>0.32671</v>
      </c>
      <c r="X524" t="n">
        <v>0.38705</v>
      </c>
      <c r="Y524" t="n">
        <v>0.066084</v>
      </c>
      <c r="Z524" t="n">
        <v>-0.14467</v>
      </c>
    </row>
    <row r="525">
      <c r="A525" t="inlineStr">
        <is>
          <t>pathetic</t>
        </is>
      </c>
      <c r="B525" t="n">
        <v>0.72893</v>
      </c>
      <c r="C525" t="n">
        <v>-0.050152</v>
      </c>
      <c r="D525" t="n">
        <v>-0.68968</v>
      </c>
      <c r="E525" t="n">
        <v>-0.57557</v>
      </c>
      <c r="F525" t="n">
        <v>0.69132</v>
      </c>
      <c r="G525" t="n">
        <v>0.46787</v>
      </c>
      <c r="H525" t="n">
        <v>1.6204</v>
      </c>
      <c r="I525" t="n">
        <v>-1.0164</v>
      </c>
      <c r="J525" t="n">
        <v>-1.2509</v>
      </c>
      <c r="K525" t="n">
        <v>0.29184</v>
      </c>
      <c r="L525" t="n">
        <v>-1.3818</v>
      </c>
      <c r="M525" t="n">
        <v>0.67864</v>
      </c>
      <c r="N525" t="n">
        <v>-2.7096</v>
      </c>
      <c r="O525" t="n">
        <v>-0.24428</v>
      </c>
      <c r="P525" t="n">
        <v>0.9512699999999999</v>
      </c>
      <c r="Q525" t="n">
        <v>0.61498</v>
      </c>
      <c r="R525" t="n">
        <v>0.0063778</v>
      </c>
      <c r="S525" t="n">
        <v>-0.61382</v>
      </c>
      <c r="T525" t="n">
        <v>0.20405</v>
      </c>
      <c r="U525" t="n">
        <v>-0.59475</v>
      </c>
      <c r="V525" t="n">
        <v>0.95282</v>
      </c>
      <c r="W525" t="n">
        <v>1.4343</v>
      </c>
      <c r="X525" t="n">
        <v>-0.021049</v>
      </c>
      <c r="Y525" t="n">
        <v>-0.83278</v>
      </c>
      <c r="Z525" t="n">
        <v>-0.84082</v>
      </c>
    </row>
    <row r="526">
      <c r="A526" t="inlineStr">
        <is>
          <t>including</t>
        </is>
      </c>
      <c r="B526" t="n">
        <v>0.31264</v>
      </c>
      <c r="C526" t="n">
        <v>0.49462</v>
      </c>
      <c r="D526" t="n">
        <v>0.03724</v>
      </c>
      <c r="E526" t="n">
        <v>-0.28741</v>
      </c>
      <c r="F526" t="n">
        <v>0.3689</v>
      </c>
      <c r="G526" t="n">
        <v>-0.36284</v>
      </c>
      <c r="H526" t="n">
        <v>0.67866</v>
      </c>
      <c r="I526" t="n">
        <v>-1.2903</v>
      </c>
      <c r="J526" t="n">
        <v>-0.41678</v>
      </c>
      <c r="K526" t="n">
        <v>-0.0062298</v>
      </c>
      <c r="L526" t="n">
        <v>0.6837</v>
      </c>
      <c r="M526" t="n">
        <v>0.31874</v>
      </c>
      <c r="N526" t="n">
        <v>-3.3799</v>
      </c>
      <c r="O526" t="n">
        <v>0.6422600000000001</v>
      </c>
      <c r="P526" t="n">
        <v>0.07599400000000001</v>
      </c>
      <c r="Q526" t="n">
        <v>-0.5416800000000001</v>
      </c>
      <c r="R526" t="n">
        <v>0.33929</v>
      </c>
      <c r="S526" t="n">
        <v>-0.33106</v>
      </c>
      <c r="T526" t="n">
        <v>0.3935</v>
      </c>
      <c r="U526" t="n">
        <v>-0.33294</v>
      </c>
      <c r="V526" t="n">
        <v>-0.88852</v>
      </c>
      <c r="W526" t="n">
        <v>-0.83108</v>
      </c>
      <c r="X526" t="n">
        <v>-0.6118</v>
      </c>
      <c r="Y526" t="n">
        <v>-0.8903799999999999</v>
      </c>
      <c r="Z526" t="n">
        <v>-0.3196</v>
      </c>
    </row>
    <row r="527">
      <c r="A527" t="inlineStr">
        <is>
          <t>leads</t>
        </is>
      </c>
      <c r="B527" t="n">
        <v>0.12084</v>
      </c>
      <c r="C527" t="n">
        <v>0.6373799999999999</v>
      </c>
      <c r="D527" t="n">
        <v>-0.73177</v>
      </c>
      <c r="E527" t="n">
        <v>-0.064553</v>
      </c>
      <c r="F527" t="n">
        <v>-0.50396</v>
      </c>
      <c r="G527" t="n">
        <v>0.45018</v>
      </c>
      <c r="H527" t="n">
        <v>0.37946</v>
      </c>
      <c r="I527" t="n">
        <v>-1.0422</v>
      </c>
      <c r="J527" t="n">
        <v>0.32043</v>
      </c>
      <c r="K527" t="n">
        <v>-0.53667</v>
      </c>
      <c r="L527" t="n">
        <v>0.26329</v>
      </c>
      <c r="M527" t="n">
        <v>0.7981200000000001</v>
      </c>
      <c r="N527" t="n">
        <v>-3.2058</v>
      </c>
      <c r="O527" t="n">
        <v>1.3647</v>
      </c>
      <c r="P527" t="n">
        <v>1.3193</v>
      </c>
      <c r="Q527" t="n">
        <v>-0.76694</v>
      </c>
      <c r="R527" t="n">
        <v>-0.80949</v>
      </c>
      <c r="S527" t="n">
        <v>0.0079872</v>
      </c>
      <c r="T527" t="n">
        <v>0.91956</v>
      </c>
      <c r="U527" t="n">
        <v>-0.16251</v>
      </c>
      <c r="V527" t="n">
        <v>-0.2663</v>
      </c>
      <c r="W527" t="n">
        <v>0.060363</v>
      </c>
      <c r="X527" t="n">
        <v>0.4391</v>
      </c>
      <c r="Y527" t="n">
        <v>-0.68053</v>
      </c>
      <c r="Z527" t="n">
        <v>-0.80242</v>
      </c>
    </row>
    <row r="528">
      <c r="A528" t="inlineStr">
        <is>
          <t>thousands</t>
        </is>
      </c>
      <c r="B528" t="n">
        <v>0.63059</v>
      </c>
      <c r="C528" t="n">
        <v>1.1763</v>
      </c>
      <c r="D528" t="n">
        <v>-0.036396</v>
      </c>
      <c r="E528" t="n">
        <v>0.38118</v>
      </c>
      <c r="F528" t="n">
        <v>-0.26258</v>
      </c>
      <c r="G528" t="n">
        <v>-0.34751</v>
      </c>
      <c r="H528" t="n">
        <v>0.18825</v>
      </c>
      <c r="I528" t="n">
        <v>-1.6368</v>
      </c>
      <c r="J528" t="n">
        <v>-1.1944</v>
      </c>
      <c r="K528" t="n">
        <v>0.361</v>
      </c>
      <c r="L528" t="n">
        <v>0.67066</v>
      </c>
      <c r="M528" t="n">
        <v>-0.10411</v>
      </c>
      <c r="N528" t="n">
        <v>-2.7859</v>
      </c>
      <c r="O528" t="n">
        <v>0.96035</v>
      </c>
      <c r="P528" t="n">
        <v>-0.99215</v>
      </c>
      <c r="Q528" t="n">
        <v>-0.34906</v>
      </c>
      <c r="R528" t="n">
        <v>0.27536</v>
      </c>
      <c r="S528" t="n">
        <v>-0.74447</v>
      </c>
      <c r="T528" t="n">
        <v>0.65412</v>
      </c>
      <c r="U528" t="n">
        <v>-1.2768</v>
      </c>
      <c r="V528" t="n">
        <v>-0.23286</v>
      </c>
      <c r="W528" t="n">
        <v>-1.5064</v>
      </c>
      <c r="X528" t="n">
        <v>-0.50474</v>
      </c>
      <c r="Y528" t="n">
        <v>-1.6947</v>
      </c>
      <c r="Z528" t="n">
        <v>-0.49372</v>
      </c>
    </row>
    <row r="529">
      <c r="A529" t="inlineStr">
        <is>
          <t>pitch</t>
        </is>
      </c>
      <c r="B529" t="n">
        <v>-0.20466</v>
      </c>
      <c r="C529" t="n">
        <v>-0.069575</v>
      </c>
      <c r="D529" t="n">
        <v>0.40784</v>
      </c>
      <c r="E529" t="n">
        <v>-0.59111</v>
      </c>
      <c r="F529" t="n">
        <v>-0.17453</v>
      </c>
      <c r="G529" t="n">
        <v>0.18646</v>
      </c>
      <c r="H529" t="n">
        <v>0.76676</v>
      </c>
      <c r="I529" t="n">
        <v>-0.63115</v>
      </c>
      <c r="J529" t="n">
        <v>0.054423</v>
      </c>
      <c r="K529" t="n">
        <v>-0.86764</v>
      </c>
      <c r="L529" t="n">
        <v>0.25631</v>
      </c>
      <c r="M529" t="n">
        <v>0.81269</v>
      </c>
      <c r="N529" t="n">
        <v>-3.0433</v>
      </c>
      <c r="O529" t="n">
        <v>0.50302</v>
      </c>
      <c r="P529" t="n">
        <v>1.0976</v>
      </c>
      <c r="Q529" t="n">
        <v>0.39169</v>
      </c>
      <c r="R529" t="n">
        <v>0.1398</v>
      </c>
      <c r="S529" t="n">
        <v>-0.24925</v>
      </c>
      <c r="T529" t="n">
        <v>-0.075325</v>
      </c>
      <c r="U529" t="n">
        <v>-0.31319</v>
      </c>
      <c r="V529" t="n">
        <v>-1.218</v>
      </c>
      <c r="W529" t="n">
        <v>0.53417</v>
      </c>
      <c r="X529" t="n">
        <v>0.8253200000000001</v>
      </c>
      <c r="Y529" t="n">
        <v>-0.53029</v>
      </c>
      <c r="Z529" t="n">
        <v>-0.40342</v>
      </c>
    </row>
    <row r="530">
      <c r="A530" t="inlineStr">
        <is>
          <t>sweat</t>
        </is>
      </c>
      <c r="B530" t="n">
        <v>-0.89708</v>
      </c>
      <c r="C530" t="n">
        <v>-0.040181</v>
      </c>
      <c r="D530" t="n">
        <v>-0.49322</v>
      </c>
      <c r="E530" t="n">
        <v>0.77967</v>
      </c>
      <c r="F530" t="n">
        <v>-0.13375</v>
      </c>
      <c r="G530" t="n">
        <v>1.1739</v>
      </c>
      <c r="H530" t="n">
        <v>0.59024</v>
      </c>
      <c r="I530" t="n">
        <v>-1.1815</v>
      </c>
      <c r="J530" t="n">
        <v>-0.047564</v>
      </c>
      <c r="K530" t="n">
        <v>0.2383</v>
      </c>
      <c r="L530" t="n">
        <v>0.25452</v>
      </c>
      <c r="M530" t="n">
        <v>0.5628300000000001</v>
      </c>
      <c r="N530" t="n">
        <v>-2.9572</v>
      </c>
      <c r="O530" t="n">
        <v>-0.5398500000000001</v>
      </c>
      <c r="P530" t="n">
        <v>-0.43788</v>
      </c>
      <c r="Q530" t="n">
        <v>0.88135</v>
      </c>
      <c r="R530" t="n">
        <v>-0.074679</v>
      </c>
      <c r="S530" t="n">
        <v>-0.8126</v>
      </c>
      <c r="T530" t="n">
        <v>-0.10534</v>
      </c>
      <c r="U530" t="n">
        <v>0.48731</v>
      </c>
      <c r="V530" t="n">
        <v>-0.84311</v>
      </c>
      <c r="W530" t="n">
        <v>1.338</v>
      </c>
      <c r="X530" t="n">
        <v>1.3691</v>
      </c>
      <c r="Y530" t="n">
        <v>0.47644</v>
      </c>
      <c r="Z530" t="n">
        <v>0.57136</v>
      </c>
    </row>
    <row r="531">
      <c r="A531" t="inlineStr">
        <is>
          <t>thou</t>
        </is>
      </c>
      <c r="B531" t="n">
        <v>-0.57867</v>
      </c>
      <c r="C531" t="n">
        <v>0.59341</v>
      </c>
      <c r="D531" t="n">
        <v>-0.85482</v>
      </c>
      <c r="E531" t="n">
        <v>0.35944</v>
      </c>
      <c r="F531" t="n">
        <v>-0.1561</v>
      </c>
      <c r="G531" t="n">
        <v>-0.6639</v>
      </c>
      <c r="H531" t="n">
        <v>0.22211</v>
      </c>
      <c r="I531" t="n">
        <v>-1.3187</v>
      </c>
      <c r="J531" t="n">
        <v>-0.6386500000000001</v>
      </c>
      <c r="K531" t="n">
        <v>0.11642</v>
      </c>
      <c r="L531" t="n">
        <v>-0.95189</v>
      </c>
      <c r="M531" t="n">
        <v>0.9962</v>
      </c>
      <c r="N531" t="n">
        <v>-3.0655</v>
      </c>
      <c r="O531" t="n">
        <v>0.4735</v>
      </c>
      <c r="P531" t="n">
        <v>-0.8129999999999999</v>
      </c>
      <c r="Q531" t="n">
        <v>0.34182</v>
      </c>
      <c r="R531" t="n">
        <v>0.81582</v>
      </c>
      <c r="S531" t="n">
        <v>0.16684</v>
      </c>
      <c r="T531" t="n">
        <v>0.26182</v>
      </c>
      <c r="U531" t="n">
        <v>0.018443</v>
      </c>
      <c r="V531" t="n">
        <v>1.0444</v>
      </c>
      <c r="W531" t="n">
        <v>0.43053</v>
      </c>
      <c r="X531" t="n">
        <v>0.06264</v>
      </c>
      <c r="Y531" t="n">
        <v>0.97859</v>
      </c>
      <c r="Z531" t="n">
        <v>0.85627</v>
      </c>
    </row>
    <row r="532">
      <c r="A532" t="inlineStr">
        <is>
          <t>buscando</t>
        </is>
      </c>
      <c r="B532" t="n">
        <v>0.1867</v>
      </c>
      <c r="C532" t="n">
        <v>-0.33334</v>
      </c>
      <c r="D532" t="n">
        <v>1.1975</v>
      </c>
      <c r="E532" t="n">
        <v>-0.13016</v>
      </c>
      <c r="F532" t="n">
        <v>0.13851</v>
      </c>
      <c r="G532" t="n">
        <v>0.61919</v>
      </c>
      <c r="H532" t="n">
        <v>-0.28469</v>
      </c>
      <c r="I532" t="n">
        <v>1.61</v>
      </c>
      <c r="J532" t="n">
        <v>-0.27779</v>
      </c>
      <c r="K532" t="n">
        <v>-1.1209</v>
      </c>
      <c r="L532" t="n">
        <v>0.91809</v>
      </c>
      <c r="M532" t="n">
        <v>-2.6861</v>
      </c>
      <c r="N532" t="n">
        <v>-0.35676</v>
      </c>
      <c r="O532" t="n">
        <v>-0.06617000000000001</v>
      </c>
      <c r="P532" t="n">
        <v>0.5098200000000001</v>
      </c>
      <c r="Q532" t="n">
        <v>0.42564</v>
      </c>
      <c r="R532" t="n">
        <v>0.8328100000000001</v>
      </c>
      <c r="S532" t="n">
        <v>-0.12986</v>
      </c>
      <c r="T532" t="n">
        <v>0.73311</v>
      </c>
      <c r="U532" t="n">
        <v>-1.2405</v>
      </c>
      <c r="V532" t="n">
        <v>1.1129</v>
      </c>
      <c r="W532" t="n">
        <v>-1.5414</v>
      </c>
      <c r="X532" t="n">
        <v>0.16796</v>
      </c>
      <c r="Y532" t="n">
        <v>0.1663</v>
      </c>
      <c r="Z532" t="n">
        <v>-0.07681399999999999</v>
      </c>
    </row>
    <row r="533">
      <c r="A533" t="inlineStr">
        <is>
          <t>streaming</t>
        </is>
      </c>
      <c r="B533" t="n">
        <v>0.58733</v>
      </c>
      <c r="C533" t="n">
        <v>0.97173</v>
      </c>
      <c r="D533" t="n">
        <v>0.13711</v>
      </c>
      <c r="E533" t="n">
        <v>-1.202</v>
      </c>
      <c r="F533" t="n">
        <v>-0.44766</v>
      </c>
      <c r="G533" t="n">
        <v>-0.44019</v>
      </c>
      <c r="H533" t="n">
        <v>0.15353</v>
      </c>
      <c r="I533" t="n">
        <v>0.71578</v>
      </c>
      <c r="J533" t="n">
        <v>0.79835</v>
      </c>
      <c r="K533" t="n">
        <v>-0.27708</v>
      </c>
      <c r="L533" t="n">
        <v>0.41351</v>
      </c>
      <c r="M533" t="n">
        <v>0.16418</v>
      </c>
      <c r="N533" t="n">
        <v>-2.1648</v>
      </c>
      <c r="O533" t="n">
        <v>-0.098592</v>
      </c>
      <c r="P533" t="n">
        <v>1.0958</v>
      </c>
      <c r="Q533" t="n">
        <v>0.67144</v>
      </c>
      <c r="R533" t="n">
        <v>-0.37044</v>
      </c>
      <c r="S533" t="n">
        <v>-0.10277</v>
      </c>
      <c r="T533" t="n">
        <v>-0.5577299999999999</v>
      </c>
      <c r="U533" t="n">
        <v>-0.15796</v>
      </c>
      <c r="V533" t="n">
        <v>-1.7071</v>
      </c>
      <c r="W533" t="n">
        <v>-1.2334</v>
      </c>
      <c r="X533" t="n">
        <v>0.11934</v>
      </c>
      <c r="Y533" t="n">
        <v>-1.0186</v>
      </c>
      <c r="Z533" t="n">
        <v>0.37195</v>
      </c>
    </row>
    <row r="534">
      <c r="A534" t="inlineStr">
        <is>
          <t>backn</t>
        </is>
      </c>
      <c r="B534" t="n">
        <v>-1.3163</v>
      </c>
      <c r="C534" t="n">
        <v>1.6771</v>
      </c>
      <c r="D534" t="n">
        <v>-2.0537</v>
      </c>
      <c r="E534" t="n">
        <v>-0.74741</v>
      </c>
      <c r="F534" t="n">
        <v>-0.24305</v>
      </c>
      <c r="G534" t="n">
        <v>-1.5007</v>
      </c>
      <c r="H534" t="n">
        <v>-0.45607</v>
      </c>
      <c r="I534" t="n">
        <v>1.1206</v>
      </c>
      <c r="J534" t="n">
        <v>-1.5924</v>
      </c>
      <c r="K534" t="n">
        <v>-0.16062</v>
      </c>
      <c r="L534" t="n">
        <v>0.25785</v>
      </c>
      <c r="M534" t="n">
        <v>0.47015</v>
      </c>
      <c r="N534" t="n">
        <v>-2.4458</v>
      </c>
      <c r="O534" t="n">
        <v>-0.10989</v>
      </c>
      <c r="P534" t="n">
        <v>-2.8325</v>
      </c>
      <c r="Q534" t="n">
        <v>0.7659899999999999</v>
      </c>
      <c r="R534" t="n">
        <v>-0.50732</v>
      </c>
      <c r="S534" t="n">
        <v>-0.2438</v>
      </c>
      <c r="T534" t="n">
        <v>0.21637</v>
      </c>
      <c r="U534" t="n">
        <v>0.139</v>
      </c>
      <c r="V534" t="n">
        <v>0.018422</v>
      </c>
      <c r="W534" t="n">
        <v>-1.2713</v>
      </c>
      <c r="X534" t="n">
        <v>1.0979</v>
      </c>
      <c r="Y534" t="n">
        <v>0.2824</v>
      </c>
      <c r="Z534" t="n">
        <v>-1.4561</v>
      </c>
    </row>
    <row r="535">
      <c r="A535" t="inlineStr">
        <is>
          <t>burning</t>
        </is>
      </c>
      <c r="B535" t="n">
        <v>-0.93193</v>
      </c>
      <c r="C535" t="n">
        <v>0.046737</v>
      </c>
      <c r="D535" t="n">
        <v>0.20584</v>
      </c>
      <c r="E535" t="n">
        <v>1.0788</v>
      </c>
      <c r="F535" t="n">
        <v>-0.096055</v>
      </c>
      <c r="G535" t="n">
        <v>0.96154</v>
      </c>
      <c r="H535" t="n">
        <v>0.93742</v>
      </c>
      <c r="I535" t="n">
        <v>-1.4326</v>
      </c>
      <c r="J535" t="n">
        <v>0.19926</v>
      </c>
      <c r="K535" t="n">
        <v>0.83921</v>
      </c>
      <c r="L535" t="n">
        <v>0.36734</v>
      </c>
      <c r="M535" t="n">
        <v>0.54604</v>
      </c>
      <c r="N535" t="n">
        <v>-2.9051</v>
      </c>
      <c r="O535" t="n">
        <v>-0.16046</v>
      </c>
      <c r="P535" t="n">
        <v>0.042457</v>
      </c>
      <c r="Q535" t="n">
        <v>-0.0092922</v>
      </c>
      <c r="R535" t="n">
        <v>-0.24342</v>
      </c>
      <c r="S535" t="n">
        <v>0.54312</v>
      </c>
      <c r="T535" t="n">
        <v>0.74687</v>
      </c>
      <c r="U535" t="n">
        <v>-0.33659</v>
      </c>
      <c r="V535" t="n">
        <v>-0.75967</v>
      </c>
      <c r="W535" t="n">
        <v>0.38257</v>
      </c>
      <c r="X535" t="n">
        <v>0.86719</v>
      </c>
      <c r="Y535" t="n">
        <v>-0.22132</v>
      </c>
      <c r="Z535" t="n">
        <v>0.50625</v>
      </c>
    </row>
    <row r="536">
      <c r="A536" t="inlineStr">
        <is>
          <t>boat</t>
        </is>
      </c>
      <c r="B536" t="n">
        <v>-1.6458</v>
      </c>
      <c r="C536" t="n">
        <v>0.017691</v>
      </c>
      <c r="D536" t="n">
        <v>0.38521</v>
      </c>
      <c r="E536" t="n">
        <v>-0.21143</v>
      </c>
      <c r="F536" t="n">
        <v>-0.4885</v>
      </c>
      <c r="G536" t="n">
        <v>-0.12313</v>
      </c>
      <c r="H536" t="n">
        <v>0.77307</v>
      </c>
      <c r="I536" t="n">
        <v>-0.50068</v>
      </c>
      <c r="J536" t="n">
        <v>0.91614</v>
      </c>
      <c r="K536" t="n">
        <v>0.83973</v>
      </c>
      <c r="L536" t="n">
        <v>0.54029</v>
      </c>
      <c r="M536" t="n">
        <v>-0.046028</v>
      </c>
      <c r="N536" t="n">
        <v>-3.1242</v>
      </c>
      <c r="O536" t="n">
        <v>0.23798</v>
      </c>
      <c r="P536" t="n">
        <v>0.32249</v>
      </c>
      <c r="Q536" t="n">
        <v>0.83967</v>
      </c>
      <c r="R536" t="n">
        <v>0.9468800000000001</v>
      </c>
      <c r="S536" t="n">
        <v>-0.51435</v>
      </c>
      <c r="T536" t="n">
        <v>0.52151</v>
      </c>
      <c r="U536" t="n">
        <v>0.36706</v>
      </c>
      <c r="V536" t="n">
        <v>-0.55053</v>
      </c>
      <c r="W536" t="n">
        <v>-0.06732200000000001</v>
      </c>
      <c r="X536" t="n">
        <v>1.0308</v>
      </c>
      <c r="Y536" t="n">
        <v>-0.94926</v>
      </c>
      <c r="Z536" t="n">
        <v>0.38032</v>
      </c>
    </row>
    <row r="537">
      <c r="A537" t="inlineStr">
        <is>
          <t>champion</t>
        </is>
      </c>
      <c r="B537" t="n">
        <v>-0.2941</v>
      </c>
      <c r="C537" t="n">
        <v>-0.065885</v>
      </c>
      <c r="D537" t="n">
        <v>-0.73486</v>
      </c>
      <c r="E537" t="n">
        <v>-0.88278</v>
      </c>
      <c r="F537" t="n">
        <v>-0.11507</v>
      </c>
      <c r="G537" t="n">
        <v>0.009535200000000001</v>
      </c>
      <c r="H537" t="n">
        <v>0.42753</v>
      </c>
      <c r="I537" t="n">
        <v>0.61171</v>
      </c>
      <c r="J537" t="n">
        <v>0.30271</v>
      </c>
      <c r="K537" t="n">
        <v>-1.2195</v>
      </c>
      <c r="L537" t="n">
        <v>0.21279</v>
      </c>
      <c r="M537" t="n">
        <v>0.47588</v>
      </c>
      <c r="N537" t="n">
        <v>-2.6761</v>
      </c>
      <c r="O537" t="n">
        <v>0.99321</v>
      </c>
      <c r="P537" t="n">
        <v>0.70805</v>
      </c>
      <c r="Q537" t="n">
        <v>0.35358</v>
      </c>
      <c r="R537" t="n">
        <v>-0.54159</v>
      </c>
      <c r="S537" t="n">
        <v>-0.37892</v>
      </c>
      <c r="T537" t="n">
        <v>-0.5609499999999999</v>
      </c>
      <c r="U537" t="n">
        <v>0.9483200000000001</v>
      </c>
      <c r="V537" t="n">
        <v>-1.2539</v>
      </c>
      <c r="W537" t="n">
        <v>0.93394</v>
      </c>
      <c r="X537" t="n">
        <v>0.0004966</v>
      </c>
      <c r="Y537" t="n">
        <v>-0.98589</v>
      </c>
      <c r="Z537" t="n">
        <v>-0.12359</v>
      </c>
    </row>
    <row r="538">
      <c r="A538" t="inlineStr">
        <is>
          <t>bound</t>
        </is>
      </c>
      <c r="B538" t="n">
        <v>-1.3726</v>
      </c>
      <c r="C538" t="n">
        <v>0.344</v>
      </c>
      <c r="D538" t="n">
        <v>0.12287</v>
      </c>
      <c r="E538" t="n">
        <v>-1.4025</v>
      </c>
      <c r="F538" t="n">
        <v>-0.82217</v>
      </c>
      <c r="G538" t="n">
        <v>-0.027385</v>
      </c>
      <c r="H538" t="n">
        <v>0.68203</v>
      </c>
      <c r="I538" t="n">
        <v>-0.66608</v>
      </c>
      <c r="J538" t="n">
        <v>0.17482</v>
      </c>
      <c r="K538" t="n">
        <v>-0.12925</v>
      </c>
      <c r="L538" t="n">
        <v>-0.97239</v>
      </c>
      <c r="M538" t="n">
        <v>0.4292</v>
      </c>
      <c r="N538" t="n">
        <v>-2.9828</v>
      </c>
      <c r="O538" t="n">
        <v>1.0546</v>
      </c>
      <c r="P538" t="n">
        <v>0.7098</v>
      </c>
      <c r="Q538" t="n">
        <v>0.038284</v>
      </c>
      <c r="R538" t="n">
        <v>-0.29595</v>
      </c>
      <c r="S538" t="n">
        <v>-0.37455</v>
      </c>
      <c r="T538" t="n">
        <v>0.64652</v>
      </c>
      <c r="U538" t="n">
        <v>0.34824</v>
      </c>
      <c r="V538" t="n">
        <v>0.098465</v>
      </c>
      <c r="W538" t="n">
        <v>-0.36634</v>
      </c>
      <c r="X538" t="n">
        <v>0.8879</v>
      </c>
      <c r="Y538" t="n">
        <v>-0.51414</v>
      </c>
      <c r="Z538" t="n">
        <v>1.0482</v>
      </c>
    </row>
    <row r="539">
      <c r="A539" t="inlineStr">
        <is>
          <t>tcot</t>
        </is>
      </c>
      <c r="B539" t="n">
        <v>1.3466</v>
      </c>
      <c r="C539" t="n">
        <v>0.92233</v>
      </c>
      <c r="D539" t="n">
        <v>-2.0259</v>
      </c>
      <c r="E539" t="n">
        <v>-1.4454</v>
      </c>
      <c r="F539" t="n">
        <v>-0.33192</v>
      </c>
      <c r="G539" t="n">
        <v>-2.5474</v>
      </c>
      <c r="H539" t="n">
        <v>-0.016311</v>
      </c>
      <c r="I539" t="n">
        <v>-0.55846</v>
      </c>
      <c r="J539" t="n">
        <v>-0.62464</v>
      </c>
      <c r="K539" t="n">
        <v>0.24832</v>
      </c>
      <c r="L539" t="n">
        <v>-1.3516</v>
      </c>
      <c r="M539" t="n">
        <v>0.59366</v>
      </c>
      <c r="N539" t="n">
        <v>-2.4456</v>
      </c>
      <c r="O539" t="n">
        <v>-0.54064</v>
      </c>
      <c r="P539" t="n">
        <v>-0.22959</v>
      </c>
      <c r="Q539" t="n">
        <v>-1.5445</v>
      </c>
      <c r="R539" t="n">
        <v>-1.3186</v>
      </c>
      <c r="S539" t="n">
        <v>0.8786</v>
      </c>
      <c r="T539" t="n">
        <v>0.72426</v>
      </c>
      <c r="U539" t="n">
        <v>0.40709</v>
      </c>
      <c r="V539" t="n">
        <v>0.30797</v>
      </c>
      <c r="W539" t="n">
        <v>0.27508</v>
      </c>
      <c r="X539" t="n">
        <v>0.65698</v>
      </c>
      <c r="Y539" t="n">
        <v>-1.4913</v>
      </c>
      <c r="Z539" t="n">
        <v>0.5447</v>
      </c>
    </row>
    <row r="540">
      <c r="A540" t="inlineStr">
        <is>
          <t>nowhere</t>
        </is>
      </c>
      <c r="B540" t="n">
        <v>-0.57307</v>
      </c>
      <c r="C540" t="n">
        <v>0.30167</v>
      </c>
      <c r="D540" t="n">
        <v>0.45181</v>
      </c>
      <c r="E540" t="n">
        <v>-0.09059499999999999</v>
      </c>
      <c r="F540" t="n">
        <v>-0.63183</v>
      </c>
      <c r="G540" t="n">
        <v>0.49738</v>
      </c>
      <c r="H540" t="n">
        <v>0.64893</v>
      </c>
      <c r="I540" t="n">
        <v>-0.99583</v>
      </c>
      <c r="J540" t="n">
        <v>-0.36372</v>
      </c>
      <c r="K540" t="n">
        <v>0.31146</v>
      </c>
      <c r="L540" t="n">
        <v>-1.1699</v>
      </c>
      <c r="M540" t="n">
        <v>0.8278799999999999</v>
      </c>
      <c r="N540" t="n">
        <v>-3.2754</v>
      </c>
      <c r="O540" t="n">
        <v>0.288</v>
      </c>
      <c r="P540" t="n">
        <v>0.243</v>
      </c>
      <c r="Q540" t="n">
        <v>0.73842</v>
      </c>
      <c r="R540" t="n">
        <v>-0.06689100000000001</v>
      </c>
      <c r="S540" t="n">
        <v>0.17449</v>
      </c>
      <c r="T540" t="n">
        <v>0.3833</v>
      </c>
      <c r="U540" t="n">
        <v>-0.9105799999999999</v>
      </c>
      <c r="V540" t="n">
        <v>0.55391</v>
      </c>
      <c r="W540" t="n">
        <v>-0.078637</v>
      </c>
      <c r="X540" t="n">
        <v>0.95539</v>
      </c>
      <c r="Y540" t="n">
        <v>-0.15522</v>
      </c>
      <c r="Z540" t="n">
        <v>0.075972</v>
      </c>
    </row>
    <row r="541">
      <c r="A541" t="inlineStr">
        <is>
          <t>professor</t>
        </is>
      </c>
      <c r="B541" t="n">
        <v>1.0673</v>
      </c>
      <c r="C541" t="n">
        <v>0.18894</v>
      </c>
      <c r="D541" t="n">
        <v>0.97994</v>
      </c>
      <c r="E541" t="n">
        <v>-0.22408</v>
      </c>
      <c r="F541" t="n">
        <v>0.67828</v>
      </c>
      <c r="G541" t="n">
        <v>-0.94217</v>
      </c>
      <c r="H541" t="n">
        <v>0.34808</v>
      </c>
      <c r="I541" t="n">
        <v>-0.50797</v>
      </c>
      <c r="J541" t="n">
        <v>1.2924</v>
      </c>
      <c r="K541" t="n">
        <v>-1.4571</v>
      </c>
      <c r="L541" t="n">
        <v>-0.82725</v>
      </c>
      <c r="M541" t="n">
        <v>-1.3532</v>
      </c>
      <c r="N541" t="n">
        <v>-3.0887</v>
      </c>
      <c r="O541" t="n">
        <v>-0.87634</v>
      </c>
      <c r="P541" t="n">
        <v>1.6132</v>
      </c>
      <c r="Q541" t="n">
        <v>-0.82801</v>
      </c>
      <c r="R541" t="n">
        <v>0.072625</v>
      </c>
      <c r="S541" t="n">
        <v>1.0131</v>
      </c>
      <c r="T541" t="n">
        <v>-0.36931</v>
      </c>
      <c r="U541" t="n">
        <v>-0.83961</v>
      </c>
      <c r="V541" t="n">
        <v>0.80907</v>
      </c>
      <c r="W541" t="n">
        <v>0.7335199999999999</v>
      </c>
      <c r="X541" t="n">
        <v>-0.99917</v>
      </c>
      <c r="Y541" t="n">
        <v>0.22042</v>
      </c>
      <c r="Z541" t="n">
        <v>-0.20788</v>
      </c>
    </row>
    <row r="542">
      <c r="A542" t="inlineStr">
        <is>
          <t>meat</t>
        </is>
      </c>
      <c r="B542" t="n">
        <v>-0.45303</v>
      </c>
      <c r="C542" t="n">
        <v>0.29604</v>
      </c>
      <c r="D542" t="n">
        <v>-0.1159</v>
      </c>
      <c r="E542" t="n">
        <v>0.80643</v>
      </c>
      <c r="F542" t="n">
        <v>0.47938</v>
      </c>
      <c r="G542" t="n">
        <v>0.40275</v>
      </c>
      <c r="H542" t="n">
        <v>0.77857</v>
      </c>
      <c r="I542" t="n">
        <v>-1.9983</v>
      </c>
      <c r="J542" t="n">
        <v>0.28307</v>
      </c>
      <c r="K542" t="n">
        <v>0.70889</v>
      </c>
      <c r="L542" t="n">
        <v>1.1271</v>
      </c>
      <c r="M542" t="n">
        <v>-0.44877</v>
      </c>
      <c r="N542" t="n">
        <v>-3.2065</v>
      </c>
      <c r="O542" t="n">
        <v>-0.74938</v>
      </c>
      <c r="P542" t="n">
        <v>0.08091</v>
      </c>
      <c r="Q542" t="n">
        <v>-0.78221</v>
      </c>
      <c r="R542" t="n">
        <v>1.4548</v>
      </c>
      <c r="S542" t="n">
        <v>-0.61156</v>
      </c>
      <c r="T542" t="n">
        <v>0.25889</v>
      </c>
      <c r="U542" t="n">
        <v>0.28179</v>
      </c>
      <c r="V542" t="n">
        <v>-0.08427999999999999</v>
      </c>
      <c r="W542" t="n">
        <v>0.92023</v>
      </c>
      <c r="X542" t="n">
        <v>-0.0142</v>
      </c>
      <c r="Y542" t="n">
        <v>0.0019308</v>
      </c>
      <c r="Z542" t="n">
        <v>1.2617</v>
      </c>
    </row>
    <row r="543">
      <c r="A543" t="inlineStr">
        <is>
          <t>treated</t>
        </is>
      </c>
      <c r="B543" t="n">
        <v>-0.73064</v>
      </c>
      <c r="C543" t="n">
        <v>0.45997</v>
      </c>
      <c r="D543" t="n">
        <v>-0.35049</v>
      </c>
      <c r="E543" t="n">
        <v>-0.043693</v>
      </c>
      <c r="F543" t="n">
        <v>0.040294</v>
      </c>
      <c r="G543" t="n">
        <v>0.23821</v>
      </c>
      <c r="H543" t="n">
        <v>0.28992</v>
      </c>
      <c r="I543" t="n">
        <v>-1.1112</v>
      </c>
      <c r="J543" t="n">
        <v>-1.2997</v>
      </c>
      <c r="K543" t="n">
        <v>0.25861</v>
      </c>
      <c r="L543" t="n">
        <v>-0.70237</v>
      </c>
      <c r="M543" t="n">
        <v>0.65011</v>
      </c>
      <c r="N543" t="n">
        <v>-3.3945</v>
      </c>
      <c r="O543" t="n">
        <v>0.20896</v>
      </c>
      <c r="P543" t="n">
        <v>-0.43674</v>
      </c>
      <c r="Q543" t="n">
        <v>-0.076433</v>
      </c>
      <c r="R543" t="n">
        <v>0.8623</v>
      </c>
      <c r="S543" t="n">
        <v>-0.17806</v>
      </c>
      <c r="T543" t="n">
        <v>1.5093</v>
      </c>
      <c r="U543" t="n">
        <v>-1.3534</v>
      </c>
      <c r="V543" t="n">
        <v>0.7909</v>
      </c>
      <c r="W543" t="n">
        <v>1.1089</v>
      </c>
      <c r="X543" t="n">
        <v>-0.5476</v>
      </c>
      <c r="Y543" t="n">
        <v>-0.57894</v>
      </c>
      <c r="Z543" t="n">
        <v>-0.21787</v>
      </c>
    </row>
    <row r="544">
      <c r="A544" t="inlineStr">
        <is>
          <t>chapter</t>
        </is>
      </c>
      <c r="B544" t="n">
        <v>0.46229</v>
      </c>
      <c r="C544" t="n">
        <v>0.8037300000000001</v>
      </c>
      <c r="D544" t="n">
        <v>1.1471</v>
      </c>
      <c r="E544" t="n">
        <v>-0.5427999999999999</v>
      </c>
      <c r="F544" t="n">
        <v>-0.056855</v>
      </c>
      <c r="G544" t="n">
        <v>-0.9182900000000001</v>
      </c>
      <c r="H544" t="n">
        <v>1.6036</v>
      </c>
      <c r="I544" t="n">
        <v>-0.26277</v>
      </c>
      <c r="J544" t="n">
        <v>0.98334</v>
      </c>
      <c r="K544" t="n">
        <v>-0.28176</v>
      </c>
      <c r="L544" t="n">
        <v>-0.47898</v>
      </c>
      <c r="M544" t="n">
        <v>0.75972</v>
      </c>
      <c r="N544" t="n">
        <v>-2.5914</v>
      </c>
      <c r="O544" t="n">
        <v>0.90569</v>
      </c>
      <c r="P544" t="n">
        <v>0.24868</v>
      </c>
      <c r="Q544" t="n">
        <v>0.15652</v>
      </c>
      <c r="R544" t="n">
        <v>-0.014137</v>
      </c>
      <c r="S544" t="n">
        <v>0.58362</v>
      </c>
      <c r="T544" t="n">
        <v>-0.1872</v>
      </c>
      <c r="U544" t="n">
        <v>0.35812</v>
      </c>
      <c r="V544" t="n">
        <v>-1.1555</v>
      </c>
      <c r="W544" t="n">
        <v>-0.45046</v>
      </c>
      <c r="X544" t="n">
        <v>-0.8909</v>
      </c>
      <c r="Y544" t="n">
        <v>0.40305</v>
      </c>
      <c r="Z544" t="n">
        <v>-0.33193</v>
      </c>
    </row>
    <row r="545">
      <c r="A545" t="inlineStr">
        <is>
          <t>apply</t>
        </is>
      </c>
      <c r="B545" t="n">
        <v>0.17225</v>
      </c>
      <c r="C545" t="n">
        <v>0.55749</v>
      </c>
      <c r="D545" t="n">
        <v>-1.0162</v>
      </c>
      <c r="E545" t="n">
        <v>-0.91377</v>
      </c>
      <c r="F545" t="n">
        <v>-0.13327</v>
      </c>
      <c r="G545" t="n">
        <v>-0.13896</v>
      </c>
      <c r="H545" t="n">
        <v>0.035386</v>
      </c>
      <c r="I545" t="n">
        <v>-1.0422</v>
      </c>
      <c r="J545" t="n">
        <v>1.3852</v>
      </c>
      <c r="K545" t="n">
        <v>0.26861</v>
      </c>
      <c r="L545" t="n">
        <v>-0.47744</v>
      </c>
      <c r="M545" t="n">
        <v>-0.19543</v>
      </c>
      <c r="N545" t="n">
        <v>-3.4586</v>
      </c>
      <c r="O545" t="n">
        <v>-0.22438</v>
      </c>
      <c r="P545" t="n">
        <v>0.41553</v>
      </c>
      <c r="Q545" t="n">
        <v>-0.28958</v>
      </c>
      <c r="R545" t="n">
        <v>0.77273</v>
      </c>
      <c r="S545" t="n">
        <v>-1.0181</v>
      </c>
      <c r="T545" t="n">
        <v>0.01797</v>
      </c>
      <c r="U545" t="n">
        <v>-1.0147</v>
      </c>
      <c r="V545" t="n">
        <v>-0.81635</v>
      </c>
      <c r="W545" t="n">
        <v>-1.0521</v>
      </c>
      <c r="X545" t="n">
        <v>-0.81069</v>
      </c>
      <c r="Y545" t="n">
        <v>0.81497</v>
      </c>
      <c r="Z545" t="n">
        <v>-1.1697</v>
      </c>
    </row>
    <row r="546">
      <c r="A546" t="inlineStr">
        <is>
          <t>hater</t>
        </is>
      </c>
      <c r="B546" t="n">
        <v>0.64852</v>
      </c>
      <c r="C546" t="n">
        <v>0.43992</v>
      </c>
      <c r="D546" t="n">
        <v>-0.27347</v>
      </c>
      <c r="E546" t="n">
        <v>0.0041131</v>
      </c>
      <c r="F546" t="n">
        <v>0.43127</v>
      </c>
      <c r="G546" t="n">
        <v>-0.49608</v>
      </c>
      <c r="H546" t="n">
        <v>-0.055971</v>
      </c>
      <c r="I546" t="n">
        <v>0.1549</v>
      </c>
      <c r="J546" t="n">
        <v>-0.7223000000000001</v>
      </c>
      <c r="K546" t="n">
        <v>-0.13116</v>
      </c>
      <c r="L546" t="n">
        <v>-1.1085</v>
      </c>
      <c r="M546" t="n">
        <v>-0.59067</v>
      </c>
      <c r="N546" t="n">
        <v>-2.661</v>
      </c>
      <c r="O546" t="n">
        <v>-0.59395</v>
      </c>
      <c r="P546" t="n">
        <v>-0.22017</v>
      </c>
      <c r="Q546" t="n">
        <v>0.89723</v>
      </c>
      <c r="R546" t="n">
        <v>0.20254</v>
      </c>
      <c r="S546" t="n">
        <v>-0.52305</v>
      </c>
      <c r="T546" t="n">
        <v>-0.0083724</v>
      </c>
      <c r="U546" t="n">
        <v>-0.4102</v>
      </c>
      <c r="V546" t="n">
        <v>1.0659</v>
      </c>
      <c r="W546" t="n">
        <v>1.7385</v>
      </c>
      <c r="X546" t="n">
        <v>-0.084909</v>
      </c>
      <c r="Y546" t="n">
        <v>-0.2472</v>
      </c>
      <c r="Z546" t="n">
        <v>0.40561</v>
      </c>
    </row>
    <row r="547">
      <c r="A547" t="inlineStr">
        <is>
          <t>ted</t>
        </is>
      </c>
      <c r="B547" t="n">
        <v>-0.078809</v>
      </c>
      <c r="C547" t="n">
        <v>0.30582</v>
      </c>
      <c r="D547" t="n">
        <v>0.82043</v>
      </c>
      <c r="E547" t="n">
        <v>0.20307</v>
      </c>
      <c r="F547" t="n">
        <v>-0.3131</v>
      </c>
      <c r="G547" t="n">
        <v>-0.59409</v>
      </c>
      <c r="H547" t="n">
        <v>0.39367</v>
      </c>
      <c r="I547" t="n">
        <v>0.40925</v>
      </c>
      <c r="J547" t="n">
        <v>-0.16104</v>
      </c>
      <c r="K547" t="n">
        <v>-1.1686</v>
      </c>
      <c r="L547" t="n">
        <v>0.042747</v>
      </c>
      <c r="M547" t="n">
        <v>0.28007</v>
      </c>
      <c r="N547" t="n">
        <v>-2.5006</v>
      </c>
      <c r="O547" t="n">
        <v>-0.88432</v>
      </c>
      <c r="P547" t="n">
        <v>1.0402</v>
      </c>
      <c r="Q547" t="n">
        <v>-0.065751</v>
      </c>
      <c r="R547" t="n">
        <v>0.33157</v>
      </c>
      <c r="S547" t="n">
        <v>0.25423</v>
      </c>
      <c r="T547" t="n">
        <v>-0.24064</v>
      </c>
      <c r="U547" t="n">
        <v>0.19274</v>
      </c>
      <c r="V547" t="n">
        <v>0.077026</v>
      </c>
      <c r="W547" t="n">
        <v>0.27111</v>
      </c>
      <c r="X547" t="n">
        <v>-0.62313</v>
      </c>
      <c r="Y547" t="n">
        <v>-0.29855</v>
      </c>
      <c r="Z547" t="n">
        <v>0.32586</v>
      </c>
    </row>
    <row r="548">
      <c r="A548" t="inlineStr">
        <is>
          <t>countdown</t>
        </is>
      </c>
      <c r="B548" t="n">
        <v>-0.29117</v>
      </c>
      <c r="C548" t="n">
        <v>0.53589</v>
      </c>
      <c r="D548" t="n">
        <v>0.93432</v>
      </c>
      <c r="E548" t="n">
        <v>-1.1566</v>
      </c>
      <c r="F548" t="n">
        <v>-0.13728</v>
      </c>
      <c r="G548" t="n">
        <v>-0.52413</v>
      </c>
      <c r="H548" t="n">
        <v>1.6698</v>
      </c>
      <c r="I548" t="n">
        <v>-0.09588000000000001</v>
      </c>
      <c r="J548" t="n">
        <v>0.095441</v>
      </c>
      <c r="K548" t="n">
        <v>-0.96101</v>
      </c>
      <c r="L548" t="n">
        <v>-0.16382</v>
      </c>
      <c r="M548" t="n">
        <v>0.7599</v>
      </c>
      <c r="N548" t="n">
        <v>-2.0412</v>
      </c>
      <c r="O548" t="n">
        <v>1.1789</v>
      </c>
      <c r="P548" t="n">
        <v>-0.14892</v>
      </c>
      <c r="Q548" t="n">
        <v>0.21951</v>
      </c>
      <c r="R548" t="n">
        <v>-0.66713</v>
      </c>
      <c r="S548" t="n">
        <v>-0.1101</v>
      </c>
      <c r="T548" t="n">
        <v>-1.1047</v>
      </c>
      <c r="U548" t="n">
        <v>0.021912</v>
      </c>
      <c r="V548" t="n">
        <v>-1.4556</v>
      </c>
      <c r="W548" t="n">
        <v>-0.76354</v>
      </c>
      <c r="X548" t="n">
        <v>0.25958</v>
      </c>
      <c r="Y548" t="n">
        <v>-0.083229</v>
      </c>
      <c r="Z548" t="n">
        <v>0.44544</v>
      </c>
    </row>
    <row r="549">
      <c r="A549" t="inlineStr">
        <is>
          <t>creen</t>
        </is>
      </c>
      <c r="B549" t="n">
        <v>2.0086</v>
      </c>
      <c r="C549" t="n">
        <v>-0.2421</v>
      </c>
      <c r="D549" t="n">
        <v>-0.70834</v>
      </c>
      <c r="E549" t="n">
        <v>0.1464</v>
      </c>
      <c r="F549" t="n">
        <v>-0.45578</v>
      </c>
      <c r="G549" t="n">
        <v>0.543</v>
      </c>
      <c r="H549" t="n">
        <v>-0.13987</v>
      </c>
      <c r="I549" t="n">
        <v>2.0563</v>
      </c>
      <c r="J549" t="n">
        <v>-1.5673</v>
      </c>
      <c r="K549" t="n">
        <v>-0.86152</v>
      </c>
      <c r="L549" t="n">
        <v>0.89179</v>
      </c>
      <c r="M549" t="n">
        <v>-2.5848</v>
      </c>
      <c r="N549" t="n">
        <v>-0.65806</v>
      </c>
      <c r="O549" t="n">
        <v>-0.25443</v>
      </c>
      <c r="P549" t="n">
        <v>0.73632</v>
      </c>
      <c r="Q549" t="n">
        <v>1.3532</v>
      </c>
      <c r="R549" t="n">
        <v>0.26479</v>
      </c>
      <c r="S549" t="n">
        <v>-0.44764</v>
      </c>
      <c r="T549" t="n">
        <v>1.4222</v>
      </c>
      <c r="U549" t="n">
        <v>0.68646</v>
      </c>
      <c r="V549" t="n">
        <v>1.1641</v>
      </c>
      <c r="W549" t="n">
        <v>0.20704</v>
      </c>
      <c r="X549" t="n">
        <v>-0.78585</v>
      </c>
      <c r="Y549" t="n">
        <v>-0.49589</v>
      </c>
      <c r="Z549" t="n">
        <v>0.51639</v>
      </c>
    </row>
    <row r="550">
      <c r="A550" t="inlineStr">
        <is>
          <t>coke</t>
        </is>
      </c>
      <c r="B550" t="n">
        <v>-0.36423</v>
      </c>
      <c r="C550" t="n">
        <v>0.34627</v>
      </c>
      <c r="D550" t="n">
        <v>0.37858</v>
      </c>
      <c r="E550" t="n">
        <v>0.8799</v>
      </c>
      <c r="F550" t="n">
        <v>-0.2465</v>
      </c>
      <c r="G550" t="n">
        <v>0.45337</v>
      </c>
      <c r="H550" t="n">
        <v>0.63769</v>
      </c>
      <c r="I550" t="n">
        <v>-0.99739</v>
      </c>
      <c r="J550" t="n">
        <v>0.37015</v>
      </c>
      <c r="K550" t="n">
        <v>0.33675</v>
      </c>
      <c r="L550" t="n">
        <v>0.9434399999999999</v>
      </c>
      <c r="M550" t="n">
        <v>-0.3671</v>
      </c>
      <c r="N550" t="n">
        <v>-2.9085</v>
      </c>
      <c r="O550" t="n">
        <v>-0.99855</v>
      </c>
      <c r="P550" t="n">
        <v>0.357</v>
      </c>
      <c r="Q550" t="n">
        <v>0.27734</v>
      </c>
      <c r="R550" t="n">
        <v>1.0066</v>
      </c>
      <c r="S550" t="n">
        <v>-0.60833</v>
      </c>
      <c r="T550" t="n">
        <v>0.45978</v>
      </c>
      <c r="U550" t="n">
        <v>0.79887</v>
      </c>
      <c r="V550" t="n">
        <v>-0.52857</v>
      </c>
      <c r="W550" t="n">
        <v>0.41644</v>
      </c>
      <c r="X550" t="n">
        <v>0.21851</v>
      </c>
      <c r="Y550" t="n">
        <v>0.29746</v>
      </c>
      <c r="Z550" t="n">
        <v>0.65972</v>
      </c>
    </row>
    <row r="551">
      <c r="A551" t="inlineStr">
        <is>
          <t>african</t>
        </is>
      </c>
      <c r="B551" t="n">
        <v>-0.31623</v>
      </c>
      <c r="C551" t="n">
        <v>-0.062526</v>
      </c>
      <c r="D551" t="n">
        <v>-0.51764</v>
      </c>
      <c r="E551" t="n">
        <v>-0.20141</v>
      </c>
      <c r="F551" t="n">
        <v>0.18008</v>
      </c>
      <c r="G551" t="n">
        <v>-0.61192</v>
      </c>
      <c r="H551" t="n">
        <v>1.0742</v>
      </c>
      <c r="I551" t="n">
        <v>-0.92779</v>
      </c>
      <c r="J551" t="n">
        <v>0.48654</v>
      </c>
      <c r="K551" t="n">
        <v>0.058358</v>
      </c>
      <c r="L551" t="n">
        <v>-0.10839</v>
      </c>
      <c r="M551" t="n">
        <v>-0.17612</v>
      </c>
      <c r="N551" t="n">
        <v>-3.484</v>
      </c>
      <c r="O551" t="n">
        <v>0.4359</v>
      </c>
      <c r="P551" t="n">
        <v>-0.5767600000000001</v>
      </c>
      <c r="Q551" t="n">
        <v>-0.71508</v>
      </c>
      <c r="R551" t="n">
        <v>0.76306</v>
      </c>
      <c r="S551" t="n">
        <v>0.056999</v>
      </c>
      <c r="T551" t="n">
        <v>0.62373</v>
      </c>
      <c r="U551" t="n">
        <v>0.9951</v>
      </c>
      <c r="V551" t="n">
        <v>0.2564</v>
      </c>
      <c r="W551" t="n">
        <v>0.9708</v>
      </c>
      <c r="X551" t="n">
        <v>-0.90539</v>
      </c>
      <c r="Y551" t="n">
        <v>-2.0386</v>
      </c>
      <c r="Z551" t="n">
        <v>0.37559</v>
      </c>
    </row>
    <row r="552">
      <c r="A552" t="inlineStr">
        <is>
          <t>announced</t>
        </is>
      </c>
      <c r="B552" t="n">
        <v>0.089374</v>
      </c>
      <c r="C552" t="n">
        <v>1.114</v>
      </c>
      <c r="D552" t="n">
        <v>0.30585</v>
      </c>
      <c r="E552" t="n">
        <v>-1.5765</v>
      </c>
      <c r="F552" t="n">
        <v>-0.22245</v>
      </c>
      <c r="G552" t="n">
        <v>-1.3853</v>
      </c>
      <c r="H552" t="n">
        <v>0.33172</v>
      </c>
      <c r="I552" t="n">
        <v>-0.67464</v>
      </c>
      <c r="J552" t="n">
        <v>-0.24444</v>
      </c>
      <c r="K552" t="n">
        <v>-1.3011</v>
      </c>
      <c r="L552" t="n">
        <v>1.5694</v>
      </c>
      <c r="M552" t="n">
        <v>0.94238</v>
      </c>
      <c r="N552" t="n">
        <v>-3.244</v>
      </c>
      <c r="O552" t="n">
        <v>1.0075</v>
      </c>
      <c r="P552" t="n">
        <v>0.5017200000000001</v>
      </c>
      <c r="Q552" t="n">
        <v>-0.25877</v>
      </c>
      <c r="R552" t="n">
        <v>0.1294</v>
      </c>
      <c r="S552" t="n">
        <v>0.046164</v>
      </c>
      <c r="T552" t="n">
        <v>-0.32938</v>
      </c>
      <c r="U552" t="n">
        <v>-0.74</v>
      </c>
      <c r="V552" t="n">
        <v>-0.88417</v>
      </c>
      <c r="W552" t="n">
        <v>-1.0345</v>
      </c>
      <c r="X552" t="n">
        <v>0.0014367</v>
      </c>
      <c r="Y552" t="n">
        <v>-0.085587</v>
      </c>
      <c r="Z552" t="n">
        <v>-0.46825</v>
      </c>
    </row>
    <row r="553">
      <c r="A553" t="inlineStr">
        <is>
          <t>topic</t>
        </is>
      </c>
      <c r="B553" t="n">
        <v>0.88635</v>
      </c>
      <c r="C553" t="n">
        <v>0.45181</v>
      </c>
      <c r="D553" t="n">
        <v>0.035862</v>
      </c>
      <c r="E553" t="n">
        <v>-0.79838</v>
      </c>
      <c r="F553" t="n">
        <v>0.98528</v>
      </c>
      <c r="G553" t="n">
        <v>-0.50342</v>
      </c>
      <c r="H553" t="n">
        <v>0.98765</v>
      </c>
      <c r="I553" t="n">
        <v>0.19145</v>
      </c>
      <c r="J553" t="n">
        <v>-0.12112</v>
      </c>
      <c r="K553" t="n">
        <v>0.096541</v>
      </c>
      <c r="L553" t="n">
        <v>-0.81662</v>
      </c>
      <c r="M553" t="n">
        <v>-0.10464</v>
      </c>
      <c r="N553" t="n">
        <v>-2.4191</v>
      </c>
      <c r="O553" t="n">
        <v>0.59107</v>
      </c>
      <c r="P553" t="n">
        <v>0.74874</v>
      </c>
      <c r="Q553" t="n">
        <v>1.0068</v>
      </c>
      <c r="R553" t="n">
        <v>0.47483</v>
      </c>
      <c r="S553" t="n">
        <v>-0.18004</v>
      </c>
      <c r="T553" t="n">
        <v>-0.08565</v>
      </c>
      <c r="U553" t="n">
        <v>-0.20874</v>
      </c>
      <c r="V553" t="n">
        <v>-0.36556</v>
      </c>
      <c r="W553" t="n">
        <v>-0.32746</v>
      </c>
      <c r="X553" t="n">
        <v>-0.83772</v>
      </c>
      <c r="Y553" t="n">
        <v>-0.090653</v>
      </c>
      <c r="Z553" t="n">
        <v>-0.45782</v>
      </c>
    </row>
    <row r="554">
      <c r="A554" t="inlineStr">
        <is>
          <t>updated</t>
        </is>
      </c>
      <c r="B554" t="n">
        <v>0.41654</v>
      </c>
      <c r="C554" t="n">
        <v>0.26942</v>
      </c>
      <c r="D554" t="n">
        <v>0.60586</v>
      </c>
      <c r="E554" t="n">
        <v>-1.5298</v>
      </c>
      <c r="F554" t="n">
        <v>0.8199</v>
      </c>
      <c r="G554" t="n">
        <v>-1.084</v>
      </c>
      <c r="H554" t="n">
        <v>0.99993</v>
      </c>
      <c r="I554" t="n">
        <v>-0.4327</v>
      </c>
      <c r="J554" t="n">
        <v>-0.019397</v>
      </c>
      <c r="K554" t="n">
        <v>-0.28529</v>
      </c>
      <c r="L554" t="n">
        <v>0.12744</v>
      </c>
      <c r="M554" t="n">
        <v>0.7562</v>
      </c>
      <c r="N554" t="n">
        <v>-2.636</v>
      </c>
      <c r="O554" t="n">
        <v>-0.074728</v>
      </c>
      <c r="P554" t="n">
        <v>0.3249</v>
      </c>
      <c r="Q554" t="n">
        <v>0.11786</v>
      </c>
      <c r="R554" t="n">
        <v>0.76993</v>
      </c>
      <c r="S554" t="n">
        <v>0.42266</v>
      </c>
      <c r="T554" t="n">
        <v>-0.22199</v>
      </c>
      <c r="U554" t="n">
        <v>-0.72127</v>
      </c>
      <c r="V554" t="n">
        <v>-0.93336</v>
      </c>
      <c r="W554" t="n">
        <v>-1.7247</v>
      </c>
      <c r="X554" t="n">
        <v>0.015984</v>
      </c>
      <c r="Y554" t="n">
        <v>0.42194</v>
      </c>
      <c r="Z554" t="n">
        <v>-1.3717</v>
      </c>
    </row>
    <row r="555">
      <c r="A555" t="inlineStr">
        <is>
          <t>plate</t>
        </is>
      </c>
      <c r="B555" t="n">
        <v>-1.0547</v>
      </c>
      <c r="C555" t="n">
        <v>0.0061326</v>
      </c>
      <c r="D555" t="n">
        <v>-0.083449</v>
      </c>
      <c r="E555" t="n">
        <v>0.17893</v>
      </c>
      <c r="F555" t="n">
        <v>0.30203</v>
      </c>
      <c r="G555" t="n">
        <v>0.43254</v>
      </c>
      <c r="H555" t="n">
        <v>-0.10127</v>
      </c>
      <c r="I555" t="n">
        <v>-0.63689</v>
      </c>
      <c r="J555" t="n">
        <v>0.25383</v>
      </c>
      <c r="K555" t="n">
        <v>-0.06551700000000001</v>
      </c>
      <c r="L555" t="n">
        <v>1.0107</v>
      </c>
      <c r="M555" t="n">
        <v>-1.1624</v>
      </c>
      <c r="N555" t="n">
        <v>-2.9631</v>
      </c>
      <c r="O555" t="n">
        <v>0.050526</v>
      </c>
      <c r="P555" t="n">
        <v>0.66317</v>
      </c>
      <c r="Q555" t="n">
        <v>-0.078573</v>
      </c>
      <c r="R555" t="n">
        <v>0.78496</v>
      </c>
      <c r="S555" t="n">
        <v>-0.91722</v>
      </c>
      <c r="T555" t="n">
        <v>0.20617</v>
      </c>
      <c r="U555" t="n">
        <v>0.39487</v>
      </c>
      <c r="V555" t="n">
        <v>-0.66526</v>
      </c>
      <c r="W555" t="n">
        <v>0.10326</v>
      </c>
      <c r="X555" t="n">
        <v>1.4017</v>
      </c>
      <c r="Y555" t="n">
        <v>0.1951</v>
      </c>
      <c r="Z555" t="n">
        <v>0.09625300000000001</v>
      </c>
    </row>
    <row r="556">
      <c r="A556" t="inlineStr">
        <is>
          <t>records</t>
        </is>
      </c>
      <c r="B556" t="n">
        <v>0.25132</v>
      </c>
      <c r="C556" t="n">
        <v>0.84775</v>
      </c>
      <c r="D556" t="n">
        <v>0.52312</v>
      </c>
      <c r="E556" t="n">
        <v>0.019206</v>
      </c>
      <c r="F556" t="n">
        <v>0.81479</v>
      </c>
      <c r="G556" t="n">
        <v>-0.78342</v>
      </c>
      <c r="H556" t="n">
        <v>0.27033</v>
      </c>
      <c r="I556" t="n">
        <v>-0.26618</v>
      </c>
      <c r="J556" t="n">
        <v>0.44637</v>
      </c>
      <c r="K556" t="n">
        <v>-0.59724</v>
      </c>
      <c r="L556" t="n">
        <v>0.67241</v>
      </c>
      <c r="M556" t="n">
        <v>0.3637</v>
      </c>
      <c r="N556" t="n">
        <v>-2.8437</v>
      </c>
      <c r="O556" t="n">
        <v>0.65365</v>
      </c>
      <c r="P556" t="n">
        <v>0.13869</v>
      </c>
      <c r="Q556" t="n">
        <v>0.30644</v>
      </c>
      <c r="R556" t="n">
        <v>-0.32503</v>
      </c>
      <c r="S556" t="n">
        <v>0.23325</v>
      </c>
      <c r="T556" t="n">
        <v>0.47434</v>
      </c>
      <c r="U556" t="n">
        <v>0.49248</v>
      </c>
      <c r="V556" t="n">
        <v>-0.62141</v>
      </c>
      <c r="W556" t="n">
        <v>-0.72583</v>
      </c>
      <c r="X556" t="n">
        <v>0.25352</v>
      </c>
      <c r="Y556" t="n">
        <v>-0.91713</v>
      </c>
      <c r="Z556" t="n">
        <v>0.008048</v>
      </c>
    </row>
    <row r="557">
      <c r="A557" t="inlineStr">
        <is>
          <t>shock</t>
        </is>
      </c>
      <c r="B557" t="n">
        <v>-0.09447700000000001</v>
      </c>
      <c r="C557" t="n">
        <v>0.43795</v>
      </c>
      <c r="D557" t="n">
        <v>-0.13213</v>
      </c>
      <c r="E557" t="n">
        <v>-0.011754</v>
      </c>
      <c r="F557" t="n">
        <v>0.51611</v>
      </c>
      <c r="G557" t="n">
        <v>0.34163</v>
      </c>
      <c r="H557" t="n">
        <v>0.87497</v>
      </c>
      <c r="I557" t="n">
        <v>1.03</v>
      </c>
      <c r="J557" t="n">
        <v>0.38504</v>
      </c>
      <c r="K557" t="n">
        <v>0.073141</v>
      </c>
      <c r="L557" t="n">
        <v>0.1534</v>
      </c>
      <c r="M557" t="n">
        <v>0.82538</v>
      </c>
      <c r="N557" t="n">
        <v>-2.1157</v>
      </c>
      <c r="O557" t="n">
        <v>0.44362</v>
      </c>
      <c r="P557" t="n">
        <v>0.58067</v>
      </c>
      <c r="Q557" t="n">
        <v>0.73443</v>
      </c>
      <c r="R557" t="n">
        <v>0.043654</v>
      </c>
      <c r="S557" t="n">
        <v>0.40181</v>
      </c>
      <c r="T557" t="n">
        <v>0.3736</v>
      </c>
      <c r="U557" t="n">
        <v>-0.58279</v>
      </c>
      <c r="V557" t="n">
        <v>-0.45209</v>
      </c>
      <c r="W557" t="n">
        <v>0.48306</v>
      </c>
      <c r="X557" t="n">
        <v>0.80794</v>
      </c>
      <c r="Y557" t="n">
        <v>0.093083</v>
      </c>
      <c r="Z557" t="n">
        <v>-0.1107</v>
      </c>
    </row>
    <row r="558">
      <c r="A558" t="inlineStr">
        <is>
          <t>richard</t>
        </is>
      </c>
      <c r="B558" t="n">
        <v>-0.59026</v>
      </c>
      <c r="C558" t="n">
        <v>-0.026796</v>
      </c>
      <c r="D558" t="n">
        <v>0.39155</v>
      </c>
      <c r="E558" t="n">
        <v>0.45942</v>
      </c>
      <c r="F558" t="n">
        <v>-0.55153</v>
      </c>
      <c r="G558" t="n">
        <v>-0.61175</v>
      </c>
      <c r="H558" t="n">
        <v>-0.28546</v>
      </c>
      <c r="I558" t="n">
        <v>0.49599</v>
      </c>
      <c r="J558" t="n">
        <v>0.026492</v>
      </c>
      <c r="K558" t="n">
        <v>-1.4586</v>
      </c>
      <c r="L558" t="n">
        <v>0.22796</v>
      </c>
      <c r="M558" t="n">
        <v>0.65197</v>
      </c>
      <c r="N558" t="n">
        <v>-3.0169</v>
      </c>
      <c r="O558" t="n">
        <v>-0.40712</v>
      </c>
      <c r="P558" t="n">
        <v>1.4934</v>
      </c>
      <c r="Q558" t="n">
        <v>-0.68185</v>
      </c>
      <c r="R558" t="n">
        <v>-0.035555</v>
      </c>
      <c r="S558" t="n">
        <v>0.53743</v>
      </c>
      <c r="T558" t="n">
        <v>-0.35863</v>
      </c>
      <c r="U558" t="n">
        <v>0.008346599999999999</v>
      </c>
      <c r="V558" t="n">
        <v>0.48846</v>
      </c>
      <c r="W558" t="n">
        <v>0.35214</v>
      </c>
      <c r="X558" t="n">
        <v>-0.72881</v>
      </c>
      <c r="Y558" t="n">
        <v>-0.6397</v>
      </c>
      <c r="Z558" t="n">
        <v>-0.53682</v>
      </c>
    </row>
    <row r="559">
      <c r="A559" t="inlineStr">
        <is>
          <t>tryin</t>
        </is>
      </c>
      <c r="B559" t="n">
        <v>-0.5252</v>
      </c>
      <c r="C559" t="n">
        <v>2.178</v>
      </c>
      <c r="D559" t="n">
        <v>0.12137</v>
      </c>
      <c r="E559" t="n">
        <v>-0.22584</v>
      </c>
      <c r="F559" t="n">
        <v>-0.20292</v>
      </c>
      <c r="G559" t="n">
        <v>0.75618</v>
      </c>
      <c r="H559" t="n">
        <v>0.16955</v>
      </c>
      <c r="I559" t="n">
        <v>-1.1451</v>
      </c>
      <c r="J559" t="n">
        <v>0.22325</v>
      </c>
      <c r="K559" t="n">
        <v>-0.15405</v>
      </c>
      <c r="L559" t="n">
        <v>-1.266</v>
      </c>
      <c r="M559" t="n">
        <v>0.64397</v>
      </c>
      <c r="N559" t="n">
        <v>-3.4677</v>
      </c>
      <c r="O559" t="n">
        <v>-0.70045</v>
      </c>
      <c r="P559" t="n">
        <v>-0.57565</v>
      </c>
      <c r="Q559" t="n">
        <v>0.9261200000000001</v>
      </c>
      <c r="R559" t="n">
        <v>0.2144</v>
      </c>
      <c r="S559" t="n">
        <v>-0.59027</v>
      </c>
      <c r="T559" t="n">
        <v>-0.08253000000000001</v>
      </c>
      <c r="U559" t="n">
        <v>-0.65082</v>
      </c>
      <c r="V559" t="n">
        <v>1.0017</v>
      </c>
      <c r="W559" t="n">
        <v>0.8464</v>
      </c>
      <c r="X559" t="n">
        <v>1.09</v>
      </c>
      <c r="Y559" t="n">
        <v>0.17734</v>
      </c>
      <c r="Z559" t="n">
        <v>0.44288</v>
      </c>
    </row>
    <row r="560">
      <c r="A560" t="inlineStr">
        <is>
          <t>software</t>
        </is>
      </c>
      <c r="B560" t="n">
        <v>0.79026</v>
      </c>
      <c r="C560" t="n">
        <v>0.41678</v>
      </c>
      <c r="D560" t="n">
        <v>-0.77838</v>
      </c>
      <c r="E560" t="n">
        <v>-0.61136</v>
      </c>
      <c r="F560" t="n">
        <v>1.7716</v>
      </c>
      <c r="G560" t="n">
        <v>-0.42429</v>
      </c>
      <c r="H560" t="n">
        <v>-0.25127</v>
      </c>
      <c r="I560" t="n">
        <v>-0.34978</v>
      </c>
      <c r="J560" t="n">
        <v>1.9081</v>
      </c>
      <c r="K560" t="n">
        <v>-0.35821</v>
      </c>
      <c r="L560" t="n">
        <v>0.78927</v>
      </c>
      <c r="M560" t="n">
        <v>-0.083754</v>
      </c>
      <c r="N560" t="n">
        <v>-3.1851</v>
      </c>
      <c r="O560" t="n">
        <v>-0.76268</v>
      </c>
      <c r="P560" t="n">
        <v>0.90984</v>
      </c>
      <c r="Q560" t="n">
        <v>0.17074</v>
      </c>
      <c r="R560" t="n">
        <v>0.54154</v>
      </c>
      <c r="S560" t="n">
        <v>0.6103499999999999</v>
      </c>
      <c r="T560" t="n">
        <v>0.67438</v>
      </c>
      <c r="U560" t="n">
        <v>-0.07929899999999999</v>
      </c>
      <c r="V560" t="n">
        <v>-0.65108</v>
      </c>
      <c r="W560" t="n">
        <v>-1.8111</v>
      </c>
      <c r="X560" t="n">
        <v>-0.87757</v>
      </c>
      <c r="Y560" t="n">
        <v>-0.09028</v>
      </c>
      <c r="Z560" t="n">
        <v>-0.54683</v>
      </c>
    </row>
    <row r="561">
      <c r="A561" t="inlineStr">
        <is>
          <t>atleast</t>
        </is>
      </c>
      <c r="B561" t="n">
        <v>0.31263</v>
      </c>
      <c r="C561" t="n">
        <v>0.57026</v>
      </c>
      <c r="D561" t="n">
        <v>0.56623</v>
      </c>
      <c r="E561" t="n">
        <v>-0.65484</v>
      </c>
      <c r="F561" t="n">
        <v>-0.87864</v>
      </c>
      <c r="G561" t="n">
        <v>-0.29707</v>
      </c>
      <c r="H561" t="n">
        <v>0.73645</v>
      </c>
      <c r="I561" t="n">
        <v>-0.40422</v>
      </c>
      <c r="J561" t="n">
        <v>-0.77978</v>
      </c>
      <c r="K561" t="n">
        <v>0.48254</v>
      </c>
      <c r="L561" t="n">
        <v>-0.92711</v>
      </c>
      <c r="M561" t="n">
        <v>-0.30442</v>
      </c>
      <c r="N561" t="n">
        <v>-3.2264</v>
      </c>
      <c r="O561" t="n">
        <v>0.5712699999999999</v>
      </c>
      <c r="P561" t="n">
        <v>0.18947</v>
      </c>
      <c r="Q561" t="n">
        <v>0.6847299999999999</v>
      </c>
      <c r="R561" t="n">
        <v>1.2762</v>
      </c>
      <c r="S561" t="n">
        <v>-0.90868</v>
      </c>
      <c r="T561" t="n">
        <v>0.25688</v>
      </c>
      <c r="U561" t="n">
        <v>-0.59037</v>
      </c>
      <c r="V561" t="n">
        <v>0.11354</v>
      </c>
      <c r="W561" t="n">
        <v>0.85471</v>
      </c>
      <c r="X561" t="n">
        <v>0.1735</v>
      </c>
      <c r="Y561" t="n">
        <v>0.99708</v>
      </c>
      <c r="Z561" t="n">
        <v>-0.97558</v>
      </c>
    </row>
    <row r="562">
      <c r="A562" t="inlineStr">
        <is>
          <t>dreaming</t>
        </is>
      </c>
      <c r="B562" t="n">
        <v>-1.4378</v>
      </c>
      <c r="C562" t="n">
        <v>0.66991</v>
      </c>
      <c r="D562" t="n">
        <v>0.51741</v>
      </c>
      <c r="E562" t="n">
        <v>0.78474</v>
      </c>
      <c r="F562" t="n">
        <v>-0.6931</v>
      </c>
      <c r="G562" t="n">
        <v>0.82094</v>
      </c>
      <c r="H562" t="n">
        <v>1.5315</v>
      </c>
      <c r="I562" t="n">
        <v>-0.99291</v>
      </c>
      <c r="J562" t="n">
        <v>-0.62858</v>
      </c>
      <c r="K562" t="n">
        <v>-0.035408</v>
      </c>
      <c r="L562" t="n">
        <v>-1.0234</v>
      </c>
      <c r="M562" t="n">
        <v>0.87854</v>
      </c>
      <c r="N562" t="n">
        <v>-2.7419</v>
      </c>
      <c r="O562" t="n">
        <v>0.25825</v>
      </c>
      <c r="P562" t="n">
        <v>-0.20523</v>
      </c>
      <c r="Q562" t="n">
        <v>0.75642</v>
      </c>
      <c r="R562" t="n">
        <v>-0.59252</v>
      </c>
      <c r="S562" t="n">
        <v>0.61234</v>
      </c>
      <c r="T562" t="n">
        <v>0.65469</v>
      </c>
      <c r="U562" t="n">
        <v>-0.6357</v>
      </c>
      <c r="V562" t="n">
        <v>-0.20854</v>
      </c>
      <c r="W562" t="n">
        <v>-0.27076</v>
      </c>
      <c r="X562" t="n">
        <v>-0.38057</v>
      </c>
      <c r="Y562" t="n">
        <v>0.44945</v>
      </c>
      <c r="Z562" t="n">
        <v>-0.012606</v>
      </c>
    </row>
    <row r="563">
      <c r="A563" t="inlineStr">
        <is>
          <t>termine</t>
        </is>
      </c>
      <c r="B563" t="n">
        <v>0.50627</v>
      </c>
      <c r="C563" t="n">
        <v>0.58163</v>
      </c>
      <c r="D563" t="n">
        <v>0.089966</v>
      </c>
      <c r="E563" t="n">
        <v>0.03779</v>
      </c>
      <c r="F563" t="n">
        <v>-0.14587</v>
      </c>
      <c r="G563" t="n">
        <v>0.39055</v>
      </c>
      <c r="H563" t="n">
        <v>-0.43578</v>
      </c>
      <c r="I563" t="n">
        <v>1.2454</v>
      </c>
      <c r="J563" t="n">
        <v>-0.15796</v>
      </c>
      <c r="K563" t="n">
        <v>-1.3926</v>
      </c>
      <c r="L563" t="n">
        <v>0.56176</v>
      </c>
      <c r="M563" t="n">
        <v>-1.8818</v>
      </c>
      <c r="N563" t="n">
        <v>-0.48333</v>
      </c>
      <c r="O563" t="n">
        <v>0.16217</v>
      </c>
      <c r="P563" t="n">
        <v>1.0013</v>
      </c>
      <c r="Q563" t="n">
        <v>1.9575</v>
      </c>
      <c r="R563" t="n">
        <v>0.15656</v>
      </c>
      <c r="S563" t="n">
        <v>0.88212</v>
      </c>
      <c r="T563" t="n">
        <v>-1.4212</v>
      </c>
      <c r="U563" t="n">
        <v>-0.39574</v>
      </c>
      <c r="V563" t="n">
        <v>0.084088</v>
      </c>
      <c r="W563" t="n">
        <v>-1.005</v>
      </c>
      <c r="X563" t="n">
        <v>0.82522</v>
      </c>
      <c r="Y563" t="n">
        <v>1.1763</v>
      </c>
      <c r="Z563" t="n">
        <v>1.129</v>
      </c>
    </row>
    <row r="564">
      <c r="A564" t="inlineStr">
        <is>
          <t>anthony</t>
        </is>
      </c>
      <c r="B564" t="n">
        <v>-0.73036</v>
      </c>
      <c r="C564" t="n">
        <v>0.16586</v>
      </c>
      <c r="D564" t="n">
        <v>0.22095</v>
      </c>
      <c r="E564" t="n">
        <v>0.38322</v>
      </c>
      <c r="F564" t="n">
        <v>-0.77197</v>
      </c>
      <c r="G564" t="n">
        <v>-0.31738</v>
      </c>
      <c r="H564" t="n">
        <v>-0.19347</v>
      </c>
      <c r="I564" t="n">
        <v>0.6607</v>
      </c>
      <c r="J564" t="n">
        <v>-0.35776</v>
      </c>
      <c r="K564" t="n">
        <v>-1.7537</v>
      </c>
      <c r="L564" t="n">
        <v>0.38185</v>
      </c>
      <c r="M564" t="n">
        <v>0.74087</v>
      </c>
      <c r="N564" t="n">
        <v>-2.9918</v>
      </c>
      <c r="O564" t="n">
        <v>-0.5192</v>
      </c>
      <c r="P564" t="n">
        <v>1.4473</v>
      </c>
      <c r="Q564" t="n">
        <v>-0.45528</v>
      </c>
      <c r="R564" t="n">
        <v>-0.52181</v>
      </c>
      <c r="S564" t="n">
        <v>-0.38491</v>
      </c>
      <c r="T564" t="n">
        <v>-0.52602</v>
      </c>
      <c r="U564" t="n">
        <v>0.34717</v>
      </c>
      <c r="V564" t="n">
        <v>0.72173</v>
      </c>
      <c r="W564" t="n">
        <v>0.28205</v>
      </c>
      <c r="X564" t="n">
        <v>0.32179</v>
      </c>
      <c r="Y564" t="n">
        <v>-0.66836</v>
      </c>
      <c r="Z564" t="n">
        <v>-0.9877</v>
      </c>
    </row>
    <row r="565">
      <c r="A565" t="inlineStr">
        <is>
          <t>sholat</t>
        </is>
      </c>
      <c r="B565" t="n">
        <v>-0.99829</v>
      </c>
      <c r="C565" t="n">
        <v>2.0951</v>
      </c>
      <c r="D565" t="n">
        <v>0.28996</v>
      </c>
      <c r="E565" t="n">
        <v>0.80377</v>
      </c>
      <c r="F565" t="n">
        <v>0.039412</v>
      </c>
      <c r="G565" t="n">
        <v>0.22193</v>
      </c>
      <c r="H565" t="n">
        <v>-0.032089</v>
      </c>
      <c r="I565" t="n">
        <v>0.6843399999999999</v>
      </c>
      <c r="J565" t="n">
        <v>1.5655</v>
      </c>
      <c r="K565" t="n">
        <v>2.3235</v>
      </c>
      <c r="L565" t="n">
        <v>-0.32416</v>
      </c>
      <c r="M565" t="n">
        <v>-0.12817</v>
      </c>
      <c r="N565" t="n">
        <v>-0.02779</v>
      </c>
      <c r="O565" t="n">
        <v>0.97995</v>
      </c>
      <c r="P565" t="n">
        <v>-1.4051</v>
      </c>
      <c r="Q565" t="n">
        <v>0.27457</v>
      </c>
      <c r="R565" t="n">
        <v>0.057844</v>
      </c>
      <c r="S565" t="n">
        <v>-0.75088</v>
      </c>
      <c r="T565" t="n">
        <v>-1.8437</v>
      </c>
      <c r="U565" t="n">
        <v>-1.4559</v>
      </c>
      <c r="V565" t="n">
        <v>-0.38224</v>
      </c>
      <c r="W565" t="n">
        <v>-0.0051301</v>
      </c>
      <c r="X565" t="n">
        <v>-2.3661</v>
      </c>
      <c r="Y565" t="n">
        <v>1.2026</v>
      </c>
      <c r="Z565" t="n">
        <v>0.71407</v>
      </c>
    </row>
    <row r="566">
      <c r="A566" t="inlineStr">
        <is>
          <t>characters</t>
        </is>
      </c>
      <c r="B566" t="n">
        <v>1.2761</v>
      </c>
      <c r="C566" t="n">
        <v>-0.55475</v>
      </c>
      <c r="D566" t="n">
        <v>0.6506</v>
      </c>
      <c r="E566" t="n">
        <v>0.17957</v>
      </c>
      <c r="F566" t="n">
        <v>0.35438</v>
      </c>
      <c r="G566" t="n">
        <v>-0.33123</v>
      </c>
      <c r="H566" t="n">
        <v>1.5992</v>
      </c>
      <c r="I566" t="n">
        <v>-0.92226</v>
      </c>
      <c r="J566" t="n">
        <v>-0.25219</v>
      </c>
      <c r="K566" t="n">
        <v>-0.88852</v>
      </c>
      <c r="L566" t="n">
        <v>-0.23979</v>
      </c>
      <c r="M566" t="n">
        <v>0.56987</v>
      </c>
      <c r="N566" t="n">
        <v>-2.993</v>
      </c>
      <c r="O566" t="n">
        <v>-0.11748</v>
      </c>
      <c r="P566" t="n">
        <v>-0.18699</v>
      </c>
      <c r="Q566" t="n">
        <v>1.16</v>
      </c>
      <c r="R566" t="n">
        <v>0.30464</v>
      </c>
      <c r="S566" t="n">
        <v>0.013261</v>
      </c>
      <c r="T566" t="n">
        <v>1.0037</v>
      </c>
      <c r="U566" t="n">
        <v>0.1297</v>
      </c>
      <c r="V566" t="n">
        <v>-0.50954</v>
      </c>
      <c r="W566" t="n">
        <v>0.1956</v>
      </c>
      <c r="X566" t="n">
        <v>-1.1298</v>
      </c>
      <c r="Y566" t="n">
        <v>-0.53623</v>
      </c>
      <c r="Z566" t="n">
        <v>-0.53096</v>
      </c>
    </row>
    <row r="567">
      <c r="A567" t="inlineStr">
        <is>
          <t>s.</t>
        </is>
      </c>
      <c r="B567" t="n">
        <v>-0.34963</v>
      </c>
      <c r="C567" t="n">
        <v>-0.28446</v>
      </c>
      <c r="D567" t="n">
        <v>-0.136</v>
      </c>
      <c r="E567" t="n">
        <v>0.020052</v>
      </c>
      <c r="F567" t="n">
        <v>-0.80645</v>
      </c>
      <c r="G567" t="n">
        <v>-0.10295</v>
      </c>
      <c r="H567" t="n">
        <v>-0.7825299999999999</v>
      </c>
      <c r="I567" t="n">
        <v>0.6713</v>
      </c>
      <c r="J567" t="n">
        <v>0.036521</v>
      </c>
      <c r="K567" t="n">
        <v>-0.54982</v>
      </c>
      <c r="L567" t="n">
        <v>0.11142</v>
      </c>
      <c r="M567" t="n">
        <v>0.25479</v>
      </c>
      <c r="N567" t="n">
        <v>-2.6897</v>
      </c>
      <c r="O567" t="n">
        <v>0.18063</v>
      </c>
      <c r="P567" t="n">
        <v>0.55798</v>
      </c>
      <c r="Q567" t="n">
        <v>-1.2662</v>
      </c>
      <c r="R567" t="n">
        <v>-0.29248</v>
      </c>
      <c r="S567" t="n">
        <v>0.86172</v>
      </c>
      <c r="T567" t="n">
        <v>-0.10673</v>
      </c>
      <c r="U567" t="n">
        <v>0.28947</v>
      </c>
      <c r="V567" t="n">
        <v>0.25655</v>
      </c>
      <c r="W567" t="n">
        <v>-0.25582</v>
      </c>
      <c r="X567" t="n">
        <v>-0.10677</v>
      </c>
      <c r="Y567" t="n">
        <v>0.15938</v>
      </c>
      <c r="Z567" t="n">
        <v>-0.20875</v>
      </c>
    </row>
    <row r="568">
      <c r="A568" t="inlineStr">
        <is>
          <t>eventually</t>
        </is>
      </c>
      <c r="B568" t="n">
        <v>-0.21862</v>
      </c>
      <c r="C568" t="n">
        <v>0.5769300000000001</v>
      </c>
      <c r="D568" t="n">
        <v>-0.59429</v>
      </c>
      <c r="E568" t="n">
        <v>0.20842</v>
      </c>
      <c r="F568" t="n">
        <v>-1.2069</v>
      </c>
      <c r="G568" t="n">
        <v>-0.16328</v>
      </c>
      <c r="H568" t="n">
        <v>0.95775</v>
      </c>
      <c r="I568" t="n">
        <v>-1.0718</v>
      </c>
      <c r="J568" t="n">
        <v>-0.28767</v>
      </c>
      <c r="K568" t="n">
        <v>-0.11924</v>
      </c>
      <c r="L568" t="n">
        <v>-0.26371</v>
      </c>
      <c r="M568" t="n">
        <v>0.52787</v>
      </c>
      <c r="N568" t="n">
        <v>-3.5555</v>
      </c>
      <c r="O568" t="n">
        <v>0.27031</v>
      </c>
      <c r="P568" t="n">
        <v>0.0022185</v>
      </c>
      <c r="Q568" t="n">
        <v>1.2555</v>
      </c>
      <c r="R568" t="n">
        <v>-0.22754</v>
      </c>
      <c r="S568" t="n">
        <v>-0.15276</v>
      </c>
      <c r="T568" t="n">
        <v>1.1005</v>
      </c>
      <c r="U568" t="n">
        <v>-1.2341</v>
      </c>
      <c r="V568" t="n">
        <v>0.26661</v>
      </c>
      <c r="W568" t="n">
        <v>0.19877</v>
      </c>
      <c r="X568" t="n">
        <v>0.67876</v>
      </c>
      <c r="Y568" t="n">
        <v>0.74272</v>
      </c>
      <c r="Z568" t="n">
        <v>-0.49444</v>
      </c>
    </row>
    <row r="569">
      <c r="A569" t="inlineStr">
        <is>
          <t>maths</t>
        </is>
      </c>
      <c r="B569" t="n">
        <v>1.9405</v>
      </c>
      <c r="C569" t="n">
        <v>0.14301</v>
      </c>
      <c r="D569" t="n">
        <v>-0.63098</v>
      </c>
      <c r="E569" t="n">
        <v>-0.33964</v>
      </c>
      <c r="F569" t="n">
        <v>0.23364</v>
      </c>
      <c r="G569" t="n">
        <v>-0.021243</v>
      </c>
      <c r="H569" t="n">
        <v>0.74556</v>
      </c>
      <c r="I569" t="n">
        <v>-1.6129</v>
      </c>
      <c r="J569" t="n">
        <v>0.7407</v>
      </c>
      <c r="K569" t="n">
        <v>0.06718200000000001</v>
      </c>
      <c r="L569" t="n">
        <v>-1.2589</v>
      </c>
      <c r="M569" t="n">
        <v>-0.46895</v>
      </c>
      <c r="N569" t="n">
        <v>-2.7508</v>
      </c>
      <c r="O569" t="n">
        <v>0.31662</v>
      </c>
      <c r="P569" t="n">
        <v>2.0406</v>
      </c>
      <c r="Q569" t="n">
        <v>1.0205</v>
      </c>
      <c r="R569" t="n">
        <v>0.52215</v>
      </c>
      <c r="S569" t="n">
        <v>0.20919</v>
      </c>
      <c r="T569" t="n">
        <v>-2.0201</v>
      </c>
      <c r="U569" t="n">
        <v>0.04799</v>
      </c>
      <c r="V569" t="n">
        <v>-0.58547</v>
      </c>
      <c r="W569" t="n">
        <v>-0.35552</v>
      </c>
      <c r="X569" t="n">
        <v>-0.63613</v>
      </c>
      <c r="Y569" t="n">
        <v>0.69524</v>
      </c>
      <c r="Z569" t="n">
        <v>-0.61499</v>
      </c>
    </row>
    <row r="570">
      <c r="A570" t="inlineStr">
        <is>
          <t>somehow</t>
        </is>
      </c>
      <c r="B570" t="n">
        <v>-0.01875</v>
      </c>
      <c r="C570" t="n">
        <v>0.23565</v>
      </c>
      <c r="D570" t="n">
        <v>0.15544</v>
      </c>
      <c r="E570" t="n">
        <v>-0.21885</v>
      </c>
      <c r="F570" t="n">
        <v>-0.9054</v>
      </c>
      <c r="G570" t="n">
        <v>0.15625</v>
      </c>
      <c r="H570" t="n">
        <v>1.0304</v>
      </c>
      <c r="I570" t="n">
        <v>-0.97978</v>
      </c>
      <c r="J570" t="n">
        <v>-0.57772</v>
      </c>
      <c r="K570" t="n">
        <v>0.10096</v>
      </c>
      <c r="L570" t="n">
        <v>-0.071061</v>
      </c>
      <c r="M570" t="n">
        <v>0.86992</v>
      </c>
      <c r="N570" t="n">
        <v>-3.5434</v>
      </c>
      <c r="O570" t="n">
        <v>0.008298</v>
      </c>
      <c r="P570" t="n">
        <v>0.49571</v>
      </c>
      <c r="Q570" t="n">
        <v>1.014</v>
      </c>
      <c r="R570" t="n">
        <v>0.35127</v>
      </c>
      <c r="S570" t="n">
        <v>0.031328</v>
      </c>
      <c r="T570" t="n">
        <v>1.0735</v>
      </c>
      <c r="U570" t="n">
        <v>-1.0346</v>
      </c>
      <c r="V570" t="n">
        <v>0.15555</v>
      </c>
      <c r="W570" t="n">
        <v>0.1046</v>
      </c>
      <c r="X570" t="n">
        <v>0.069776</v>
      </c>
      <c r="Y570" t="n">
        <v>0.67853</v>
      </c>
      <c r="Z570" t="n">
        <v>-0.91466</v>
      </c>
    </row>
    <row r="571">
      <c r="A571" t="inlineStr">
        <is>
          <t>mourinho</t>
        </is>
      </c>
      <c r="B571" t="n">
        <v>0.27467</v>
      </c>
      <c r="C571" t="n">
        <v>0.57851</v>
      </c>
      <c r="D571" t="n">
        <v>-0.032227</v>
      </c>
      <c r="E571" t="n">
        <v>-0.67306</v>
      </c>
      <c r="F571" t="n">
        <v>-1.2173</v>
      </c>
      <c r="G571" t="n">
        <v>0.037596</v>
      </c>
      <c r="H571" t="n">
        <v>-0.83777</v>
      </c>
      <c r="I571" t="n">
        <v>1.6872</v>
      </c>
      <c r="J571" t="n">
        <v>-0.20958</v>
      </c>
      <c r="K571" t="n">
        <v>-0.96543</v>
      </c>
      <c r="L571" t="n">
        <v>1.2987</v>
      </c>
      <c r="M571" t="n">
        <v>0.267</v>
      </c>
      <c r="N571" t="n">
        <v>-2.1801</v>
      </c>
      <c r="O571" t="n">
        <v>0.38526</v>
      </c>
      <c r="P571" t="n">
        <v>1.5118</v>
      </c>
      <c r="Q571" t="n">
        <v>-0.084804</v>
      </c>
      <c r="R571" t="n">
        <v>-0.92736</v>
      </c>
      <c r="S571" t="n">
        <v>-0.13345</v>
      </c>
      <c r="T571" t="n">
        <v>0.041704</v>
      </c>
      <c r="U571" t="n">
        <v>-0.81882</v>
      </c>
      <c r="V571" t="n">
        <v>0.14879</v>
      </c>
      <c r="W571" t="n">
        <v>0.642</v>
      </c>
      <c r="X571" t="n">
        <v>-1.0113</v>
      </c>
      <c r="Y571" t="n">
        <v>-1.4173</v>
      </c>
      <c r="Z571" t="n">
        <v>-1.2605</v>
      </c>
    </row>
    <row r="572">
      <c r="A572" t="inlineStr">
        <is>
          <t>blowing</t>
        </is>
      </c>
      <c r="B572" t="n">
        <v>-0.6231100000000001</v>
      </c>
      <c r="C572" t="n">
        <v>0.82836</v>
      </c>
      <c r="D572" t="n">
        <v>0.91254</v>
      </c>
      <c r="E572" t="n">
        <v>0.54708</v>
      </c>
      <c r="F572" t="n">
        <v>0.07979799999999999</v>
      </c>
      <c r="G572" t="n">
        <v>0.91779</v>
      </c>
      <c r="H572" t="n">
        <v>0.76641</v>
      </c>
      <c r="I572" t="n">
        <v>-1.5035</v>
      </c>
      <c r="J572" t="n">
        <v>-0.43326</v>
      </c>
      <c r="K572" t="n">
        <v>0.6267200000000001</v>
      </c>
      <c r="L572" t="n">
        <v>-0.55884</v>
      </c>
      <c r="M572" t="n">
        <v>1.0741</v>
      </c>
      <c r="N572" t="n">
        <v>-2.9599</v>
      </c>
      <c r="O572" t="n">
        <v>-0.55981</v>
      </c>
      <c r="P572" t="n">
        <v>0.34503</v>
      </c>
      <c r="Q572" t="n">
        <v>0.62475</v>
      </c>
      <c r="R572" t="n">
        <v>-0.27368</v>
      </c>
      <c r="S572" t="n">
        <v>-0.23177</v>
      </c>
      <c r="T572" t="n">
        <v>0.25438</v>
      </c>
      <c r="U572" t="n">
        <v>0.16922</v>
      </c>
      <c r="V572" t="n">
        <v>0.097886</v>
      </c>
      <c r="W572" t="n">
        <v>-0.13613</v>
      </c>
      <c r="X572" t="n">
        <v>1.4524</v>
      </c>
      <c r="Y572" t="n">
        <v>-0.28231</v>
      </c>
      <c r="Z572" t="n">
        <v>-0.24321</v>
      </c>
    </row>
    <row r="573">
      <c r="A573" t="inlineStr">
        <is>
          <t>pounds</t>
        </is>
      </c>
      <c r="B573" t="n">
        <v>0.21973</v>
      </c>
      <c r="C573" t="n">
        <v>0.72497</v>
      </c>
      <c r="D573" t="n">
        <v>0.3897</v>
      </c>
      <c r="E573" t="n">
        <v>0.26398</v>
      </c>
      <c r="F573" t="n">
        <v>0.40247</v>
      </c>
      <c r="G573" t="n">
        <v>1.1112</v>
      </c>
      <c r="H573" t="n">
        <v>0.13493</v>
      </c>
      <c r="I573" t="n">
        <v>-1.7144</v>
      </c>
      <c r="J573" t="n">
        <v>-1.0757</v>
      </c>
      <c r="K573" t="n">
        <v>0.53987</v>
      </c>
      <c r="L573" t="n">
        <v>1.3528</v>
      </c>
      <c r="M573" t="n">
        <v>0.6333299999999999</v>
      </c>
      <c r="N573" t="n">
        <v>-2.74</v>
      </c>
      <c r="O573" t="n">
        <v>0.33006</v>
      </c>
      <c r="P573" t="n">
        <v>-0.022489</v>
      </c>
      <c r="Q573" t="n">
        <v>-1.2089</v>
      </c>
      <c r="R573" t="n">
        <v>0.7009300000000001</v>
      </c>
      <c r="S573" t="n">
        <v>-1.1038</v>
      </c>
      <c r="T573" t="n">
        <v>0.68696</v>
      </c>
      <c r="U573" t="n">
        <v>-1.1466</v>
      </c>
      <c r="V573" t="n">
        <v>-1.008</v>
      </c>
      <c r="W573" t="n">
        <v>0.36878</v>
      </c>
      <c r="X573" t="n">
        <v>0.58457</v>
      </c>
      <c r="Y573" t="n">
        <v>0.62545</v>
      </c>
      <c r="Z573" t="n">
        <v>-0.43267</v>
      </c>
    </row>
    <row r="574">
      <c r="A574" t="inlineStr">
        <is>
          <t>hated</t>
        </is>
      </c>
      <c r="B574" t="n">
        <v>0.23247</v>
      </c>
      <c r="C574" t="n">
        <v>0.78833</v>
      </c>
      <c r="D574" t="n">
        <v>1.2635</v>
      </c>
      <c r="E574" t="n">
        <v>-0.50099</v>
      </c>
      <c r="F574" t="n">
        <v>-0.38508</v>
      </c>
      <c r="G574" t="n">
        <v>0.021575</v>
      </c>
      <c r="H574" t="n">
        <v>1.0615</v>
      </c>
      <c r="I574" t="n">
        <v>-0.87636</v>
      </c>
      <c r="J574" t="n">
        <v>-1.3693</v>
      </c>
      <c r="K574" t="n">
        <v>-0.22898</v>
      </c>
      <c r="L574" t="n">
        <v>-0.79778</v>
      </c>
      <c r="M574" t="n">
        <v>0.70513</v>
      </c>
      <c r="N574" t="n">
        <v>-3.3948</v>
      </c>
      <c r="O574" t="n">
        <v>0.042027</v>
      </c>
      <c r="P574" t="n">
        <v>0.13519</v>
      </c>
      <c r="Q574" t="n">
        <v>0.33347</v>
      </c>
      <c r="R574" t="n">
        <v>0.7068</v>
      </c>
      <c r="S574" t="n">
        <v>0.10621</v>
      </c>
      <c r="T574" t="n">
        <v>1.0219</v>
      </c>
      <c r="U574" t="n">
        <v>-0.59968</v>
      </c>
      <c r="V574" t="n">
        <v>0.73416</v>
      </c>
      <c r="W574" t="n">
        <v>1.0651</v>
      </c>
      <c r="X574" t="n">
        <v>-0.70059</v>
      </c>
      <c r="Y574" t="n">
        <v>-0.7489</v>
      </c>
      <c r="Z574" t="n">
        <v>-0.69933</v>
      </c>
    </row>
    <row r="575">
      <c r="A575" t="inlineStr">
        <is>
          <t>knowledge</t>
        </is>
      </c>
      <c r="B575" t="n">
        <v>0.47098</v>
      </c>
      <c r="C575" t="n">
        <v>0.35865</v>
      </c>
      <c r="D575" t="n">
        <v>-1.249</v>
      </c>
      <c r="E575" t="n">
        <v>0.91804</v>
      </c>
      <c r="F575" t="n">
        <v>0.63376</v>
      </c>
      <c r="G575" t="n">
        <v>-0.2619</v>
      </c>
      <c r="H575" t="n">
        <v>0.8990899999999999</v>
      </c>
      <c r="I575" t="n">
        <v>-1.2281</v>
      </c>
      <c r="J575" t="n">
        <v>0.54126</v>
      </c>
      <c r="K575" t="n">
        <v>-0.16993</v>
      </c>
      <c r="L575" t="n">
        <v>-0.25633</v>
      </c>
      <c r="M575" t="n">
        <v>0.7076</v>
      </c>
      <c r="N575" t="n">
        <v>-3.5932</v>
      </c>
      <c r="O575" t="n">
        <v>0.95824</v>
      </c>
      <c r="P575" t="n">
        <v>0.38023</v>
      </c>
      <c r="Q575" t="n">
        <v>0.10277</v>
      </c>
      <c r="R575" t="n">
        <v>0.35584</v>
      </c>
      <c r="S575" t="n">
        <v>0.9348</v>
      </c>
      <c r="T575" t="n">
        <v>1.2841</v>
      </c>
      <c r="U575" t="n">
        <v>0.094759</v>
      </c>
      <c r="V575" t="n">
        <v>-0.32624</v>
      </c>
      <c r="W575" t="n">
        <v>-0.27493</v>
      </c>
      <c r="X575" t="n">
        <v>-1.1398</v>
      </c>
      <c r="Y575" t="n">
        <v>0.54977</v>
      </c>
      <c r="Z575" t="n">
        <v>-0.56456</v>
      </c>
    </row>
    <row r="576">
      <c r="A576" t="inlineStr">
        <is>
          <t>chorando</t>
        </is>
      </c>
      <c r="B576" t="n">
        <v>1.0526</v>
      </c>
      <c r="C576" t="n">
        <v>-0.70492</v>
      </c>
      <c r="D576" t="n">
        <v>2.2935</v>
      </c>
      <c r="E576" t="n">
        <v>-0.36402</v>
      </c>
      <c r="F576" t="n">
        <v>-0.95228</v>
      </c>
      <c r="G576" t="n">
        <v>0.48958</v>
      </c>
      <c r="H576" t="n">
        <v>-0.28132</v>
      </c>
      <c r="I576" t="n">
        <v>0.42817</v>
      </c>
      <c r="J576" t="n">
        <v>-0.1056</v>
      </c>
      <c r="K576" t="n">
        <v>-1.1981</v>
      </c>
      <c r="L576" t="n">
        <v>-1.4177</v>
      </c>
      <c r="M576" t="n">
        <v>-1.6227</v>
      </c>
      <c r="N576" t="n">
        <v>-0.44789</v>
      </c>
      <c r="O576" t="n">
        <v>-1.4231</v>
      </c>
      <c r="P576" t="n">
        <v>-0.67108</v>
      </c>
      <c r="Q576" t="n">
        <v>-0.24409</v>
      </c>
      <c r="R576" t="n">
        <v>-2.3405</v>
      </c>
      <c r="S576" t="n">
        <v>0.34394</v>
      </c>
      <c r="T576" t="n">
        <v>-0.66357</v>
      </c>
      <c r="U576" t="n">
        <v>-1.8515</v>
      </c>
      <c r="V576" t="n">
        <v>0.74011</v>
      </c>
      <c r="W576" t="n">
        <v>0.70516</v>
      </c>
      <c r="X576" t="n">
        <v>1.1689</v>
      </c>
      <c r="Y576" t="n">
        <v>1.1681</v>
      </c>
      <c r="Z576" t="n">
        <v>0.35044</v>
      </c>
    </row>
    <row r="577">
      <c r="A577" t="inlineStr">
        <is>
          <t>playoffs</t>
        </is>
      </c>
      <c r="B577" t="n">
        <v>1.0787</v>
      </c>
      <c r="C577" t="n">
        <v>1.1912</v>
      </c>
      <c r="D577" t="n">
        <v>-0.24488</v>
      </c>
      <c r="E577" t="n">
        <v>-1.4316</v>
      </c>
      <c r="F577" t="n">
        <v>-0.7413999999999999</v>
      </c>
      <c r="G577" t="n">
        <v>0.6683</v>
      </c>
      <c r="H577" t="n">
        <v>0.16261</v>
      </c>
      <c r="I577" t="n">
        <v>-0.18694</v>
      </c>
      <c r="J577" t="n">
        <v>-0.8642</v>
      </c>
      <c r="K577" t="n">
        <v>-1.1985</v>
      </c>
      <c r="L577" t="n">
        <v>-0.48149</v>
      </c>
      <c r="M577" t="n">
        <v>0.40843</v>
      </c>
      <c r="N577" t="n">
        <v>-3.0163</v>
      </c>
      <c r="O577" t="n">
        <v>1.3409</v>
      </c>
      <c r="P577" t="n">
        <v>1.5394</v>
      </c>
      <c r="Q577" t="n">
        <v>-0.42047</v>
      </c>
      <c r="R577" t="n">
        <v>-0.73917</v>
      </c>
      <c r="S577" t="n">
        <v>-1.0687</v>
      </c>
      <c r="T577" t="n">
        <v>0.32376</v>
      </c>
      <c r="U577" t="n">
        <v>0.15978</v>
      </c>
      <c r="V577" t="n">
        <v>-1.1504</v>
      </c>
      <c r="W577" t="n">
        <v>0.52189</v>
      </c>
      <c r="X577" t="n">
        <v>1.6223</v>
      </c>
      <c r="Y577" t="n">
        <v>-0.6059</v>
      </c>
      <c r="Z577" t="n">
        <v>0.081162</v>
      </c>
    </row>
    <row r="578">
      <c r="A578" t="inlineStr">
        <is>
          <t>perfectly</t>
        </is>
      </c>
      <c r="B578" t="n">
        <v>-0.47533</v>
      </c>
      <c r="C578" t="n">
        <v>-1.4531</v>
      </c>
      <c r="D578" t="n">
        <v>0.17946</v>
      </c>
      <c r="E578" t="n">
        <v>-0.33086</v>
      </c>
      <c r="F578" t="n">
        <v>0.12428</v>
      </c>
      <c r="G578" t="n">
        <v>0.95028</v>
      </c>
      <c r="H578" t="n">
        <v>0.57343</v>
      </c>
      <c r="I578" t="n">
        <v>-1.7273</v>
      </c>
      <c r="J578" t="n">
        <v>-1.0502</v>
      </c>
      <c r="K578" t="n">
        <v>-0.23779</v>
      </c>
      <c r="L578" t="n">
        <v>-0.22007</v>
      </c>
      <c r="M578" t="n">
        <v>1.0333</v>
      </c>
      <c r="N578" t="n">
        <v>-3.5228</v>
      </c>
      <c r="O578" t="n">
        <v>-0.22739</v>
      </c>
      <c r="P578" t="n">
        <v>-0.4457</v>
      </c>
      <c r="Q578" t="n">
        <v>0.71834</v>
      </c>
      <c r="R578" t="n">
        <v>0.68809</v>
      </c>
      <c r="S578" t="n">
        <v>0.47392</v>
      </c>
      <c r="T578" t="n">
        <v>0.28624</v>
      </c>
      <c r="U578" t="n">
        <v>-0.72241</v>
      </c>
      <c r="V578" t="n">
        <v>-0.53329</v>
      </c>
      <c r="W578" t="n">
        <v>0.038974</v>
      </c>
      <c r="X578" t="n">
        <v>-0.47182</v>
      </c>
      <c r="Y578" t="n">
        <v>0.76649</v>
      </c>
      <c r="Z578" t="n">
        <v>-1.0697</v>
      </c>
    </row>
    <row r="579">
      <c r="A579" t="inlineStr">
        <is>
          <t>throwback</t>
        </is>
      </c>
      <c r="B579" t="n">
        <v>-0.4048</v>
      </c>
      <c r="C579" t="n">
        <v>0.22359</v>
      </c>
      <c r="D579" t="n">
        <v>1.3165</v>
      </c>
      <c r="E579" t="n">
        <v>-0.95794</v>
      </c>
      <c r="F579" t="n">
        <v>0.2805</v>
      </c>
      <c r="G579" t="n">
        <v>-0.48804</v>
      </c>
      <c r="H579" t="n">
        <v>1.8507</v>
      </c>
      <c r="I579" t="n">
        <v>0.19842</v>
      </c>
      <c r="J579" t="n">
        <v>-0.6301</v>
      </c>
      <c r="K579" t="n">
        <v>-0.61487</v>
      </c>
      <c r="L579" t="n">
        <v>-1.065</v>
      </c>
      <c r="M579" t="n">
        <v>0.74922</v>
      </c>
      <c r="N579" t="n">
        <v>-2.17</v>
      </c>
      <c r="O579" t="n">
        <v>-0.053832</v>
      </c>
      <c r="P579" t="n">
        <v>0.16559</v>
      </c>
      <c r="Q579" t="n">
        <v>0.42362</v>
      </c>
      <c r="R579" t="n">
        <v>0.55994</v>
      </c>
      <c r="S579" t="n">
        <v>-0.86411</v>
      </c>
      <c r="T579" t="n">
        <v>-0.46372</v>
      </c>
      <c r="U579" t="n">
        <v>1.2587</v>
      </c>
      <c r="V579" t="n">
        <v>-0.4573</v>
      </c>
      <c r="W579" t="n">
        <v>0.11548</v>
      </c>
      <c r="X579" t="n">
        <v>0.53261</v>
      </c>
      <c r="Y579" t="n">
        <v>-0.50871</v>
      </c>
      <c r="Z579" t="n">
        <v>0.34216</v>
      </c>
    </row>
    <row r="580">
      <c r="A580" t="inlineStr">
        <is>
          <t>inbox</t>
        </is>
      </c>
      <c r="B580" t="n">
        <v>0.37021</v>
      </c>
      <c r="C580" t="n">
        <v>1.4555</v>
      </c>
      <c r="D580" t="n">
        <v>0.89815</v>
      </c>
      <c r="E580" t="n">
        <v>-0.07087400000000001</v>
      </c>
      <c r="F580" t="n">
        <v>0.57444</v>
      </c>
      <c r="G580" t="n">
        <v>-0.70829</v>
      </c>
      <c r="H580" t="n">
        <v>-0.065778</v>
      </c>
      <c r="I580" t="n">
        <v>1.0596</v>
      </c>
      <c r="J580" t="n">
        <v>-0.10123</v>
      </c>
      <c r="K580" t="n">
        <v>0.30961</v>
      </c>
      <c r="L580" t="n">
        <v>-0.37438</v>
      </c>
      <c r="M580" t="n">
        <v>-0.29354</v>
      </c>
      <c r="N580" t="n">
        <v>-2.0992</v>
      </c>
      <c r="O580" t="n">
        <v>-0.84188</v>
      </c>
      <c r="P580" t="n">
        <v>0.22839</v>
      </c>
      <c r="Q580" t="n">
        <v>0.98998</v>
      </c>
      <c r="R580" t="n">
        <v>0.28244</v>
      </c>
      <c r="S580" t="n">
        <v>-0.79231</v>
      </c>
      <c r="T580" t="n">
        <v>-0.63222</v>
      </c>
      <c r="U580" t="n">
        <v>-0.13659</v>
      </c>
      <c r="V580" t="n">
        <v>-0.47078</v>
      </c>
      <c r="W580" t="n">
        <v>-1.4377</v>
      </c>
      <c r="X580" t="n">
        <v>-0.049706</v>
      </c>
      <c r="Y580" t="n">
        <v>0.89616</v>
      </c>
      <c r="Z580" t="n">
        <v>-0.9214</v>
      </c>
    </row>
    <row r="581">
      <c r="A581" t="inlineStr">
        <is>
          <t>built</t>
        </is>
      </c>
      <c r="B581" t="n">
        <v>-0.60192</v>
      </c>
      <c r="C581" t="n">
        <v>0.15883</v>
      </c>
      <c r="D581" t="n">
        <v>0.039173</v>
      </c>
      <c r="E581" t="n">
        <v>-0.34442</v>
      </c>
      <c r="F581" t="n">
        <v>0.013941</v>
      </c>
      <c r="G581" t="n">
        <v>0.48128</v>
      </c>
      <c r="H581" t="n">
        <v>0.10104</v>
      </c>
      <c r="I581" t="n">
        <v>-1.3705</v>
      </c>
      <c r="J581" t="n">
        <v>0.54866</v>
      </c>
      <c r="K581" t="n">
        <v>0.32915</v>
      </c>
      <c r="L581" t="n">
        <v>0.25678</v>
      </c>
      <c r="M581" t="n">
        <v>0.88451</v>
      </c>
      <c r="N581" t="n">
        <v>-3.9812</v>
      </c>
      <c r="O581" t="n">
        <v>0.1894</v>
      </c>
      <c r="P581" t="n">
        <v>-0.45002</v>
      </c>
      <c r="Q581" t="n">
        <v>0.65979</v>
      </c>
      <c r="R581" t="n">
        <v>0.47197</v>
      </c>
      <c r="S581" t="n">
        <v>0.8241000000000001</v>
      </c>
      <c r="T581" t="n">
        <v>1.6224</v>
      </c>
      <c r="U581" t="n">
        <v>-0.20505</v>
      </c>
      <c r="V581" t="n">
        <v>-0.018073</v>
      </c>
      <c r="W581" t="n">
        <v>-0.11925</v>
      </c>
      <c r="X581" t="n">
        <v>0.051607</v>
      </c>
      <c r="Y581" t="n">
        <v>-0.57487</v>
      </c>
      <c r="Z581" t="n">
        <v>0.23183</v>
      </c>
    </row>
    <row r="582">
      <c r="A582" t="inlineStr">
        <is>
          <t>victory</t>
        </is>
      </c>
      <c r="B582" t="n">
        <v>-0.33667</v>
      </c>
      <c r="C582" t="n">
        <v>0.26043</v>
      </c>
      <c r="D582" t="n">
        <v>-0.98974</v>
      </c>
      <c r="E582" t="n">
        <v>-0.12434</v>
      </c>
      <c r="F582" t="n">
        <v>-0.64006</v>
      </c>
      <c r="G582" t="n">
        <v>-0.16331</v>
      </c>
      <c r="H582" t="n">
        <v>0.73544</v>
      </c>
      <c r="I582" t="n">
        <v>-0.3845</v>
      </c>
      <c r="J582" t="n">
        <v>0.061984</v>
      </c>
      <c r="K582" t="n">
        <v>-0.91966</v>
      </c>
      <c r="L582" t="n">
        <v>0.42205</v>
      </c>
      <c r="M582" t="n">
        <v>0.6992699999999999</v>
      </c>
      <c r="N582" t="n">
        <v>-3.0502</v>
      </c>
      <c r="O582" t="n">
        <v>2.0262</v>
      </c>
      <c r="P582" t="n">
        <v>0.34115</v>
      </c>
      <c r="Q582" t="n">
        <v>-0.69715</v>
      </c>
      <c r="R582" t="n">
        <v>-0.29105</v>
      </c>
      <c r="S582" t="n">
        <v>-0.056913</v>
      </c>
      <c r="T582" t="n">
        <v>0.32436</v>
      </c>
      <c r="U582" t="n">
        <v>0.086477</v>
      </c>
      <c r="V582" t="n">
        <v>-1.3593</v>
      </c>
      <c r="W582" t="n">
        <v>0.73402</v>
      </c>
      <c r="X582" t="n">
        <v>0.37553</v>
      </c>
      <c r="Y582" t="n">
        <v>-0.58872</v>
      </c>
      <c r="Z582" t="n">
        <v>-0.12099</v>
      </c>
    </row>
    <row r="583">
      <c r="A583" t="inlineStr">
        <is>
          <t>peopleschoice</t>
        </is>
      </c>
      <c r="B583" t="n">
        <v>0.95528</v>
      </c>
      <c r="C583" t="n">
        <v>0.097676</v>
      </c>
      <c r="D583" t="n">
        <v>0.26906</v>
      </c>
      <c r="E583" t="n">
        <v>-0.70395</v>
      </c>
      <c r="F583" t="n">
        <v>-1.2274</v>
      </c>
      <c r="G583" t="n">
        <v>-1.8283</v>
      </c>
      <c r="H583" t="n">
        <v>1.0731</v>
      </c>
      <c r="I583" t="n">
        <v>0.58121</v>
      </c>
      <c r="J583" t="n">
        <v>-1.816</v>
      </c>
      <c r="K583" t="n">
        <v>-1.8877</v>
      </c>
      <c r="L583" t="n">
        <v>-0.20374</v>
      </c>
      <c r="M583" t="n">
        <v>0.6656300000000001</v>
      </c>
      <c r="N583" t="n">
        <v>-1.5702</v>
      </c>
      <c r="O583" t="n">
        <v>-0.0115</v>
      </c>
      <c r="P583" t="n">
        <v>-1.0027</v>
      </c>
      <c r="Q583" t="n">
        <v>-0.47396</v>
      </c>
      <c r="R583" t="n">
        <v>-2.4166</v>
      </c>
      <c r="S583" t="n">
        <v>-0.96773</v>
      </c>
      <c r="T583" t="n">
        <v>0.17733</v>
      </c>
      <c r="U583" t="n">
        <v>0.35251</v>
      </c>
      <c r="V583" t="n">
        <v>-1.3573</v>
      </c>
      <c r="W583" t="n">
        <v>1.3376</v>
      </c>
      <c r="X583" t="n">
        <v>-0.10667</v>
      </c>
      <c r="Y583" t="n">
        <v>-1.1566</v>
      </c>
      <c r="Z583" t="n">
        <v>-0.14217</v>
      </c>
    </row>
    <row r="584">
      <c r="A584" t="inlineStr">
        <is>
          <t>counting</t>
        </is>
      </c>
      <c r="B584" t="n">
        <v>0.020394</v>
      </c>
      <c r="C584" t="n">
        <v>1.2633</v>
      </c>
      <c r="D584" t="n">
        <v>0.78307</v>
      </c>
      <c r="E584" t="n">
        <v>0.07358000000000001</v>
      </c>
      <c r="F584" t="n">
        <v>-0.34486</v>
      </c>
      <c r="G584" t="n">
        <v>0.13405</v>
      </c>
      <c r="H584" t="n">
        <v>1.051</v>
      </c>
      <c r="I584" t="n">
        <v>-1.559</v>
      </c>
      <c r="J584" t="n">
        <v>-0.92039</v>
      </c>
      <c r="K584" t="n">
        <v>0.28021</v>
      </c>
      <c r="L584" t="n">
        <v>-0.21896</v>
      </c>
      <c r="M584" t="n">
        <v>0.39956</v>
      </c>
      <c r="N584" t="n">
        <v>-2.5899</v>
      </c>
      <c r="O584" t="n">
        <v>0.67005</v>
      </c>
      <c r="P584" t="n">
        <v>-0.15577</v>
      </c>
      <c r="Q584" t="n">
        <v>-0.032823</v>
      </c>
      <c r="R584" t="n">
        <v>-0.56893</v>
      </c>
      <c r="S584" t="n">
        <v>-0.05888</v>
      </c>
      <c r="T584" t="n">
        <v>0.10934</v>
      </c>
      <c r="U584" t="n">
        <v>-0.427</v>
      </c>
      <c r="V584" t="n">
        <v>-0.87122</v>
      </c>
      <c r="W584" t="n">
        <v>-0.19829</v>
      </c>
      <c r="X584" t="n">
        <v>0.45225</v>
      </c>
      <c r="Y584" t="n">
        <v>0.15559</v>
      </c>
      <c r="Z584" t="n">
        <v>0.014834</v>
      </c>
    </row>
    <row r="585">
      <c r="A585" t="inlineStr">
        <is>
          <t>chato</t>
        </is>
      </c>
      <c r="B585" t="n">
        <v>1.3512</v>
      </c>
      <c r="C585" t="n">
        <v>-0.95261</v>
      </c>
      <c r="D585" t="n">
        <v>-0.15424</v>
      </c>
      <c r="E585" t="n">
        <v>-0.88342</v>
      </c>
      <c r="F585" t="n">
        <v>0.99285</v>
      </c>
      <c r="G585" t="n">
        <v>0.58338</v>
      </c>
      <c r="H585" t="n">
        <v>-0.88134</v>
      </c>
      <c r="I585" t="n">
        <v>0.53907</v>
      </c>
      <c r="J585" t="n">
        <v>0.62319</v>
      </c>
      <c r="K585" t="n">
        <v>-1.1818</v>
      </c>
      <c r="L585" t="n">
        <v>-1.1703</v>
      </c>
      <c r="M585" t="n">
        <v>-1.5295</v>
      </c>
      <c r="N585" t="n">
        <v>-0.5704</v>
      </c>
      <c r="O585" t="n">
        <v>-2.0578</v>
      </c>
      <c r="P585" t="n">
        <v>1.1434</v>
      </c>
      <c r="Q585" t="n">
        <v>-0.61814</v>
      </c>
      <c r="R585" t="n">
        <v>-1.6072</v>
      </c>
      <c r="S585" t="n">
        <v>-0.032276</v>
      </c>
      <c r="T585" t="n">
        <v>-1.1316</v>
      </c>
      <c r="U585" t="n">
        <v>-1.1392</v>
      </c>
      <c r="V585" t="n">
        <v>0.53428</v>
      </c>
      <c r="W585" t="n">
        <v>1.2964</v>
      </c>
      <c r="X585" t="n">
        <v>0.50326</v>
      </c>
      <c r="Y585" t="n">
        <v>1.2833</v>
      </c>
      <c r="Z585" t="n">
        <v>0.61025</v>
      </c>
    </row>
    <row r="586">
      <c r="A586" t="inlineStr">
        <is>
          <t>choices</t>
        </is>
      </c>
      <c r="B586" t="n">
        <v>0.47547</v>
      </c>
      <c r="C586" t="n">
        <v>0.24963</v>
      </c>
      <c r="D586" t="n">
        <v>-0.8728</v>
      </c>
      <c r="E586" t="n">
        <v>0.36835</v>
      </c>
      <c r="F586" t="n">
        <v>0.6222299999999999</v>
      </c>
      <c r="G586" t="n">
        <v>-0.10847</v>
      </c>
      <c r="H586" t="n">
        <v>1.6059</v>
      </c>
      <c r="I586" t="n">
        <v>-1.862</v>
      </c>
      <c r="J586" t="n">
        <v>0.17225</v>
      </c>
      <c r="K586" t="n">
        <v>-0.57773</v>
      </c>
      <c r="L586" t="n">
        <v>-0.6365</v>
      </c>
      <c r="M586" t="n">
        <v>-0.30403</v>
      </c>
      <c r="N586" t="n">
        <v>-3.2484</v>
      </c>
      <c r="O586" t="n">
        <v>0.9303399999999999</v>
      </c>
      <c r="P586" t="n">
        <v>0.073604</v>
      </c>
      <c r="Q586" t="n">
        <v>0.21883</v>
      </c>
      <c r="R586" t="n">
        <v>-0.041963</v>
      </c>
      <c r="S586" t="n">
        <v>-0.64951</v>
      </c>
      <c r="T586" t="n">
        <v>1.2527</v>
      </c>
      <c r="U586" t="n">
        <v>-0.23201</v>
      </c>
      <c r="V586" t="n">
        <v>0.22919</v>
      </c>
      <c r="W586" t="n">
        <v>-0.13854</v>
      </c>
      <c r="X586" t="n">
        <v>-0.75032</v>
      </c>
      <c r="Y586" t="n">
        <v>0.94146</v>
      </c>
      <c r="Z586" t="n">
        <v>-1.0264</v>
      </c>
    </row>
    <row r="587">
      <c r="A587" t="inlineStr">
        <is>
          <t>aburro</t>
        </is>
      </c>
      <c r="B587" t="n">
        <v>0.41956</v>
      </c>
      <c r="C587" t="n">
        <v>1.0427</v>
      </c>
      <c r="D587" t="n">
        <v>-0.34577</v>
      </c>
      <c r="E587" t="n">
        <v>-0.19191</v>
      </c>
      <c r="F587" t="n">
        <v>-0.37764</v>
      </c>
      <c r="G587" t="n">
        <v>0.54331</v>
      </c>
      <c r="H587" t="n">
        <v>-0.42223</v>
      </c>
      <c r="I587" t="n">
        <v>1.1755</v>
      </c>
      <c r="J587" t="n">
        <v>-1.3525</v>
      </c>
      <c r="K587" t="n">
        <v>-0.09403599999999999</v>
      </c>
      <c r="L587" t="n">
        <v>-0.47979</v>
      </c>
      <c r="M587" t="n">
        <v>-1.9032</v>
      </c>
      <c r="N587" t="n">
        <v>-0.53714</v>
      </c>
      <c r="O587" t="n">
        <v>-1.6613</v>
      </c>
      <c r="P587" t="n">
        <v>1.7275</v>
      </c>
      <c r="Q587" t="n">
        <v>0.9632500000000001</v>
      </c>
      <c r="R587" t="n">
        <v>-0.011007</v>
      </c>
      <c r="S587" t="n">
        <v>0.53328</v>
      </c>
      <c r="T587" t="n">
        <v>-0.00076883</v>
      </c>
      <c r="U587" t="n">
        <v>0.40938</v>
      </c>
      <c r="V587" t="n">
        <v>0.72489</v>
      </c>
      <c r="W587" t="n">
        <v>-1.2463</v>
      </c>
      <c r="X587" t="n">
        <v>1.4423</v>
      </c>
      <c r="Y587" t="n">
        <v>2.3135</v>
      </c>
      <c r="Z587" t="n">
        <v>-0.33889</v>
      </c>
    </row>
    <row r="588">
      <c r="A588" t="inlineStr">
        <is>
          <t>shoulder</t>
        </is>
      </c>
      <c r="B588" t="n">
        <v>-1.8481</v>
      </c>
      <c r="C588" t="n">
        <v>-0.7306</v>
      </c>
      <c r="D588" t="n">
        <v>0.092459</v>
      </c>
      <c r="E588" t="n">
        <v>0.15866</v>
      </c>
      <c r="F588" t="n">
        <v>0.74038</v>
      </c>
      <c r="G588" t="n">
        <v>0.11517</v>
      </c>
      <c r="H588" t="n">
        <v>0.058861</v>
      </c>
      <c r="I588" t="n">
        <v>-0.98277</v>
      </c>
      <c r="J588" t="n">
        <v>0.51111</v>
      </c>
      <c r="K588" t="n">
        <v>0.6303</v>
      </c>
      <c r="L588" t="n">
        <v>0.45522</v>
      </c>
      <c r="M588" t="n">
        <v>0.75918</v>
      </c>
      <c r="N588" t="n">
        <v>-3.1424</v>
      </c>
      <c r="O588" t="n">
        <v>-0.31674</v>
      </c>
      <c r="P588" t="n">
        <v>0.13152</v>
      </c>
      <c r="Q588" t="n">
        <v>-0.44509</v>
      </c>
      <c r="R588" t="n">
        <v>0.22493</v>
      </c>
      <c r="S588" t="n">
        <v>-0.31695</v>
      </c>
      <c r="T588" t="n">
        <v>-0.33513</v>
      </c>
      <c r="U588" t="n">
        <v>-0.52117</v>
      </c>
      <c r="V588" t="n">
        <v>-0.16963</v>
      </c>
      <c r="W588" t="n">
        <v>0.66491</v>
      </c>
      <c r="X588" t="n">
        <v>2.3229</v>
      </c>
      <c r="Y588" t="n">
        <v>0.36115</v>
      </c>
      <c r="Z588" t="n">
        <v>-1.5454</v>
      </c>
    </row>
    <row r="589">
      <c r="A589" t="inlineStr">
        <is>
          <t>classy</t>
        </is>
      </c>
      <c r="B589" t="n">
        <v>-1.0946</v>
      </c>
      <c r="C589" t="n">
        <v>-0.41893</v>
      </c>
      <c r="D589" t="n">
        <v>-0.37123</v>
      </c>
      <c r="E589" t="n">
        <v>-0.57765</v>
      </c>
      <c r="F589" t="n">
        <v>0.72283</v>
      </c>
      <c r="G589" t="n">
        <v>1.2525</v>
      </c>
      <c r="H589" t="n">
        <v>0.74934</v>
      </c>
      <c r="I589" t="n">
        <v>-0.91399</v>
      </c>
      <c r="J589" t="n">
        <v>-0.72417</v>
      </c>
      <c r="K589" t="n">
        <v>-0.41839</v>
      </c>
      <c r="L589" t="n">
        <v>-1.1239</v>
      </c>
      <c r="M589" t="n">
        <v>0.5002</v>
      </c>
      <c r="N589" t="n">
        <v>-3.0019</v>
      </c>
      <c r="O589" t="n">
        <v>-0.41344</v>
      </c>
      <c r="P589" t="n">
        <v>-0.20392</v>
      </c>
      <c r="Q589" t="n">
        <v>-0.10862</v>
      </c>
      <c r="R589" t="n">
        <v>0.44322</v>
      </c>
      <c r="S589" t="n">
        <v>-0.98687</v>
      </c>
      <c r="T589" t="n">
        <v>-0.025115</v>
      </c>
      <c r="U589" t="n">
        <v>0.53991</v>
      </c>
      <c r="V589" t="n">
        <v>0.6067399999999999</v>
      </c>
      <c r="W589" t="n">
        <v>0.62039</v>
      </c>
      <c r="X589" t="n">
        <v>-0.36664</v>
      </c>
      <c r="Y589" t="n">
        <v>-0.92052</v>
      </c>
      <c r="Z589" t="n">
        <v>-0.30105</v>
      </c>
    </row>
    <row r="590">
      <c r="A590" t="inlineStr">
        <is>
          <t>chasing</t>
        </is>
      </c>
      <c r="B590" t="n">
        <v>-0.4114</v>
      </c>
      <c r="C590" t="n">
        <v>1.0404</v>
      </c>
      <c r="D590" t="n">
        <v>0.6908300000000001</v>
      </c>
      <c r="E590" t="n">
        <v>0.80616</v>
      </c>
      <c r="F590" t="n">
        <v>-0.76132</v>
      </c>
      <c r="G590" t="n">
        <v>0.69324</v>
      </c>
      <c r="H590" t="n">
        <v>0.88711</v>
      </c>
      <c r="I590" t="n">
        <v>-1.0125</v>
      </c>
      <c r="J590" t="n">
        <v>-0.37549</v>
      </c>
      <c r="K590" t="n">
        <v>0.24722</v>
      </c>
      <c r="L590" t="n">
        <v>-0.35043</v>
      </c>
      <c r="M590" t="n">
        <v>0.32173</v>
      </c>
      <c r="N590" t="n">
        <v>-2.9521</v>
      </c>
      <c r="O590" t="n">
        <v>-0.2402</v>
      </c>
      <c r="P590" t="n">
        <v>-0.53488</v>
      </c>
      <c r="Q590" t="n">
        <v>0.5167</v>
      </c>
      <c r="R590" t="n">
        <v>-0.72196</v>
      </c>
      <c r="S590" t="n">
        <v>-0.34041</v>
      </c>
      <c r="T590" t="n">
        <v>1.0971</v>
      </c>
      <c r="U590" t="n">
        <v>-0.10058</v>
      </c>
      <c r="V590" t="n">
        <v>-0.38963</v>
      </c>
      <c r="W590" t="n">
        <v>0.56151</v>
      </c>
      <c r="X590" t="n">
        <v>0.5581199999999999</v>
      </c>
      <c r="Y590" t="n">
        <v>-1.0051</v>
      </c>
      <c r="Z590" t="n">
        <v>0.048584</v>
      </c>
    </row>
    <row r="591">
      <c r="A591" t="inlineStr">
        <is>
          <t>flower</t>
        </is>
      </c>
      <c r="B591" t="n">
        <v>-1.5308</v>
      </c>
      <c r="C591" t="n">
        <v>-1.1939</v>
      </c>
      <c r="D591" t="n">
        <v>0.58712</v>
      </c>
      <c r="E591" t="n">
        <v>0.51104</v>
      </c>
      <c r="F591" t="n">
        <v>-0.069961</v>
      </c>
      <c r="G591" t="n">
        <v>0.239</v>
      </c>
      <c r="H591" t="n">
        <v>0.94258</v>
      </c>
      <c r="I591" t="n">
        <v>-0.35138</v>
      </c>
      <c r="J591" t="n">
        <v>0.68519</v>
      </c>
      <c r="K591" t="n">
        <v>-0.40802</v>
      </c>
      <c r="L591" t="n">
        <v>1.0201</v>
      </c>
      <c r="M591" t="n">
        <v>0.51157</v>
      </c>
      <c r="N591" t="n">
        <v>-2.632</v>
      </c>
      <c r="O591" t="n">
        <v>-0.21915</v>
      </c>
      <c r="P591" t="n">
        <v>-1.5487</v>
      </c>
      <c r="Q591" t="n">
        <v>-0.21886</v>
      </c>
      <c r="R591" t="n">
        <v>0.76466</v>
      </c>
      <c r="S591" t="n">
        <v>-0.26767</v>
      </c>
      <c r="T591" t="n">
        <v>0.20703</v>
      </c>
      <c r="U591" t="n">
        <v>1.3776</v>
      </c>
      <c r="V591" t="n">
        <v>-1.0291</v>
      </c>
      <c r="W591" t="n">
        <v>-0.17614</v>
      </c>
      <c r="X591" t="n">
        <v>-0.010165</v>
      </c>
      <c r="Y591" t="n">
        <v>0.33209</v>
      </c>
      <c r="Z591" t="n">
        <v>-0.14012</v>
      </c>
    </row>
    <row r="592">
      <c r="A592" t="inlineStr">
        <is>
          <t>anniv</t>
        </is>
      </c>
      <c r="B592" t="n">
        <v>-0.89467</v>
      </c>
      <c r="C592" t="n">
        <v>1.5582</v>
      </c>
      <c r="D592" t="n">
        <v>-0.89371</v>
      </c>
      <c r="E592" t="n">
        <v>0.27004</v>
      </c>
      <c r="F592" t="n">
        <v>-0.06797</v>
      </c>
      <c r="G592" t="n">
        <v>-0.61897</v>
      </c>
      <c r="H592" t="n">
        <v>0.47726</v>
      </c>
      <c r="I592" t="n">
        <v>1.4301</v>
      </c>
      <c r="J592" t="n">
        <v>-0.36702</v>
      </c>
      <c r="K592" t="n">
        <v>-0.45808</v>
      </c>
      <c r="L592" t="n">
        <v>-0.43533</v>
      </c>
      <c r="M592" t="n">
        <v>0.5133799999999999</v>
      </c>
      <c r="N592" t="n">
        <v>-0.82765</v>
      </c>
      <c r="O592" t="n">
        <v>1.8539</v>
      </c>
      <c r="P592" t="n">
        <v>-0.77023</v>
      </c>
      <c r="Q592" t="n">
        <v>0.021903</v>
      </c>
      <c r="R592" t="n">
        <v>-0.1724</v>
      </c>
      <c r="S592" t="n">
        <v>-1.2077</v>
      </c>
      <c r="T592" t="n">
        <v>-2.7269</v>
      </c>
      <c r="U592" t="n">
        <v>1.513</v>
      </c>
      <c r="V592" t="n">
        <v>-1.1018</v>
      </c>
      <c r="W592" t="n">
        <v>0.22504</v>
      </c>
      <c r="X592" t="n">
        <v>-1.1148</v>
      </c>
      <c r="Y592" t="n">
        <v>1.0387</v>
      </c>
      <c r="Z592" t="n">
        <v>-0.39172</v>
      </c>
    </row>
    <row r="593">
      <c r="A593" t="inlineStr">
        <is>
          <t>childish</t>
        </is>
      </c>
      <c r="B593" t="n">
        <v>0.24394</v>
      </c>
      <c r="C593" t="n">
        <v>0.71544</v>
      </c>
      <c r="D593" t="n">
        <v>-0.06998600000000001</v>
      </c>
      <c r="E593" t="n">
        <v>0.14285</v>
      </c>
      <c r="F593" t="n">
        <v>1.113</v>
      </c>
      <c r="G593" t="n">
        <v>0.92236</v>
      </c>
      <c r="H593" t="n">
        <v>1.0179</v>
      </c>
      <c r="I593" t="n">
        <v>-0.18817</v>
      </c>
      <c r="J593" t="n">
        <v>-0.03254</v>
      </c>
      <c r="K593" t="n">
        <v>0.047586</v>
      </c>
      <c r="L593" t="n">
        <v>-1.8065</v>
      </c>
      <c r="M593" t="n">
        <v>1.6291</v>
      </c>
      <c r="N593" t="n">
        <v>-2.5196</v>
      </c>
      <c r="O593" t="n">
        <v>-0.84963</v>
      </c>
      <c r="P593" t="n">
        <v>0.26528</v>
      </c>
      <c r="Q593" t="n">
        <v>0.83568</v>
      </c>
      <c r="R593" t="n">
        <v>-0.43124</v>
      </c>
      <c r="S593" t="n">
        <v>-0.65951</v>
      </c>
      <c r="T593" t="n">
        <v>0.46883</v>
      </c>
      <c r="U593" t="n">
        <v>0.074143</v>
      </c>
      <c r="V593" t="n">
        <v>1.5021</v>
      </c>
      <c r="W593" t="n">
        <v>1.4636</v>
      </c>
      <c r="X593" t="n">
        <v>0.0023846</v>
      </c>
      <c r="Y593" t="n">
        <v>-0.6769500000000001</v>
      </c>
      <c r="Z593" t="n">
        <v>-0.07348399999999999</v>
      </c>
    </row>
    <row r="594">
      <c r="A594" t="inlineStr">
        <is>
          <t>beating</t>
        </is>
      </c>
      <c r="B594" t="n">
        <v>-0.3154</v>
      </c>
      <c r="C594" t="n">
        <v>1.0364</v>
      </c>
      <c r="D594" t="n">
        <v>0.28072</v>
      </c>
      <c r="E594" t="n">
        <v>-0.13023</v>
      </c>
      <c r="F594" t="n">
        <v>-0.71928</v>
      </c>
      <c r="G594" t="n">
        <v>0.28992</v>
      </c>
      <c r="H594" t="n">
        <v>0.45778</v>
      </c>
      <c r="I594" t="n">
        <v>-0.87377</v>
      </c>
      <c r="J594" t="n">
        <v>-0.68465</v>
      </c>
      <c r="K594" t="n">
        <v>0.15982</v>
      </c>
      <c r="L594" t="n">
        <v>-0.46958</v>
      </c>
      <c r="M594" t="n">
        <v>0.94478</v>
      </c>
      <c r="N594" t="n">
        <v>-3.3091</v>
      </c>
      <c r="O594" t="n">
        <v>0.45571</v>
      </c>
      <c r="P594" t="n">
        <v>1.1326</v>
      </c>
      <c r="Q594" t="n">
        <v>-0.30492</v>
      </c>
      <c r="R594" t="n">
        <v>-0.4929</v>
      </c>
      <c r="S594" t="n">
        <v>-0.46935</v>
      </c>
      <c r="T594" t="n">
        <v>0.23329</v>
      </c>
      <c r="U594" t="n">
        <v>-0.69804</v>
      </c>
      <c r="V594" t="n">
        <v>-0.43917</v>
      </c>
      <c r="W594" t="n">
        <v>1.2411</v>
      </c>
      <c r="X594" t="n">
        <v>0.9796</v>
      </c>
      <c r="Y594" t="n">
        <v>-1.7661</v>
      </c>
      <c r="Z594" t="n">
        <v>-0.30649</v>
      </c>
    </row>
    <row r="595">
      <c r="A595" t="inlineStr">
        <is>
          <t>personally</t>
        </is>
      </c>
      <c r="B595" t="n">
        <v>0.00022989</v>
      </c>
      <c r="C595" t="n">
        <v>0.57686</v>
      </c>
      <c r="D595" t="n">
        <v>-0.65565</v>
      </c>
      <c r="E595" t="n">
        <v>-0.34476</v>
      </c>
      <c r="F595" t="n">
        <v>-0.48926</v>
      </c>
      <c r="G595" t="n">
        <v>-0.59222</v>
      </c>
      <c r="H595" t="n">
        <v>0.57922</v>
      </c>
      <c r="I595" t="n">
        <v>-0.93165</v>
      </c>
      <c r="J595" t="n">
        <v>-0.89859</v>
      </c>
      <c r="K595" t="n">
        <v>-0.67148</v>
      </c>
      <c r="L595" t="n">
        <v>-0.2201</v>
      </c>
      <c r="M595" t="n">
        <v>0.58095</v>
      </c>
      <c r="N595" t="n">
        <v>-3.3162</v>
      </c>
      <c r="O595" t="n">
        <v>-0.67383</v>
      </c>
      <c r="P595" t="n">
        <v>-0.21163</v>
      </c>
      <c r="Q595" t="n">
        <v>0.35459</v>
      </c>
      <c r="R595" t="n">
        <v>0.5041099999999999</v>
      </c>
      <c r="S595" t="n">
        <v>-0.14817</v>
      </c>
      <c r="T595" t="n">
        <v>0.54527</v>
      </c>
      <c r="U595" t="n">
        <v>-1.6097</v>
      </c>
      <c r="V595" t="n">
        <v>0.46593</v>
      </c>
      <c r="W595" t="n">
        <v>0.11455</v>
      </c>
      <c r="X595" t="n">
        <v>-0.3572</v>
      </c>
      <c r="Y595" t="n">
        <v>0.043739</v>
      </c>
      <c r="Z595" t="n">
        <v>-0.89149</v>
      </c>
    </row>
    <row r="596">
      <c r="A596" t="inlineStr">
        <is>
          <t>username</t>
        </is>
      </c>
      <c r="B596" t="n">
        <v>1.0037</v>
      </c>
      <c r="C596" t="n">
        <v>0.36834</v>
      </c>
      <c r="D596" t="n">
        <v>0.37116</v>
      </c>
      <c r="E596" t="n">
        <v>0.13528</v>
      </c>
      <c r="F596" t="n">
        <v>1.1266</v>
      </c>
      <c r="G596" t="n">
        <v>-1.5492</v>
      </c>
      <c r="H596" t="n">
        <v>0.67112</v>
      </c>
      <c r="I596" t="n">
        <v>0.64403</v>
      </c>
      <c r="J596" t="n">
        <v>-0.34937</v>
      </c>
      <c r="K596" t="n">
        <v>0.35391</v>
      </c>
      <c r="L596" t="n">
        <v>0.038354</v>
      </c>
      <c r="M596" t="n">
        <v>0.14013</v>
      </c>
      <c r="N596" t="n">
        <v>-2.263</v>
      </c>
      <c r="O596" t="n">
        <v>-1.3237</v>
      </c>
      <c r="P596" t="n">
        <v>-0.17101</v>
      </c>
      <c r="Q596" t="n">
        <v>1.1578</v>
      </c>
      <c r="R596" t="n">
        <v>0.58419</v>
      </c>
      <c r="S596" t="n">
        <v>-0.67465</v>
      </c>
      <c r="T596" t="n">
        <v>-0.2422</v>
      </c>
      <c r="U596" t="n">
        <v>-0.15268</v>
      </c>
      <c r="V596" t="n">
        <v>-0.53498</v>
      </c>
      <c r="W596" t="n">
        <v>-0.62584</v>
      </c>
      <c r="X596" t="n">
        <v>-0.29715</v>
      </c>
      <c r="Y596" t="n">
        <v>1.0221</v>
      </c>
      <c r="Z596" t="n">
        <v>-1.745</v>
      </c>
    </row>
    <row r="597">
      <c r="A597" t="inlineStr">
        <is>
          <t>attached</t>
        </is>
      </c>
      <c r="B597" t="n">
        <v>-0.1501</v>
      </c>
      <c r="C597" t="n">
        <v>-0.47251</v>
      </c>
      <c r="D597" t="n">
        <v>0.050619</v>
      </c>
      <c r="E597" t="n">
        <v>-0.20174</v>
      </c>
      <c r="F597" t="n">
        <v>0.52299</v>
      </c>
      <c r="G597" t="n">
        <v>0.36245</v>
      </c>
      <c r="H597" t="n">
        <v>0.75348</v>
      </c>
      <c r="I597" t="n">
        <v>-0.91035</v>
      </c>
      <c r="J597" t="n">
        <v>-0.38342</v>
      </c>
      <c r="K597" t="n">
        <v>0.24705</v>
      </c>
      <c r="L597" t="n">
        <v>-0.75971</v>
      </c>
      <c r="M597" t="n">
        <v>1.1222</v>
      </c>
      <c r="N597" t="n">
        <v>-2.8185</v>
      </c>
      <c r="O597" t="n">
        <v>-0.47409</v>
      </c>
      <c r="P597" t="n">
        <v>-0.7160300000000001</v>
      </c>
      <c r="Q597" t="n">
        <v>1.1227</v>
      </c>
      <c r="R597" t="n">
        <v>0.097036</v>
      </c>
      <c r="S597" t="n">
        <v>-0.09733899999999999</v>
      </c>
      <c r="T597" t="n">
        <v>1.4458</v>
      </c>
      <c r="U597" t="n">
        <v>-1.1756</v>
      </c>
      <c r="V597" t="n">
        <v>0.12038</v>
      </c>
      <c r="W597" t="n">
        <v>-0.14103</v>
      </c>
      <c r="X597" t="n">
        <v>0.6428700000000001</v>
      </c>
      <c r="Y597" t="n">
        <v>0.055336</v>
      </c>
      <c r="Z597" t="n">
        <v>-1.4147</v>
      </c>
    </row>
    <row r="598">
      <c r="A598" t="inlineStr">
        <is>
          <t>xfactor</t>
        </is>
      </c>
      <c r="B598" t="n">
        <v>0.012237</v>
      </c>
      <c r="C598" t="n">
        <v>0.34054</v>
      </c>
      <c r="D598" t="n">
        <v>0.76013</v>
      </c>
      <c r="E598" t="n">
        <v>-1.1822</v>
      </c>
      <c r="F598" t="n">
        <v>-0.8111699999999999</v>
      </c>
      <c r="G598" t="n">
        <v>-1.3333</v>
      </c>
      <c r="H598" t="n">
        <v>1.0188</v>
      </c>
      <c r="I598" t="n">
        <v>0.15779</v>
      </c>
      <c r="J598" t="n">
        <v>-0.61222</v>
      </c>
      <c r="K598" t="n">
        <v>-0.92522</v>
      </c>
      <c r="L598" t="n">
        <v>-0.56436</v>
      </c>
      <c r="M598" t="n">
        <v>0.40791</v>
      </c>
      <c r="N598" t="n">
        <v>-2.368</v>
      </c>
      <c r="O598" t="n">
        <v>0.1158</v>
      </c>
      <c r="P598" t="n">
        <v>0.51434</v>
      </c>
      <c r="Q598" t="n">
        <v>1.0344</v>
      </c>
      <c r="R598" t="n">
        <v>-0.8955</v>
      </c>
      <c r="S598" t="n">
        <v>-0.50325</v>
      </c>
      <c r="T598" t="n">
        <v>-1.0092</v>
      </c>
      <c r="U598" t="n">
        <v>0.20948</v>
      </c>
      <c r="V598" t="n">
        <v>-1.1462</v>
      </c>
      <c r="W598" t="n">
        <v>0.95174</v>
      </c>
      <c r="X598" t="n">
        <v>-0.39508</v>
      </c>
      <c r="Y598" t="n">
        <v>-0.57347</v>
      </c>
      <c r="Z598" t="n">
        <v>-0.31954</v>
      </c>
    </row>
    <row r="599">
      <c r="A599" t="inlineStr">
        <is>
          <t>fights</t>
        </is>
      </c>
      <c r="B599" t="n">
        <v>0.10951</v>
      </c>
      <c r="C599" t="n">
        <v>1.0145</v>
      </c>
      <c r="D599" t="n">
        <v>0.15825</v>
      </c>
      <c r="E599" t="n">
        <v>0.41922</v>
      </c>
      <c r="F599" t="n">
        <v>0.29382</v>
      </c>
      <c r="G599" t="n">
        <v>-0.11903</v>
      </c>
      <c r="H599" t="n">
        <v>1.445</v>
      </c>
      <c r="I599" t="n">
        <v>-1.2796</v>
      </c>
      <c r="J599" t="n">
        <v>-0.57966</v>
      </c>
      <c r="K599" t="n">
        <v>-0.16485</v>
      </c>
      <c r="L599" t="n">
        <v>0.13233</v>
      </c>
      <c r="M599" t="n">
        <v>0.63064</v>
      </c>
      <c r="N599" t="n">
        <v>-2.7127</v>
      </c>
      <c r="O599" t="n">
        <v>0.71668</v>
      </c>
      <c r="P599" t="n">
        <v>0.62422</v>
      </c>
      <c r="Q599" t="n">
        <v>0.72595</v>
      </c>
      <c r="R599" t="n">
        <v>-0.74407</v>
      </c>
      <c r="S599" t="n">
        <v>-0.62957</v>
      </c>
      <c r="T599" t="n">
        <v>0.91499</v>
      </c>
      <c r="U599" t="n">
        <v>-0.21689</v>
      </c>
      <c r="V599" t="n">
        <v>0.24613</v>
      </c>
      <c r="W599" t="n">
        <v>1.0386</v>
      </c>
      <c r="X599" t="n">
        <v>0.67236</v>
      </c>
      <c r="Y599" t="n">
        <v>-0.86253</v>
      </c>
      <c r="Z599" t="n">
        <v>-0.08128100000000001</v>
      </c>
    </row>
    <row r="600">
      <c r="A600" t="inlineStr">
        <is>
          <t>teaser</t>
        </is>
      </c>
      <c r="B600" t="n">
        <v>0.026282</v>
      </c>
      <c r="C600" t="n">
        <v>-0.51591</v>
      </c>
      <c r="D600" t="n">
        <v>1.2373</v>
      </c>
      <c r="E600" t="n">
        <v>0.016382</v>
      </c>
      <c r="F600" t="n">
        <v>0.81501</v>
      </c>
      <c r="G600" t="n">
        <v>-1.0647</v>
      </c>
      <c r="H600" t="n">
        <v>1.4479</v>
      </c>
      <c r="I600" t="n">
        <v>1.0877</v>
      </c>
      <c r="J600" t="n">
        <v>0.52364</v>
      </c>
      <c r="K600" t="n">
        <v>-1.4797</v>
      </c>
      <c r="L600" t="n">
        <v>0.58349</v>
      </c>
      <c r="M600" t="n">
        <v>1.268</v>
      </c>
      <c r="N600" t="n">
        <v>-1.8021</v>
      </c>
      <c r="O600" t="n">
        <v>0.25109</v>
      </c>
      <c r="P600" t="n">
        <v>-0.2417</v>
      </c>
      <c r="Q600" t="n">
        <v>0.41181</v>
      </c>
      <c r="R600" t="n">
        <v>-0.44604</v>
      </c>
      <c r="S600" t="n">
        <v>0.45323</v>
      </c>
      <c r="T600" t="n">
        <v>-1.2901</v>
      </c>
      <c r="U600" t="n">
        <v>0.13415</v>
      </c>
      <c r="V600" t="n">
        <v>-1.2757</v>
      </c>
      <c r="W600" t="n">
        <v>-0.34525</v>
      </c>
      <c r="X600" t="n">
        <v>0.058047</v>
      </c>
      <c r="Y600" t="n">
        <v>-0.13564</v>
      </c>
      <c r="Z600" t="n">
        <v>-0.39302</v>
      </c>
    </row>
    <row r="601">
      <c r="A601" t="inlineStr">
        <is>
          <t>location</t>
        </is>
      </c>
      <c r="B601" t="n">
        <v>-0.4384</v>
      </c>
      <c r="C601" t="n">
        <v>0.015277</v>
      </c>
      <c r="D601" t="n">
        <v>-0.3036</v>
      </c>
      <c r="E601" t="n">
        <v>-0.76152</v>
      </c>
      <c r="F601" t="n">
        <v>0.42007</v>
      </c>
      <c r="G601" t="n">
        <v>-0.62829</v>
      </c>
      <c r="H601" t="n">
        <v>0.29404</v>
      </c>
      <c r="I601" t="n">
        <v>-0.6501400000000001</v>
      </c>
      <c r="J601" t="n">
        <v>1.027</v>
      </c>
      <c r="K601" t="n">
        <v>0.30873</v>
      </c>
      <c r="L601" t="n">
        <v>0.056123</v>
      </c>
      <c r="M601" t="n">
        <v>0.20446</v>
      </c>
      <c r="N601" t="n">
        <v>-2.9707</v>
      </c>
      <c r="O601" t="n">
        <v>0.458</v>
      </c>
      <c r="P601" t="n">
        <v>1.1118</v>
      </c>
      <c r="Q601" t="n">
        <v>-0.1199</v>
      </c>
      <c r="R601" t="n">
        <v>0.88787</v>
      </c>
      <c r="S601" t="n">
        <v>0.064293</v>
      </c>
      <c r="T601" t="n">
        <v>-0.4725</v>
      </c>
      <c r="U601" t="n">
        <v>0.050699</v>
      </c>
      <c r="V601" t="n">
        <v>-0.15559</v>
      </c>
      <c r="W601" t="n">
        <v>-2.0551</v>
      </c>
      <c r="X601" t="n">
        <v>-0.45334</v>
      </c>
      <c r="Y601" t="n">
        <v>-0.35544</v>
      </c>
      <c r="Z601" t="n">
        <v>-0.7950700000000001</v>
      </c>
    </row>
    <row r="602">
      <c r="A602" t="inlineStr">
        <is>
          <t>industry</t>
        </is>
      </c>
      <c r="B602" t="n">
        <v>0.19169</v>
      </c>
      <c r="C602" t="n">
        <v>0.789</v>
      </c>
      <c r="D602" t="n">
        <v>-1.0771</v>
      </c>
      <c r="E602" t="n">
        <v>-0.85667</v>
      </c>
      <c r="F602" t="n">
        <v>1.4101</v>
      </c>
      <c r="G602" t="n">
        <v>-0.49755</v>
      </c>
      <c r="H602" t="n">
        <v>0.33435</v>
      </c>
      <c r="I602" t="n">
        <v>-1.3821</v>
      </c>
      <c r="J602" t="n">
        <v>1.2286</v>
      </c>
      <c r="K602" t="n">
        <v>-0.21661</v>
      </c>
      <c r="L602" t="n">
        <v>0.52323</v>
      </c>
      <c r="M602" t="n">
        <v>0.12149</v>
      </c>
      <c r="N602" t="n">
        <v>-3.6278</v>
      </c>
      <c r="O602" t="n">
        <v>0.37498</v>
      </c>
      <c r="P602" t="n">
        <v>0.43706</v>
      </c>
      <c r="Q602" t="n">
        <v>-0.36848</v>
      </c>
      <c r="R602" t="n">
        <v>-0.077401</v>
      </c>
      <c r="S602" t="n">
        <v>0.15951</v>
      </c>
      <c r="T602" t="n">
        <v>0.9638</v>
      </c>
      <c r="U602" t="n">
        <v>0.27568</v>
      </c>
      <c r="V602" t="n">
        <v>-0.095748</v>
      </c>
      <c r="W602" t="n">
        <v>-0.82426</v>
      </c>
      <c r="X602" t="n">
        <v>-0.77179</v>
      </c>
      <c r="Y602" t="n">
        <v>-0.8537400000000001</v>
      </c>
      <c r="Z602" t="n">
        <v>0.20003</v>
      </c>
    </row>
    <row r="603">
      <c r="A603" t="inlineStr">
        <is>
          <t>charity</t>
        </is>
      </c>
      <c r="B603" t="n">
        <v>-1.2915</v>
      </c>
      <c r="C603" t="n">
        <v>1.06</v>
      </c>
      <c r="D603" t="n">
        <v>-0.82474</v>
      </c>
      <c r="E603" t="n">
        <v>-0.51496</v>
      </c>
      <c r="F603" t="n">
        <v>0.63254</v>
      </c>
      <c r="G603" t="n">
        <v>-1.252</v>
      </c>
      <c r="H603" t="n">
        <v>0.59584</v>
      </c>
      <c r="I603" t="n">
        <v>-0.94293</v>
      </c>
      <c r="J603" t="n">
        <v>-0.098361</v>
      </c>
      <c r="K603" t="n">
        <v>-0.57752</v>
      </c>
      <c r="L603" t="n">
        <v>0.8605699999999999</v>
      </c>
      <c r="M603" t="n">
        <v>-0.3126</v>
      </c>
      <c r="N603" t="n">
        <v>-3.1687</v>
      </c>
      <c r="O603" t="n">
        <v>0.78259</v>
      </c>
      <c r="P603" t="n">
        <v>-0.21957</v>
      </c>
      <c r="Q603" t="n">
        <v>-0.18468</v>
      </c>
      <c r="R603" t="n">
        <v>-0.018289</v>
      </c>
      <c r="S603" t="n">
        <v>-0.59231</v>
      </c>
      <c r="T603" t="n">
        <v>-0.2034</v>
      </c>
      <c r="U603" t="n">
        <v>-0.2921</v>
      </c>
      <c r="V603" t="n">
        <v>-1.063</v>
      </c>
      <c r="W603" t="n">
        <v>-0.14874</v>
      </c>
      <c r="X603" t="n">
        <v>-0.82032</v>
      </c>
      <c r="Y603" t="n">
        <v>-0.68123</v>
      </c>
      <c r="Z603" t="n">
        <v>-0.024333</v>
      </c>
    </row>
    <row r="604">
      <c r="A604" t="inlineStr">
        <is>
          <t>thailand</t>
        </is>
      </c>
      <c r="B604" t="n">
        <v>-0.82721</v>
      </c>
      <c r="C604" t="n">
        <v>-0.49063</v>
      </c>
      <c r="D604" t="n">
        <v>0.13799</v>
      </c>
      <c r="E604" t="n">
        <v>-1.6378</v>
      </c>
      <c r="F604" t="n">
        <v>-0.92191</v>
      </c>
      <c r="G604" t="n">
        <v>-0.50997</v>
      </c>
      <c r="H604" t="n">
        <v>0.6348</v>
      </c>
      <c r="I604" t="n">
        <v>0.4865</v>
      </c>
      <c r="J604" t="n">
        <v>1.1124</v>
      </c>
      <c r="K604" t="n">
        <v>0.40722</v>
      </c>
      <c r="L604" t="n">
        <v>-0.16265</v>
      </c>
      <c r="M604" t="n">
        <v>0.37381</v>
      </c>
      <c r="N604" t="n">
        <v>-1.9109</v>
      </c>
      <c r="O604" t="n">
        <v>0.4451</v>
      </c>
      <c r="P604" t="n">
        <v>-0.097438</v>
      </c>
      <c r="Q604" t="n">
        <v>-0.44018</v>
      </c>
      <c r="R604" t="n">
        <v>-0.48195</v>
      </c>
      <c r="S604" t="n">
        <v>-0.86593</v>
      </c>
      <c r="T604" t="n">
        <v>-0.7123699999999999</v>
      </c>
      <c r="U604" t="n">
        <v>0.4973</v>
      </c>
      <c r="V604" t="n">
        <v>-0.75823</v>
      </c>
      <c r="W604" t="n">
        <v>-0.46663</v>
      </c>
      <c r="X604" t="n">
        <v>-0.99121</v>
      </c>
      <c r="Y604" t="n">
        <v>-1.3689</v>
      </c>
      <c r="Z604" t="n">
        <v>0.052382</v>
      </c>
    </row>
    <row r="605">
      <c r="A605" t="inlineStr">
        <is>
          <t>andrew</t>
        </is>
      </c>
      <c r="B605" t="n">
        <v>-0.52372</v>
      </c>
      <c r="C605" t="n">
        <v>0.11881</v>
      </c>
      <c r="D605" t="n">
        <v>0.36962</v>
      </c>
      <c r="E605" t="n">
        <v>0.020968</v>
      </c>
      <c r="F605" t="n">
        <v>-0.73345</v>
      </c>
      <c r="G605" t="n">
        <v>-0.76649</v>
      </c>
      <c r="H605" t="n">
        <v>0.16366</v>
      </c>
      <c r="I605" t="n">
        <v>0.42453</v>
      </c>
      <c r="J605" t="n">
        <v>0.021107</v>
      </c>
      <c r="K605" t="n">
        <v>-1.3578</v>
      </c>
      <c r="L605" t="n">
        <v>0.1385</v>
      </c>
      <c r="M605" t="n">
        <v>0.9335599999999999</v>
      </c>
      <c r="N605" t="n">
        <v>-3.0366</v>
      </c>
      <c r="O605" t="n">
        <v>-0.80325</v>
      </c>
      <c r="P605" t="n">
        <v>1.5176</v>
      </c>
      <c r="Q605" t="n">
        <v>-1.0258</v>
      </c>
      <c r="R605" t="n">
        <v>-0.1125</v>
      </c>
      <c r="S605" t="n">
        <v>-0.33095</v>
      </c>
      <c r="T605" t="n">
        <v>-0.26022</v>
      </c>
      <c r="U605" t="n">
        <v>-0.070067</v>
      </c>
      <c r="V605" t="n">
        <v>0.24269</v>
      </c>
      <c r="W605" t="n">
        <v>0.52445</v>
      </c>
      <c r="X605" t="n">
        <v>-0.43506</v>
      </c>
      <c r="Y605" t="n">
        <v>-0.30444</v>
      </c>
      <c r="Z605" t="n">
        <v>-0.92943</v>
      </c>
    </row>
    <row r="606">
      <c r="A606" t="inlineStr">
        <is>
          <t>invited</t>
        </is>
      </c>
      <c r="B606" t="n">
        <v>-1.0646</v>
      </c>
      <c r="C606" t="n">
        <v>1.6113</v>
      </c>
      <c r="D606" t="n">
        <v>0.6293800000000001</v>
      </c>
      <c r="E606" t="n">
        <v>-1.0375</v>
      </c>
      <c r="F606" t="n">
        <v>-0.27029</v>
      </c>
      <c r="G606" t="n">
        <v>-0.9229000000000001</v>
      </c>
      <c r="H606" t="n">
        <v>0.45436</v>
      </c>
      <c r="I606" t="n">
        <v>-0.82177</v>
      </c>
      <c r="J606" t="n">
        <v>-0.56802</v>
      </c>
      <c r="K606" t="n">
        <v>-0.46121</v>
      </c>
      <c r="L606" t="n">
        <v>-0.50807</v>
      </c>
      <c r="M606" t="n">
        <v>0.09587900000000001</v>
      </c>
      <c r="N606" t="n">
        <v>-3.1304</v>
      </c>
      <c r="O606" t="n">
        <v>-0.04609</v>
      </c>
      <c r="P606" t="n">
        <v>-0.008015100000000001</v>
      </c>
      <c r="Q606" t="n">
        <v>0.50217</v>
      </c>
      <c r="R606" t="n">
        <v>0.7658199999999999</v>
      </c>
      <c r="S606" t="n">
        <v>-0.82707</v>
      </c>
      <c r="T606" t="n">
        <v>-0.35546</v>
      </c>
      <c r="U606" t="n">
        <v>-0.88733</v>
      </c>
      <c r="V606" t="n">
        <v>0.57459</v>
      </c>
      <c r="W606" t="n">
        <v>0.013859</v>
      </c>
      <c r="X606" t="n">
        <v>-0.59575</v>
      </c>
      <c r="Y606" t="n">
        <v>-0.34628</v>
      </c>
      <c r="Z606" t="n">
        <v>-0.29347</v>
      </c>
    </row>
    <row r="607">
      <c r="A607" t="inlineStr">
        <is>
          <t>however</t>
        </is>
      </c>
      <c r="B607" t="n">
        <v>0.062885</v>
      </c>
      <c r="C607" t="n">
        <v>-0.23772</v>
      </c>
      <c r="D607" t="n">
        <v>-0.75661</v>
      </c>
      <c r="E607" t="n">
        <v>-0.2329</v>
      </c>
      <c r="F607" t="n">
        <v>-0.52966</v>
      </c>
      <c r="G607" t="n">
        <v>0.23644</v>
      </c>
      <c r="H607" t="n">
        <v>1.0061</v>
      </c>
      <c r="I607" t="n">
        <v>-1.4056</v>
      </c>
      <c r="J607" t="n">
        <v>-0.43375</v>
      </c>
      <c r="K607" t="n">
        <v>-0.38681</v>
      </c>
      <c r="L607" t="n">
        <v>-0.24073</v>
      </c>
      <c r="M607" t="n">
        <v>0.66848</v>
      </c>
      <c r="N607" t="n">
        <v>-3.4715</v>
      </c>
      <c r="O607" t="n">
        <v>0.43746</v>
      </c>
      <c r="P607" t="n">
        <v>0.42545</v>
      </c>
      <c r="Q607" t="n">
        <v>0.32894</v>
      </c>
      <c r="R607" t="n">
        <v>0.38825</v>
      </c>
      <c r="S607" t="n">
        <v>-0.060203</v>
      </c>
      <c r="T607" t="n">
        <v>0.5609</v>
      </c>
      <c r="U607" t="n">
        <v>-0.75862</v>
      </c>
      <c r="V607" t="n">
        <v>0.33467</v>
      </c>
      <c r="W607" t="n">
        <v>-0.09525</v>
      </c>
      <c r="X607" t="n">
        <v>-0.53513</v>
      </c>
      <c r="Y607" t="n">
        <v>0.49202</v>
      </c>
      <c r="Z607" t="n">
        <v>-0.80432</v>
      </c>
    </row>
    <row r="608">
      <c r="A608" t="inlineStr">
        <is>
          <t>closing</t>
        </is>
      </c>
      <c r="B608" t="n">
        <v>-0.3026</v>
      </c>
      <c r="C608" t="n">
        <v>0.7842</v>
      </c>
      <c r="D608" t="n">
        <v>0.77261</v>
      </c>
      <c r="E608" t="n">
        <v>-0.48159</v>
      </c>
      <c r="F608" t="n">
        <v>-0.17398</v>
      </c>
      <c r="G608" t="n">
        <v>-0.43542</v>
      </c>
      <c r="H608" t="n">
        <v>1.0681</v>
      </c>
      <c r="I608" t="n">
        <v>-1.1615</v>
      </c>
      <c r="J608" t="n">
        <v>0.57003</v>
      </c>
      <c r="K608" t="n">
        <v>0.32362</v>
      </c>
      <c r="L608" t="n">
        <v>0.21573</v>
      </c>
      <c r="M608" t="n">
        <v>0.4189</v>
      </c>
      <c r="N608" t="n">
        <v>-2.6095</v>
      </c>
      <c r="O608" t="n">
        <v>1.0101</v>
      </c>
      <c r="P608" t="n">
        <v>0.66394</v>
      </c>
      <c r="Q608" t="n">
        <v>0.21517</v>
      </c>
      <c r="R608" t="n">
        <v>-0.32294</v>
      </c>
      <c r="S608" t="n">
        <v>-0.30365</v>
      </c>
      <c r="T608" t="n">
        <v>-0.77763</v>
      </c>
      <c r="U608" t="n">
        <v>-0.73225</v>
      </c>
      <c r="V608" t="n">
        <v>-1.3428</v>
      </c>
      <c r="W608" t="n">
        <v>-0.36642</v>
      </c>
      <c r="X608" t="n">
        <v>0.0036323</v>
      </c>
      <c r="Y608" t="n">
        <v>-0.34856</v>
      </c>
      <c r="Z608" t="n">
        <v>-0.28868</v>
      </c>
    </row>
    <row r="609">
      <c r="A609" t="inlineStr">
        <is>
          <t>acoustic</t>
        </is>
      </c>
      <c r="B609" t="n">
        <v>-0.50811</v>
      </c>
      <c r="C609" t="n">
        <v>-0.0037114</v>
      </c>
      <c r="D609" t="n">
        <v>1.1665</v>
      </c>
      <c r="E609" t="n">
        <v>-0.040817</v>
      </c>
      <c r="F609" t="n">
        <v>0.026333</v>
      </c>
      <c r="G609" t="n">
        <v>-0.55965</v>
      </c>
      <c r="H609" t="n">
        <v>1.5266</v>
      </c>
      <c r="I609" t="n">
        <v>0.20314</v>
      </c>
      <c r="J609" t="n">
        <v>0.08254</v>
      </c>
      <c r="K609" t="n">
        <v>-1.5787</v>
      </c>
      <c r="L609" t="n">
        <v>0.17364</v>
      </c>
      <c r="M609" t="n">
        <v>0.49431</v>
      </c>
      <c r="N609" t="n">
        <v>-2.5565</v>
      </c>
      <c r="O609" t="n">
        <v>-0.2428</v>
      </c>
      <c r="P609" t="n">
        <v>-0.43572</v>
      </c>
      <c r="Q609" t="n">
        <v>1.3374</v>
      </c>
      <c r="R609" t="n">
        <v>-0.4612</v>
      </c>
      <c r="S609" t="n">
        <v>0.19978</v>
      </c>
      <c r="T609" t="n">
        <v>0.1544</v>
      </c>
      <c r="U609" t="n">
        <v>0.49662</v>
      </c>
      <c r="V609" t="n">
        <v>-1.5426</v>
      </c>
      <c r="W609" t="n">
        <v>-0.41491</v>
      </c>
      <c r="X609" t="n">
        <v>-0.069116</v>
      </c>
      <c r="Y609" t="n">
        <v>-0.079191</v>
      </c>
      <c r="Z609" t="n">
        <v>0.54517</v>
      </c>
    </row>
    <row r="610">
      <c r="A610" t="inlineStr">
        <is>
          <t>expecting</t>
        </is>
      </c>
      <c r="B610" t="n">
        <v>-0.67022</v>
      </c>
      <c r="C610" t="n">
        <v>0.90798</v>
      </c>
      <c r="D610" t="n">
        <v>0.31367</v>
      </c>
      <c r="E610" t="n">
        <v>0.28266</v>
      </c>
      <c r="F610" t="n">
        <v>-0.63452</v>
      </c>
      <c r="G610" t="n">
        <v>0.30395</v>
      </c>
      <c r="H610" t="n">
        <v>1.0291</v>
      </c>
      <c r="I610" t="n">
        <v>-1.3225</v>
      </c>
      <c r="J610" t="n">
        <v>-0.81053</v>
      </c>
      <c r="K610" t="n">
        <v>-0.6201100000000001</v>
      </c>
      <c r="L610" t="n">
        <v>-0.16617</v>
      </c>
      <c r="M610" t="n">
        <v>0.86854</v>
      </c>
      <c r="N610" t="n">
        <v>-3.1384</v>
      </c>
      <c r="O610" t="n">
        <v>0.21892</v>
      </c>
      <c r="P610" t="n">
        <v>0.33658</v>
      </c>
      <c r="Q610" t="n">
        <v>0.13717</v>
      </c>
      <c r="R610" t="n">
        <v>0.3988</v>
      </c>
      <c r="S610" t="n">
        <v>-0.33649</v>
      </c>
      <c r="T610" t="n">
        <v>0.029778</v>
      </c>
      <c r="U610" t="n">
        <v>-1.0041</v>
      </c>
      <c r="V610" t="n">
        <v>0.19393</v>
      </c>
      <c r="W610" t="n">
        <v>0.13224</v>
      </c>
      <c r="X610" t="n">
        <v>-0.29395</v>
      </c>
      <c r="Y610" t="n">
        <v>-0.042841</v>
      </c>
      <c r="Z610" t="n">
        <v>-1.114</v>
      </c>
    </row>
    <row r="611">
      <c r="A611" t="inlineStr">
        <is>
          <t>teamo</t>
        </is>
      </c>
      <c r="B611" t="n">
        <v>-1.3734</v>
      </c>
      <c r="C611" t="n">
        <v>-0.55213</v>
      </c>
      <c r="D611" t="n">
        <v>-0.1946</v>
      </c>
      <c r="E611" t="n">
        <v>0.28708</v>
      </c>
      <c r="F611" t="n">
        <v>-0.076267</v>
      </c>
      <c r="G611" t="n">
        <v>-0.53516</v>
      </c>
      <c r="H611" t="n">
        <v>0.10125</v>
      </c>
      <c r="I611" t="n">
        <v>2.1658</v>
      </c>
      <c r="J611" t="n">
        <v>-1.8604</v>
      </c>
      <c r="K611" t="n">
        <v>-0.83592</v>
      </c>
      <c r="L611" t="n">
        <v>-0.83028</v>
      </c>
      <c r="M611" t="n">
        <v>-1.8887</v>
      </c>
      <c r="N611" t="n">
        <v>-0.50421</v>
      </c>
      <c r="O611" t="n">
        <v>-0.83009</v>
      </c>
      <c r="P611" t="n">
        <v>0.1312</v>
      </c>
      <c r="Q611" t="n">
        <v>-0.89949</v>
      </c>
      <c r="R611" t="n">
        <v>-0.38433</v>
      </c>
      <c r="S611" t="n">
        <v>-0.25565</v>
      </c>
      <c r="T611" t="n">
        <v>-0.48424</v>
      </c>
      <c r="U611" t="n">
        <v>0.98472</v>
      </c>
      <c r="V611" t="n">
        <v>0.49966</v>
      </c>
      <c r="W611" t="n">
        <v>0.10227</v>
      </c>
      <c r="X611" t="n">
        <v>0.85607</v>
      </c>
      <c r="Y611" t="n">
        <v>2.0807</v>
      </c>
      <c r="Z611" t="n">
        <v>-0.45604</v>
      </c>
    </row>
    <row r="612">
      <c r="A612" t="inlineStr">
        <is>
          <t>arthur</t>
        </is>
      </c>
      <c r="B612" t="n">
        <v>0.0036693</v>
      </c>
      <c r="C612" t="n">
        <v>-0.88028</v>
      </c>
      <c r="D612" t="n">
        <v>0.96285</v>
      </c>
      <c r="E612" t="n">
        <v>0.34226</v>
      </c>
      <c r="F612" t="n">
        <v>-0.78349</v>
      </c>
      <c r="G612" t="n">
        <v>-0.81268</v>
      </c>
      <c r="H612" t="n">
        <v>-0.043344</v>
      </c>
      <c r="I612" t="n">
        <v>0.42806</v>
      </c>
      <c r="J612" t="n">
        <v>0.27141</v>
      </c>
      <c r="K612" t="n">
        <v>-2.1435</v>
      </c>
      <c r="L612" t="n">
        <v>-0.38214</v>
      </c>
      <c r="M612" t="n">
        <v>-0.47126</v>
      </c>
      <c r="N612" t="n">
        <v>-2.414</v>
      </c>
      <c r="O612" t="n">
        <v>-0.98229</v>
      </c>
      <c r="P612" t="n">
        <v>0.057643</v>
      </c>
      <c r="Q612" t="n">
        <v>-0.47118</v>
      </c>
      <c r="R612" t="n">
        <v>-1.4915</v>
      </c>
      <c r="S612" t="n">
        <v>-0.10372</v>
      </c>
      <c r="T612" t="n">
        <v>-0.77194</v>
      </c>
      <c r="U612" t="n">
        <v>-0.11056</v>
      </c>
      <c r="V612" t="n">
        <v>-0.13055</v>
      </c>
      <c r="W612" t="n">
        <v>0.7186</v>
      </c>
      <c r="X612" t="n">
        <v>-0.58591</v>
      </c>
      <c r="Y612" t="n">
        <v>-0.43136</v>
      </c>
      <c r="Z612" t="n">
        <v>-0.21752</v>
      </c>
    </row>
    <row r="613">
      <c r="A613" t="inlineStr">
        <is>
          <t>exhausted</t>
        </is>
      </c>
      <c r="B613" t="n">
        <v>-1.2655</v>
      </c>
      <c r="C613" t="n">
        <v>0.24269</v>
      </c>
      <c r="D613" t="n">
        <v>0.1595</v>
      </c>
      <c r="E613" t="n">
        <v>-1.1068</v>
      </c>
      <c r="F613" t="n">
        <v>0.12968</v>
      </c>
      <c r="G613" t="n">
        <v>1.4257</v>
      </c>
      <c r="H613" t="n">
        <v>1.8249</v>
      </c>
      <c r="I613" t="n">
        <v>-1.4935</v>
      </c>
      <c r="J613" t="n">
        <v>-1.1223</v>
      </c>
      <c r="K613" t="n">
        <v>0.46393</v>
      </c>
      <c r="L613" t="n">
        <v>-1.6643</v>
      </c>
      <c r="M613" t="n">
        <v>0.72684</v>
      </c>
      <c r="N613" t="n">
        <v>-2.0587</v>
      </c>
      <c r="O613" t="n">
        <v>0.7192499999999999</v>
      </c>
      <c r="P613" t="n">
        <v>1.0871</v>
      </c>
      <c r="Q613" t="n">
        <v>0.018322</v>
      </c>
      <c r="R613" t="n">
        <v>0.33564</v>
      </c>
      <c r="S613" t="n">
        <v>0.34335</v>
      </c>
      <c r="T613" t="n">
        <v>0.10246</v>
      </c>
      <c r="U613" t="n">
        <v>-1.9243</v>
      </c>
      <c r="V613" t="n">
        <v>-0.1631</v>
      </c>
      <c r="W613" t="n">
        <v>0.37071</v>
      </c>
      <c r="X613" t="n">
        <v>0.51625</v>
      </c>
      <c r="Y613" t="n">
        <v>0.89491</v>
      </c>
      <c r="Z613" t="n">
        <v>0.62535</v>
      </c>
    </row>
    <row r="614">
      <c r="A614" t="inlineStr">
        <is>
          <t>awhile</t>
        </is>
      </c>
      <c r="B614" t="n">
        <v>-0.58238</v>
      </c>
      <c r="C614" t="n">
        <v>0.55689</v>
      </c>
      <c r="D614" t="n">
        <v>0.82962</v>
      </c>
      <c r="E614" t="n">
        <v>-0.24454</v>
      </c>
      <c r="F614" t="n">
        <v>-0.35169</v>
      </c>
      <c r="G614" t="n">
        <v>-0.15855</v>
      </c>
      <c r="H614" t="n">
        <v>0.85923</v>
      </c>
      <c r="I614" t="n">
        <v>-0.91932</v>
      </c>
      <c r="J614" t="n">
        <v>-0.94511</v>
      </c>
      <c r="K614" t="n">
        <v>0.26833</v>
      </c>
      <c r="L614" t="n">
        <v>-1.2411</v>
      </c>
      <c r="M614" t="n">
        <v>0.6555299999999999</v>
      </c>
      <c r="N614" t="n">
        <v>-3.0595</v>
      </c>
      <c r="O614" t="n">
        <v>0.19947</v>
      </c>
      <c r="P614" t="n">
        <v>0.63553</v>
      </c>
      <c r="Q614" t="n">
        <v>1.1786</v>
      </c>
      <c r="R614" t="n">
        <v>0.5424099999999999</v>
      </c>
      <c r="S614" t="n">
        <v>-0.5571</v>
      </c>
      <c r="T614" t="n">
        <v>-0.030256</v>
      </c>
      <c r="U614" t="n">
        <v>-0.91338</v>
      </c>
      <c r="V614" t="n">
        <v>0.046677</v>
      </c>
      <c r="W614" t="n">
        <v>-0.31399</v>
      </c>
      <c r="X614" t="n">
        <v>0.34861</v>
      </c>
      <c r="Y614" t="n">
        <v>0.80703</v>
      </c>
      <c r="Z614" t="n">
        <v>-0.071758</v>
      </c>
    </row>
    <row r="615">
      <c r="A615" t="inlineStr">
        <is>
          <t>andrea</t>
        </is>
      </c>
      <c r="B615" t="n">
        <v>-1.0964</v>
      </c>
      <c r="C615" t="n">
        <v>-0.0043997</v>
      </c>
      <c r="D615" t="n">
        <v>0.6258</v>
      </c>
      <c r="E615" t="n">
        <v>-0.25998</v>
      </c>
      <c r="F615" t="n">
        <v>-0.95382</v>
      </c>
      <c r="G615" t="n">
        <v>-0.6234499999999999</v>
      </c>
      <c r="H615" t="n">
        <v>-0.69859</v>
      </c>
      <c r="I615" t="n">
        <v>1.5805</v>
      </c>
      <c r="J615" t="n">
        <v>-0.85643</v>
      </c>
      <c r="K615" t="n">
        <v>-0.8587399999999999</v>
      </c>
      <c r="L615" t="n">
        <v>0.0060728</v>
      </c>
      <c r="M615" t="n">
        <v>-0.77356</v>
      </c>
      <c r="N615" t="n">
        <v>-2.3478</v>
      </c>
      <c r="O615" t="n">
        <v>-0.71833</v>
      </c>
      <c r="P615" t="n">
        <v>0.95864</v>
      </c>
      <c r="Q615" t="n">
        <v>0.059669</v>
      </c>
      <c r="R615" t="n">
        <v>-0.3532</v>
      </c>
      <c r="S615" t="n">
        <v>-0.029679</v>
      </c>
      <c r="T615" t="n">
        <v>-0.11087</v>
      </c>
      <c r="U615" t="n">
        <v>0.07753599999999999</v>
      </c>
      <c r="V615" t="n">
        <v>0.97294</v>
      </c>
      <c r="W615" t="n">
        <v>0.18316</v>
      </c>
      <c r="X615" t="n">
        <v>-0.28413</v>
      </c>
      <c r="Y615" t="n">
        <v>-0.46332</v>
      </c>
      <c r="Z615" t="n">
        <v>-0.60499</v>
      </c>
    </row>
    <row r="616">
      <c r="A616" t="inlineStr">
        <is>
          <t>confirmed</t>
        </is>
      </c>
      <c r="B616" t="n">
        <v>0.16435</v>
      </c>
      <c r="C616" t="n">
        <v>0.70841</v>
      </c>
      <c r="D616" t="n">
        <v>0.84221</v>
      </c>
      <c r="E616" t="n">
        <v>-1.0791</v>
      </c>
      <c r="F616" t="n">
        <v>-0.49356</v>
      </c>
      <c r="G616" t="n">
        <v>-1.2577</v>
      </c>
      <c r="H616" t="n">
        <v>1.0745</v>
      </c>
      <c r="I616" t="n">
        <v>0.046419</v>
      </c>
      <c r="J616" t="n">
        <v>-0.23402</v>
      </c>
      <c r="K616" t="n">
        <v>-0.52943</v>
      </c>
      <c r="L616" t="n">
        <v>1.2017</v>
      </c>
      <c r="M616" t="n">
        <v>1.1539</v>
      </c>
      <c r="N616" t="n">
        <v>-2.6557</v>
      </c>
      <c r="O616" t="n">
        <v>0.739</v>
      </c>
      <c r="P616" t="n">
        <v>0.79052</v>
      </c>
      <c r="Q616" t="n">
        <v>0.23613</v>
      </c>
      <c r="R616" t="n">
        <v>-0.079138</v>
      </c>
      <c r="S616" t="n">
        <v>0.32616</v>
      </c>
      <c r="T616" t="n">
        <v>-0.21466</v>
      </c>
      <c r="U616" t="n">
        <v>-0.8857699999999999</v>
      </c>
      <c r="V616" t="n">
        <v>-0.32975</v>
      </c>
      <c r="W616" t="n">
        <v>0.019332</v>
      </c>
      <c r="X616" t="n">
        <v>-0.56676</v>
      </c>
      <c r="Y616" t="n">
        <v>-0.80443</v>
      </c>
      <c r="Z616" t="n">
        <v>-0.83706</v>
      </c>
    </row>
    <row r="617">
      <c r="A617" t="inlineStr">
        <is>
          <t>clothing</t>
        </is>
      </c>
      <c r="B617" t="n">
        <v>-0.75984</v>
      </c>
      <c r="C617" t="n">
        <v>-0.23919</v>
      </c>
      <c r="D617" t="n">
        <v>-0.44441</v>
      </c>
      <c r="E617" t="n">
        <v>-1.1428</v>
      </c>
      <c r="F617" t="n">
        <v>1.116</v>
      </c>
      <c r="G617" t="n">
        <v>-0.15589</v>
      </c>
      <c r="H617" t="n">
        <v>0.37314</v>
      </c>
      <c r="I617" t="n">
        <v>-1.2884</v>
      </c>
      <c r="J617" t="n">
        <v>0.2012</v>
      </c>
      <c r="K617" t="n">
        <v>-0.0051952</v>
      </c>
      <c r="L617" t="n">
        <v>0.67713</v>
      </c>
      <c r="M617" t="n">
        <v>-0.27005</v>
      </c>
      <c r="N617" t="n">
        <v>-3.0878</v>
      </c>
      <c r="O617" t="n">
        <v>-0.69663</v>
      </c>
      <c r="P617" t="n">
        <v>-0.99791</v>
      </c>
      <c r="Q617" t="n">
        <v>0.54158</v>
      </c>
      <c r="R617" t="n">
        <v>0.3117</v>
      </c>
      <c r="S617" t="n">
        <v>-1.0824</v>
      </c>
      <c r="T617" t="n">
        <v>0.40921</v>
      </c>
      <c r="U617" t="n">
        <v>1.2699</v>
      </c>
      <c r="V617" t="n">
        <v>-1.0349</v>
      </c>
      <c r="W617" t="n">
        <v>-0.66286</v>
      </c>
      <c r="X617" t="n">
        <v>-0.54754</v>
      </c>
      <c r="Y617" t="n">
        <v>-0.25915</v>
      </c>
      <c r="Z617" t="n">
        <v>-0.36264</v>
      </c>
    </row>
    <row r="618">
      <c r="A618" t="inlineStr">
        <is>
          <t>covered</t>
        </is>
      </c>
      <c r="B618" t="n">
        <v>-0.79925</v>
      </c>
      <c r="C618" t="n">
        <v>-0.53288</v>
      </c>
      <c r="D618" t="n">
        <v>0.46731</v>
      </c>
      <c r="E618" t="n">
        <v>0.24938</v>
      </c>
      <c r="F618" t="n">
        <v>-0.33623</v>
      </c>
      <c r="G618" t="n">
        <v>0.3563</v>
      </c>
      <c r="H618" t="n">
        <v>0.88794</v>
      </c>
      <c r="I618" t="n">
        <v>-1.8782</v>
      </c>
      <c r="J618" t="n">
        <v>-0.53657</v>
      </c>
      <c r="K618" t="n">
        <v>0.57923</v>
      </c>
      <c r="L618" t="n">
        <v>0.9235100000000001</v>
      </c>
      <c r="M618" t="n">
        <v>0.084815</v>
      </c>
      <c r="N618" t="n">
        <v>-3.0572</v>
      </c>
      <c r="O618" t="n">
        <v>-0.53731</v>
      </c>
      <c r="P618" t="n">
        <v>-0.11895</v>
      </c>
      <c r="Q618" t="n">
        <v>-0.23221</v>
      </c>
      <c r="R618" t="n">
        <v>0.85984</v>
      </c>
      <c r="S618" t="n">
        <v>0.01955</v>
      </c>
      <c r="T618" t="n">
        <v>0.45912</v>
      </c>
      <c r="U618" t="n">
        <v>0.060079</v>
      </c>
      <c r="V618" t="n">
        <v>-0.53002</v>
      </c>
      <c r="W618" t="n">
        <v>0.16659</v>
      </c>
      <c r="X618" t="n">
        <v>0.55261</v>
      </c>
      <c r="Y618" t="n">
        <v>0.028403</v>
      </c>
      <c r="Z618" t="n">
        <v>0.37725</v>
      </c>
    </row>
    <row r="619">
      <c r="A619" t="inlineStr">
        <is>
          <t>offers</t>
        </is>
      </c>
      <c r="B619" t="n">
        <v>-0.57858</v>
      </c>
      <c r="C619" t="n">
        <v>0.71771</v>
      </c>
      <c r="D619" t="n">
        <v>-0.68483</v>
      </c>
      <c r="E619" t="n">
        <v>-0.54559</v>
      </c>
      <c r="F619" t="n">
        <v>0.84383</v>
      </c>
      <c r="G619" t="n">
        <v>-0.53616</v>
      </c>
      <c r="H619" t="n">
        <v>0.30954</v>
      </c>
      <c r="I619" t="n">
        <v>-1.3436</v>
      </c>
      <c r="J619" t="n">
        <v>0.32049</v>
      </c>
      <c r="K619" t="n">
        <v>-0.70933</v>
      </c>
      <c r="L619" t="n">
        <v>1.2064</v>
      </c>
      <c r="M619" t="n">
        <v>0.11856</v>
      </c>
      <c r="N619" t="n">
        <v>-3.4516</v>
      </c>
      <c r="O619" t="n">
        <v>0.21001</v>
      </c>
      <c r="P619" t="n">
        <v>0.3203</v>
      </c>
      <c r="Q619" t="n">
        <v>-0.7823099999999999</v>
      </c>
      <c r="R619" t="n">
        <v>0.63035</v>
      </c>
      <c r="S619" t="n">
        <v>-0.17819</v>
      </c>
      <c r="T619" t="n">
        <v>0.5730499999999999</v>
      </c>
      <c r="U619" t="n">
        <v>-0.32782</v>
      </c>
      <c r="V619" t="n">
        <v>-0.5051600000000001</v>
      </c>
      <c r="W619" t="n">
        <v>-1.5886</v>
      </c>
      <c r="X619" t="n">
        <v>-0.5453</v>
      </c>
      <c r="Y619" t="n">
        <v>-0.13269</v>
      </c>
      <c r="Z619" t="n">
        <v>-0.93573</v>
      </c>
    </row>
    <row r="620">
      <c r="A620" t="inlineStr">
        <is>
          <t>iso</t>
        </is>
      </c>
      <c r="B620" t="n">
        <v>2.3918</v>
      </c>
      <c r="C620" t="n">
        <v>1.7587</v>
      </c>
      <c r="D620" t="n">
        <v>0.31956</v>
      </c>
      <c r="E620" t="n">
        <v>-0.12983</v>
      </c>
      <c r="F620" t="n">
        <v>-0.92691</v>
      </c>
      <c r="G620" t="n">
        <v>-0.15587</v>
      </c>
      <c r="H620" t="n">
        <v>-0.65379</v>
      </c>
      <c r="I620" t="n">
        <v>1.3289</v>
      </c>
      <c r="J620" t="n">
        <v>0.98848</v>
      </c>
      <c r="K620" t="n">
        <v>1.1383</v>
      </c>
      <c r="L620" t="n">
        <v>0.0035221</v>
      </c>
      <c r="M620" t="n">
        <v>-0.75263</v>
      </c>
      <c r="N620" t="n">
        <v>-1.0013</v>
      </c>
      <c r="O620" t="n">
        <v>0.088437</v>
      </c>
      <c r="P620" t="n">
        <v>-0.76136</v>
      </c>
      <c r="Q620" t="n">
        <v>0.4633</v>
      </c>
      <c r="R620" t="n">
        <v>0.34562</v>
      </c>
      <c r="S620" t="n">
        <v>-0.80103</v>
      </c>
      <c r="T620" t="n">
        <v>0.72779</v>
      </c>
      <c r="U620" t="n">
        <v>0.44361</v>
      </c>
      <c r="V620" t="n">
        <v>-0.5636</v>
      </c>
      <c r="W620" t="n">
        <v>1.4783</v>
      </c>
      <c r="X620" t="n">
        <v>0.44387</v>
      </c>
      <c r="Y620" t="n">
        <v>0.47026</v>
      </c>
      <c r="Z620" t="n">
        <v>0.90467</v>
      </c>
    </row>
    <row r="621">
      <c r="A621" t="inlineStr">
        <is>
          <t>somethin</t>
        </is>
      </c>
      <c r="B621" t="n">
        <v>0.034253</v>
      </c>
      <c r="C621" t="n">
        <v>1.3482</v>
      </c>
      <c r="D621" t="n">
        <v>0.5707100000000001</v>
      </c>
      <c r="E621" t="n">
        <v>0.59681</v>
      </c>
      <c r="F621" t="n">
        <v>-0.076127</v>
      </c>
      <c r="G621" t="n">
        <v>0.7373499999999999</v>
      </c>
      <c r="H621" t="n">
        <v>-0.012712</v>
      </c>
      <c r="I621" t="n">
        <v>-1.0406</v>
      </c>
      <c r="J621" t="n">
        <v>-0.34235</v>
      </c>
      <c r="K621" t="n">
        <v>-0.43135</v>
      </c>
      <c r="L621" t="n">
        <v>-1.4525</v>
      </c>
      <c r="M621" t="n">
        <v>1.1326</v>
      </c>
      <c r="N621" t="n">
        <v>-3.7707</v>
      </c>
      <c r="O621" t="n">
        <v>-0.53256</v>
      </c>
      <c r="P621" t="n">
        <v>-0.09320299999999999</v>
      </c>
      <c r="Q621" t="n">
        <v>0.69025</v>
      </c>
      <c r="R621" t="n">
        <v>0.54458</v>
      </c>
      <c r="S621" t="n">
        <v>-0.76174</v>
      </c>
      <c r="T621" t="n">
        <v>-0.081785</v>
      </c>
      <c r="U621" t="n">
        <v>-0.09482699999999999</v>
      </c>
      <c r="V621" t="n">
        <v>0.517</v>
      </c>
      <c r="W621" t="n">
        <v>0.10156</v>
      </c>
      <c r="X621" t="n">
        <v>0.78423</v>
      </c>
      <c r="Y621" t="n">
        <v>0.79687</v>
      </c>
      <c r="Z621" t="n">
        <v>0.39565</v>
      </c>
    </row>
    <row r="622">
      <c r="A622" t="inlineStr">
        <is>
          <t>whos</t>
        </is>
      </c>
      <c r="B622" t="n">
        <v>-0.4922</v>
      </c>
      <c r="C622" t="n">
        <v>1.5307</v>
      </c>
      <c r="D622" t="n">
        <v>1.0664</v>
      </c>
      <c r="E622" t="n">
        <v>-0.71085</v>
      </c>
      <c r="F622" t="n">
        <v>-0.19925</v>
      </c>
      <c r="G622" t="n">
        <v>-0.20123</v>
      </c>
      <c r="H622" t="n">
        <v>0.92188</v>
      </c>
      <c r="I622" t="n">
        <v>-0.57242</v>
      </c>
      <c r="J622" t="n">
        <v>-0.9922</v>
      </c>
      <c r="K622" t="n">
        <v>-0.71846</v>
      </c>
      <c r="L622" t="n">
        <v>-0.7506699999999999</v>
      </c>
      <c r="M622" t="n">
        <v>0.41395</v>
      </c>
      <c r="N622" t="n">
        <v>-3.0738</v>
      </c>
      <c r="O622" t="n">
        <v>-0.41189</v>
      </c>
      <c r="P622" t="n">
        <v>-0.14156</v>
      </c>
      <c r="Q622" t="n">
        <v>0.39313</v>
      </c>
      <c r="R622" t="n">
        <v>0.23111</v>
      </c>
      <c r="S622" t="n">
        <v>-0.8035</v>
      </c>
      <c r="T622" t="n">
        <v>-0.19451</v>
      </c>
      <c r="U622" t="n">
        <v>-0.30136</v>
      </c>
      <c r="V622" t="n">
        <v>0.98434</v>
      </c>
      <c r="W622" t="n">
        <v>0.22551</v>
      </c>
      <c r="X622" t="n">
        <v>-5.0906e-05</v>
      </c>
      <c r="Y622" t="n">
        <v>-0.12672</v>
      </c>
      <c r="Z622" t="n">
        <v>-0.48495</v>
      </c>
    </row>
    <row r="623">
      <c r="A623" t="inlineStr">
        <is>
          <t>castle</t>
        </is>
      </c>
      <c r="B623" t="n">
        <v>-0.93784</v>
      </c>
      <c r="C623" t="n">
        <v>-0.76553</v>
      </c>
      <c r="D623" t="n">
        <v>0.72012</v>
      </c>
      <c r="E623" t="n">
        <v>-0.43171</v>
      </c>
      <c r="F623" t="n">
        <v>-1.1221</v>
      </c>
      <c r="G623" t="n">
        <v>-0.25593</v>
      </c>
      <c r="H623" t="n">
        <v>1.1506</v>
      </c>
      <c r="I623" t="n">
        <v>-0.21487</v>
      </c>
      <c r="J623" t="n">
        <v>0.17024</v>
      </c>
      <c r="K623" t="n">
        <v>-1.4111</v>
      </c>
      <c r="L623" t="n">
        <v>0.28316</v>
      </c>
      <c r="M623" t="n">
        <v>-0.21195</v>
      </c>
      <c r="N623" t="n">
        <v>-2.4837</v>
      </c>
      <c r="O623" t="n">
        <v>0.11767</v>
      </c>
      <c r="P623" t="n">
        <v>0.42492</v>
      </c>
      <c r="Q623" t="n">
        <v>-0.055385</v>
      </c>
      <c r="R623" t="n">
        <v>-0.39479</v>
      </c>
      <c r="S623" t="n">
        <v>0.29909</v>
      </c>
      <c r="T623" t="n">
        <v>0.28779</v>
      </c>
      <c r="U623" t="n">
        <v>0.60376</v>
      </c>
      <c r="V623" t="n">
        <v>-1.2755</v>
      </c>
      <c r="W623" t="n">
        <v>0.33902</v>
      </c>
      <c r="X623" t="n">
        <v>-0.09313200000000001</v>
      </c>
      <c r="Y623" t="n">
        <v>-0.81743</v>
      </c>
      <c r="Z623" t="n">
        <v>0.76455</v>
      </c>
    </row>
    <row r="624">
      <c r="A624" t="inlineStr">
        <is>
          <t>bears</t>
        </is>
      </c>
      <c r="B624" t="n">
        <v>-0.26968</v>
      </c>
      <c r="C624" t="n">
        <v>0.3599</v>
      </c>
      <c r="D624" t="n">
        <v>-0.29764</v>
      </c>
      <c r="E624" t="n">
        <v>-0.36923</v>
      </c>
      <c r="F624" t="n">
        <v>-1.0318</v>
      </c>
      <c r="G624" t="n">
        <v>0.60495</v>
      </c>
      <c r="H624" t="n">
        <v>0.88004</v>
      </c>
      <c r="I624" t="n">
        <v>-0.8988699999999999</v>
      </c>
      <c r="J624" t="n">
        <v>-0.16742</v>
      </c>
      <c r="K624" t="n">
        <v>-0.8618</v>
      </c>
      <c r="L624" t="n">
        <v>0.89997</v>
      </c>
      <c r="M624" t="n">
        <v>0.38472</v>
      </c>
      <c r="N624" t="n">
        <v>-2.7697</v>
      </c>
      <c r="O624" t="n">
        <v>-0.035901</v>
      </c>
      <c r="P624" t="n">
        <v>0.69371</v>
      </c>
      <c r="Q624" t="n">
        <v>-1.189</v>
      </c>
      <c r="R624" t="n">
        <v>0.028946</v>
      </c>
      <c r="S624" t="n">
        <v>-1.2082</v>
      </c>
      <c r="T624" t="n">
        <v>0.69033</v>
      </c>
      <c r="U624" t="n">
        <v>0.26357</v>
      </c>
      <c r="V624" t="n">
        <v>-0.51435</v>
      </c>
      <c r="W624" t="n">
        <v>1.3148</v>
      </c>
      <c r="X624" t="n">
        <v>0.65867</v>
      </c>
      <c r="Y624" t="n">
        <v>-0.82467</v>
      </c>
      <c r="Z624" t="n">
        <v>0.12279</v>
      </c>
    </row>
    <row r="625">
      <c r="A625" t="inlineStr">
        <is>
          <t>carly</t>
        </is>
      </c>
      <c r="B625" t="n">
        <v>-0.25053</v>
      </c>
      <c r="C625" t="n">
        <v>0.014527</v>
      </c>
      <c r="D625" t="n">
        <v>1.0311</v>
      </c>
      <c r="E625" t="n">
        <v>-0.14769</v>
      </c>
      <c r="F625" t="n">
        <v>-1.0513</v>
      </c>
      <c r="G625" t="n">
        <v>-1.0963</v>
      </c>
      <c r="H625" t="n">
        <v>0.51541</v>
      </c>
      <c r="I625" t="n">
        <v>1.085</v>
      </c>
      <c r="J625" t="n">
        <v>-0.88419</v>
      </c>
      <c r="K625" t="n">
        <v>-2.1066</v>
      </c>
      <c r="L625" t="n">
        <v>-0.32384</v>
      </c>
      <c r="M625" t="n">
        <v>-0.19057</v>
      </c>
      <c r="N625" t="n">
        <v>-2.5443</v>
      </c>
      <c r="O625" t="n">
        <v>-1.0592</v>
      </c>
      <c r="P625" t="n">
        <v>-0.16273</v>
      </c>
      <c r="Q625" t="n">
        <v>0.51379</v>
      </c>
      <c r="R625" t="n">
        <v>-1.2028</v>
      </c>
      <c r="S625" t="n">
        <v>-0.31944</v>
      </c>
      <c r="T625" t="n">
        <v>-0.39949</v>
      </c>
      <c r="U625" t="n">
        <v>0.30682</v>
      </c>
      <c r="V625" t="n">
        <v>-0.20165</v>
      </c>
      <c r="W625" t="n">
        <v>0.57415</v>
      </c>
      <c r="X625" t="n">
        <v>-0.24681</v>
      </c>
      <c r="Y625" t="n">
        <v>-0.30997</v>
      </c>
      <c r="Z625" t="n">
        <v>-0.61532</v>
      </c>
    </row>
    <row r="626">
      <c r="A626" t="inlineStr">
        <is>
          <t>increase</t>
        </is>
      </c>
      <c r="B626" t="n">
        <v>0.10805</v>
      </c>
      <c r="C626" t="n">
        <v>0.53652</v>
      </c>
      <c r="D626" t="n">
        <v>-1.9084</v>
      </c>
      <c r="E626" t="n">
        <v>0.29537</v>
      </c>
      <c r="F626" t="n">
        <v>1.1824</v>
      </c>
      <c r="G626" t="n">
        <v>-0.055664</v>
      </c>
      <c r="H626" t="n">
        <v>0.28635</v>
      </c>
      <c r="I626" t="n">
        <v>-1.5421</v>
      </c>
      <c r="J626" t="n">
        <v>0.17881</v>
      </c>
      <c r="K626" t="n">
        <v>0.40378</v>
      </c>
      <c r="L626" t="n">
        <v>0.70662</v>
      </c>
      <c r="M626" t="n">
        <v>-0.013125</v>
      </c>
      <c r="N626" t="n">
        <v>-3.1604</v>
      </c>
      <c r="O626" t="n">
        <v>1.0941</v>
      </c>
      <c r="P626" t="n">
        <v>-0.30005</v>
      </c>
      <c r="Q626" t="n">
        <v>-0.52303</v>
      </c>
      <c r="R626" t="n">
        <v>-0.13004</v>
      </c>
      <c r="S626" t="n">
        <v>0.031893</v>
      </c>
      <c r="T626" t="n">
        <v>0.75853</v>
      </c>
      <c r="U626" t="n">
        <v>-1.6527</v>
      </c>
      <c r="V626" t="n">
        <v>-1.099</v>
      </c>
      <c r="W626" t="n">
        <v>-0.83594</v>
      </c>
      <c r="X626" t="n">
        <v>0.207</v>
      </c>
      <c r="Y626" t="n">
        <v>0.15544</v>
      </c>
      <c r="Z626" t="n">
        <v>-1.2119</v>
      </c>
    </row>
    <row r="627">
      <c r="A627" t="inlineStr">
        <is>
          <t>theory</t>
        </is>
      </c>
      <c r="B627" t="n">
        <v>0.83843</v>
      </c>
      <c r="C627" t="n">
        <v>-0.24592</v>
      </c>
      <c r="D627" t="n">
        <v>0.39872</v>
      </c>
      <c r="E627" t="n">
        <v>0.18003</v>
      </c>
      <c r="F627" t="n">
        <v>0.58446</v>
      </c>
      <c r="G627" t="n">
        <v>-0.62165</v>
      </c>
      <c r="H627" t="n">
        <v>1.3391</v>
      </c>
      <c r="I627" t="n">
        <v>-0.60366</v>
      </c>
      <c r="J627" t="n">
        <v>0.72832</v>
      </c>
      <c r="K627" t="n">
        <v>-1.0539</v>
      </c>
      <c r="L627" t="n">
        <v>-0.068125</v>
      </c>
      <c r="M627" t="n">
        <v>0.66432</v>
      </c>
      <c r="N627" t="n">
        <v>-2.6967</v>
      </c>
      <c r="O627" t="n">
        <v>-0.085663</v>
      </c>
      <c r="P627" t="n">
        <v>1.2732</v>
      </c>
      <c r="Q627" t="n">
        <v>0.45081</v>
      </c>
      <c r="R627" t="n">
        <v>0.050331</v>
      </c>
      <c r="S627" t="n">
        <v>0.79893</v>
      </c>
      <c r="T627" t="n">
        <v>0.62364</v>
      </c>
      <c r="U627" t="n">
        <v>0.43647</v>
      </c>
      <c r="V627" t="n">
        <v>-0.57065</v>
      </c>
      <c r="W627" t="n">
        <v>0.33782</v>
      </c>
      <c r="X627" t="n">
        <v>-0.67238</v>
      </c>
      <c r="Y627" t="n">
        <v>0.29144</v>
      </c>
      <c r="Z627" t="n">
        <v>0.22531</v>
      </c>
    </row>
    <row r="628">
      <c r="A628" t="inlineStr">
        <is>
          <t>seattle</t>
        </is>
      </c>
      <c r="B628" t="n">
        <v>-0.51487</v>
      </c>
      <c r="C628" t="n">
        <v>0.6539700000000001</v>
      </c>
      <c r="D628" t="n">
        <v>-0.087017</v>
      </c>
      <c r="E628" t="n">
        <v>-1.3506</v>
      </c>
      <c r="F628" t="n">
        <v>-0.85445</v>
      </c>
      <c r="G628" t="n">
        <v>0.29358</v>
      </c>
      <c r="H628" t="n">
        <v>0.23972</v>
      </c>
      <c r="I628" t="n">
        <v>-0.34331</v>
      </c>
      <c r="J628" t="n">
        <v>0.20234</v>
      </c>
      <c r="K628" t="n">
        <v>-0.75495</v>
      </c>
      <c r="L628" t="n">
        <v>0.057554</v>
      </c>
      <c r="M628" t="n">
        <v>0.086109</v>
      </c>
      <c r="N628" t="n">
        <v>-3.1695</v>
      </c>
      <c r="O628" t="n">
        <v>0.57919</v>
      </c>
      <c r="P628" t="n">
        <v>1.6764</v>
      </c>
      <c r="Q628" t="n">
        <v>-1.0961</v>
      </c>
      <c r="R628" t="n">
        <v>-0.04085</v>
      </c>
      <c r="S628" t="n">
        <v>-0.57862</v>
      </c>
      <c r="T628" t="n">
        <v>0.43495</v>
      </c>
      <c r="U628" t="n">
        <v>0.25495</v>
      </c>
      <c r="V628" t="n">
        <v>-0.18696</v>
      </c>
      <c r="W628" t="n">
        <v>-0.5619499999999999</v>
      </c>
      <c r="X628" t="n">
        <v>0.35253</v>
      </c>
      <c r="Y628" t="n">
        <v>-1.3802</v>
      </c>
      <c r="Z628" t="n">
        <v>0.096147</v>
      </c>
    </row>
    <row r="629">
      <c r="A629" t="inlineStr">
        <is>
          <t>surgery</t>
        </is>
      </c>
      <c r="B629" t="n">
        <v>-1.678</v>
      </c>
      <c r="C629" t="n">
        <v>0.8448</v>
      </c>
      <c r="D629" t="n">
        <v>-0.22388</v>
      </c>
      <c r="E629" t="n">
        <v>0.068097</v>
      </c>
      <c r="F629" t="n">
        <v>1.3564</v>
      </c>
      <c r="G629" t="n">
        <v>-0.7831399999999999</v>
      </c>
      <c r="H629" t="n">
        <v>0.72065</v>
      </c>
      <c r="I629" t="n">
        <v>-0.93364</v>
      </c>
      <c r="J629" t="n">
        <v>0.40198</v>
      </c>
      <c r="K629" t="n">
        <v>-0.0096994</v>
      </c>
      <c r="L629" t="n">
        <v>0.78388</v>
      </c>
      <c r="M629" t="n">
        <v>0.58034</v>
      </c>
      <c r="N629" t="n">
        <v>-2.6667</v>
      </c>
      <c r="O629" t="n">
        <v>0.3361</v>
      </c>
      <c r="P629" t="n">
        <v>1.5275</v>
      </c>
      <c r="Q629" t="n">
        <v>-0.352</v>
      </c>
      <c r="R629" t="n">
        <v>0.2352</v>
      </c>
      <c r="S629" t="n">
        <v>0.2314</v>
      </c>
      <c r="T629" t="n">
        <v>-0.1512</v>
      </c>
      <c r="U629" t="n">
        <v>-1.6348</v>
      </c>
      <c r="V629" t="n">
        <v>-0.55505</v>
      </c>
      <c r="W629" t="n">
        <v>1.0366</v>
      </c>
      <c r="X629" t="n">
        <v>0.8085599999999999</v>
      </c>
      <c r="Y629" t="n">
        <v>0.42196</v>
      </c>
      <c r="Z629" t="n">
        <v>-0.86519</v>
      </c>
    </row>
    <row r="630">
      <c r="A630" t="inlineStr">
        <is>
          <t>breathing</t>
        </is>
      </c>
      <c r="B630" t="n">
        <v>-1.2156</v>
      </c>
      <c r="C630" t="n">
        <v>0.17006</v>
      </c>
      <c r="D630" t="n">
        <v>0.2764</v>
      </c>
      <c r="E630" t="n">
        <v>1.2305</v>
      </c>
      <c r="F630" t="n">
        <v>0.06728000000000001</v>
      </c>
      <c r="G630" t="n">
        <v>0.52337</v>
      </c>
      <c r="H630" t="n">
        <v>1.5231</v>
      </c>
      <c r="I630" t="n">
        <v>-1.4083</v>
      </c>
      <c r="J630" t="n">
        <v>0.089697</v>
      </c>
      <c r="K630" t="n">
        <v>0.67018</v>
      </c>
      <c r="L630" t="n">
        <v>-0.61443</v>
      </c>
      <c r="M630" t="n">
        <v>0.74392</v>
      </c>
      <c r="N630" t="n">
        <v>-2.6651</v>
      </c>
      <c r="O630" t="n">
        <v>-0.43859</v>
      </c>
      <c r="P630" t="n">
        <v>0.18629</v>
      </c>
      <c r="Q630" t="n">
        <v>0.88566</v>
      </c>
      <c r="R630" t="n">
        <v>-0.68282</v>
      </c>
      <c r="S630" t="n">
        <v>0.73387</v>
      </c>
      <c r="T630" t="n">
        <v>0.86757</v>
      </c>
      <c r="U630" t="n">
        <v>-1.0742</v>
      </c>
      <c r="V630" t="n">
        <v>0.20878</v>
      </c>
      <c r="W630" t="n">
        <v>0.30146</v>
      </c>
      <c r="X630" t="n">
        <v>0.42069</v>
      </c>
      <c r="Y630" t="n">
        <v>0.33113</v>
      </c>
      <c r="Z630" t="n">
        <v>-0.26551</v>
      </c>
    </row>
    <row r="631">
      <c r="A631" t="inlineStr">
        <is>
          <t>haircut</t>
        </is>
      </c>
      <c r="B631" t="n">
        <v>-1.2503</v>
      </c>
      <c r="C631" t="n">
        <v>0.081299</v>
      </c>
      <c r="D631" t="n">
        <v>0.55504</v>
      </c>
      <c r="E631" t="n">
        <v>-0.35915</v>
      </c>
      <c r="F631" t="n">
        <v>1.2427</v>
      </c>
      <c r="G631" t="n">
        <v>-0.26676</v>
      </c>
      <c r="H631" t="n">
        <v>1.0124</v>
      </c>
      <c r="I631" t="n">
        <v>-1.0795</v>
      </c>
      <c r="J631" t="n">
        <v>-0.57769</v>
      </c>
      <c r="K631" t="n">
        <v>-0.83262</v>
      </c>
      <c r="L631" t="n">
        <v>0.10763</v>
      </c>
      <c r="M631" t="n">
        <v>0.30906</v>
      </c>
      <c r="N631" t="n">
        <v>-2.4533</v>
      </c>
      <c r="O631" t="n">
        <v>-0.66486</v>
      </c>
      <c r="P631" t="n">
        <v>0.5577800000000001</v>
      </c>
      <c r="Q631" t="n">
        <v>0.08660900000000001</v>
      </c>
      <c r="R631" t="n">
        <v>0.74246</v>
      </c>
      <c r="S631" t="n">
        <v>-1.1713</v>
      </c>
      <c r="T631" t="n">
        <v>-0.6117</v>
      </c>
      <c r="U631" t="n">
        <v>-0.42744</v>
      </c>
      <c r="V631" t="n">
        <v>-0.23595</v>
      </c>
      <c r="W631" t="n">
        <v>0.95529</v>
      </c>
      <c r="X631" t="n">
        <v>0.94647</v>
      </c>
      <c r="Y631" t="n">
        <v>0.64697</v>
      </c>
      <c r="Z631" t="n">
        <v>-0.63322</v>
      </c>
    </row>
    <row r="632">
      <c r="A632" t="inlineStr">
        <is>
          <t>active</t>
        </is>
      </c>
      <c r="B632" t="n">
        <v>-0.25315</v>
      </c>
      <c r="C632" t="n">
        <v>0.085924</v>
      </c>
      <c r="D632" t="n">
        <v>-0.89905</v>
      </c>
      <c r="E632" t="n">
        <v>-0.94735</v>
      </c>
      <c r="F632" t="n">
        <v>0.97734</v>
      </c>
      <c r="G632" t="n">
        <v>0.23083</v>
      </c>
      <c r="H632" t="n">
        <v>0.58962</v>
      </c>
      <c r="I632" t="n">
        <v>-0.17168</v>
      </c>
      <c r="J632" t="n">
        <v>0.34466</v>
      </c>
      <c r="K632" t="n">
        <v>0.043655</v>
      </c>
      <c r="L632" t="n">
        <v>-0.57112</v>
      </c>
      <c r="M632" t="n">
        <v>-0.2413</v>
      </c>
      <c r="N632" t="n">
        <v>-2.5582</v>
      </c>
      <c r="O632" t="n">
        <v>0.47579</v>
      </c>
      <c r="P632" t="n">
        <v>-0.027155</v>
      </c>
      <c r="Q632" t="n">
        <v>0.48399</v>
      </c>
      <c r="R632" t="n">
        <v>0.4293</v>
      </c>
      <c r="S632" t="n">
        <v>-0.33861</v>
      </c>
      <c r="T632" t="n">
        <v>0.16158</v>
      </c>
      <c r="U632" t="n">
        <v>-0.43935</v>
      </c>
      <c r="V632" t="n">
        <v>-0.41741</v>
      </c>
      <c r="W632" t="n">
        <v>-0.42518</v>
      </c>
      <c r="X632" t="n">
        <v>-0.31989</v>
      </c>
      <c r="Y632" t="n">
        <v>-0.27812</v>
      </c>
      <c r="Z632" t="n">
        <v>-1.1679</v>
      </c>
    </row>
    <row r="633">
      <c r="A633" t="inlineStr">
        <is>
          <t>sweetheart</t>
        </is>
      </c>
      <c r="B633" t="n">
        <v>-1.9592</v>
      </c>
      <c r="C633" t="n">
        <v>-0.25077</v>
      </c>
      <c r="D633" t="n">
        <v>-0.59822</v>
      </c>
      <c r="E633" t="n">
        <v>-0.08956799999999999</v>
      </c>
      <c r="F633" t="n">
        <v>0.15441</v>
      </c>
      <c r="G633" t="n">
        <v>-0.7265</v>
      </c>
      <c r="H633" t="n">
        <v>1.2275</v>
      </c>
      <c r="I633" t="n">
        <v>-0.20857</v>
      </c>
      <c r="J633" t="n">
        <v>-1.1754</v>
      </c>
      <c r="K633" t="n">
        <v>-0.28588</v>
      </c>
      <c r="L633" t="n">
        <v>-1.06</v>
      </c>
      <c r="M633" t="n">
        <v>0.27186</v>
      </c>
      <c r="N633" t="n">
        <v>-2.5909</v>
      </c>
      <c r="O633" t="n">
        <v>-0.02353</v>
      </c>
      <c r="P633" t="n">
        <v>-0.60078</v>
      </c>
      <c r="Q633" t="n">
        <v>-0.041923</v>
      </c>
      <c r="R633" t="n">
        <v>0.78309</v>
      </c>
      <c r="S633" t="n">
        <v>-0.91599</v>
      </c>
      <c r="T633" t="n">
        <v>0.037355</v>
      </c>
      <c r="U633" t="n">
        <v>0.31465</v>
      </c>
      <c r="V633" t="n">
        <v>0.31639</v>
      </c>
      <c r="W633" t="n">
        <v>0.35144</v>
      </c>
      <c r="X633" t="n">
        <v>-0.68105</v>
      </c>
      <c r="Y633" t="n">
        <v>1.2013</v>
      </c>
      <c r="Z633" t="n">
        <v>-0.66748</v>
      </c>
    </row>
    <row r="634">
      <c r="A634" t="inlineStr">
        <is>
          <t>announce</t>
        </is>
      </c>
      <c r="B634" t="n">
        <v>-0.18468</v>
      </c>
      <c r="C634" t="n">
        <v>1.2647</v>
      </c>
      <c r="D634" t="n">
        <v>-0.04519</v>
      </c>
      <c r="E634" t="n">
        <v>-1.3447</v>
      </c>
      <c r="F634" t="n">
        <v>-0.78299</v>
      </c>
      <c r="G634" t="n">
        <v>-0.8461</v>
      </c>
      <c r="H634" t="n">
        <v>0.55406</v>
      </c>
      <c r="I634" t="n">
        <v>-0.27831</v>
      </c>
      <c r="J634" t="n">
        <v>0.34606</v>
      </c>
      <c r="K634" t="n">
        <v>-1.7501</v>
      </c>
      <c r="L634" t="n">
        <v>0.90881</v>
      </c>
      <c r="M634" t="n">
        <v>0.65385</v>
      </c>
      <c r="N634" t="n">
        <v>-3.2513</v>
      </c>
      <c r="O634" t="n">
        <v>0.78925</v>
      </c>
      <c r="P634" t="n">
        <v>0.36507</v>
      </c>
      <c r="Q634" t="n">
        <v>0.10277</v>
      </c>
      <c r="R634" t="n">
        <v>0.075416</v>
      </c>
      <c r="S634" t="n">
        <v>-0.14251</v>
      </c>
      <c r="T634" t="n">
        <v>-0.09418799999999999</v>
      </c>
      <c r="U634" t="n">
        <v>-1.1455</v>
      </c>
      <c r="V634" t="n">
        <v>-0.97026</v>
      </c>
      <c r="W634" t="n">
        <v>-0.37486</v>
      </c>
      <c r="X634" t="n">
        <v>-0.44304</v>
      </c>
      <c r="Y634" t="n">
        <v>-0.37631</v>
      </c>
      <c r="Z634" t="n">
        <v>-0.67569</v>
      </c>
    </row>
    <row r="635">
      <c r="A635" t="inlineStr">
        <is>
          <t>hermanos</t>
        </is>
      </c>
      <c r="B635" t="n">
        <v>0.52333</v>
      </c>
      <c r="C635" t="n">
        <v>0.33792</v>
      </c>
      <c r="D635" t="n">
        <v>0.59201</v>
      </c>
      <c r="E635" t="n">
        <v>0.75254</v>
      </c>
      <c r="F635" t="n">
        <v>-0.45731</v>
      </c>
      <c r="G635" t="n">
        <v>-0.015079</v>
      </c>
      <c r="H635" t="n">
        <v>-0.47819</v>
      </c>
      <c r="I635" t="n">
        <v>1.7868</v>
      </c>
      <c r="J635" t="n">
        <v>-2.2323</v>
      </c>
      <c r="K635" t="n">
        <v>-0.8948</v>
      </c>
      <c r="L635" t="n">
        <v>0.1735</v>
      </c>
      <c r="M635" t="n">
        <v>-2.42</v>
      </c>
      <c r="N635" t="n">
        <v>-0.51325</v>
      </c>
      <c r="O635" t="n">
        <v>0.17527</v>
      </c>
      <c r="P635" t="n">
        <v>0.37483</v>
      </c>
      <c r="Q635" t="n">
        <v>-0.41677</v>
      </c>
      <c r="R635" t="n">
        <v>-0.1726</v>
      </c>
      <c r="S635" t="n">
        <v>-0.61246</v>
      </c>
      <c r="T635" t="n">
        <v>0.94138</v>
      </c>
      <c r="U635" t="n">
        <v>0.5001100000000001</v>
      </c>
      <c r="V635" t="n">
        <v>0.8244</v>
      </c>
      <c r="W635" t="n">
        <v>0.28118</v>
      </c>
      <c r="X635" t="n">
        <v>-0.78643</v>
      </c>
      <c r="Y635" t="n">
        <v>-0.85</v>
      </c>
      <c r="Z635" t="n">
        <v>1.2048</v>
      </c>
    </row>
    <row r="636">
      <c r="A636" t="inlineStr">
        <is>
          <t>teamhitfollow</t>
        </is>
      </c>
      <c r="B636" t="n">
        <v>-2.01</v>
      </c>
      <c r="C636" t="n">
        <v>0.81125</v>
      </c>
      <c r="D636" t="n">
        <v>-1.5204</v>
      </c>
      <c r="E636" t="n">
        <v>-1.9102</v>
      </c>
      <c r="F636" t="n">
        <v>-1.0896</v>
      </c>
      <c r="G636" t="n">
        <v>-1.0391</v>
      </c>
      <c r="H636" t="n">
        <v>-0.10569</v>
      </c>
      <c r="I636" t="n">
        <v>0.48428</v>
      </c>
      <c r="J636" t="n">
        <v>0.0010475</v>
      </c>
      <c r="K636" t="n">
        <v>-1.0684</v>
      </c>
      <c r="L636" t="n">
        <v>-0.018354</v>
      </c>
      <c r="M636" t="n">
        <v>-0.14417</v>
      </c>
      <c r="N636" t="n">
        <v>-1.743</v>
      </c>
      <c r="O636" t="n">
        <v>-1.7338</v>
      </c>
      <c r="P636" t="n">
        <v>-2.1988</v>
      </c>
      <c r="Q636" t="n">
        <v>1.4793</v>
      </c>
      <c r="R636" t="n">
        <v>-1.6537</v>
      </c>
      <c r="S636" t="n">
        <v>-1.909</v>
      </c>
      <c r="T636" t="n">
        <v>0.27003</v>
      </c>
      <c r="U636" t="n">
        <v>0.6883899999999999</v>
      </c>
      <c r="V636" t="n">
        <v>-1.9196</v>
      </c>
      <c r="W636" t="n">
        <v>-2.1774</v>
      </c>
      <c r="X636" t="n">
        <v>1.2363</v>
      </c>
      <c r="Y636" t="n">
        <v>-0.55278</v>
      </c>
      <c r="Z636" t="n">
        <v>0.17205</v>
      </c>
    </row>
    <row r="637">
      <c r="A637" t="inlineStr">
        <is>
          <t>sight</t>
        </is>
      </c>
      <c r="B637" t="n">
        <v>-0.5451</v>
      </c>
      <c r="C637" t="n">
        <v>-0.46074</v>
      </c>
      <c r="D637" t="n">
        <v>-0.28193</v>
      </c>
      <c r="E637" t="n">
        <v>0.86696</v>
      </c>
      <c r="F637" t="n">
        <v>0.022943</v>
      </c>
      <c r="G637" t="n">
        <v>0.22812</v>
      </c>
      <c r="H637" t="n">
        <v>1.1005</v>
      </c>
      <c r="I637" t="n">
        <v>-0.8273</v>
      </c>
      <c r="J637" t="n">
        <v>-0.0087986</v>
      </c>
      <c r="K637" t="n">
        <v>-0.0060325</v>
      </c>
      <c r="L637" t="n">
        <v>-0.76823</v>
      </c>
      <c r="M637" t="n">
        <v>0.80005</v>
      </c>
      <c r="N637" t="n">
        <v>-2.9488</v>
      </c>
      <c r="O637" t="n">
        <v>0.94385</v>
      </c>
      <c r="P637" t="n">
        <v>0.19993</v>
      </c>
      <c r="Q637" t="n">
        <v>0.57672</v>
      </c>
      <c r="R637" t="n">
        <v>0.53845</v>
      </c>
      <c r="S637" t="n">
        <v>0.28358</v>
      </c>
      <c r="T637" t="n">
        <v>0.60799</v>
      </c>
      <c r="U637" t="n">
        <v>-0.15439</v>
      </c>
      <c r="V637" t="n">
        <v>-0.08814900000000001</v>
      </c>
      <c r="W637" t="n">
        <v>0.06710199999999999</v>
      </c>
      <c r="X637" t="n">
        <v>0.4632</v>
      </c>
      <c r="Y637" t="n">
        <v>0.17419</v>
      </c>
      <c r="Z637" t="n">
        <v>-0.37625</v>
      </c>
    </row>
    <row r="638">
      <c r="A638" t="inlineStr">
        <is>
          <t>beatles</t>
        </is>
      </c>
      <c r="B638" t="n">
        <v>0.35386</v>
      </c>
      <c r="C638" t="n">
        <v>-0.52934</v>
      </c>
      <c r="D638" t="n">
        <v>1.2463</v>
      </c>
      <c r="E638" t="n">
        <v>0.50522</v>
      </c>
      <c r="F638" t="n">
        <v>-0.45099</v>
      </c>
      <c r="G638" t="n">
        <v>-0.26157</v>
      </c>
      <c r="H638" t="n">
        <v>0.98372</v>
      </c>
      <c r="I638" t="n">
        <v>0.71184</v>
      </c>
      <c r="J638" t="n">
        <v>-0.4799</v>
      </c>
      <c r="K638" t="n">
        <v>-1.394</v>
      </c>
      <c r="L638" t="n">
        <v>0.80331</v>
      </c>
      <c r="M638" t="n">
        <v>-0.45642</v>
      </c>
      <c r="N638" t="n">
        <v>-2.193</v>
      </c>
      <c r="O638" t="n">
        <v>-0.25556</v>
      </c>
      <c r="P638" t="n">
        <v>-0.3465</v>
      </c>
      <c r="Q638" t="n">
        <v>0.767</v>
      </c>
      <c r="R638" t="n">
        <v>-0.56504</v>
      </c>
      <c r="S638" t="n">
        <v>0.32995</v>
      </c>
      <c r="T638" t="n">
        <v>0.5508999999999999</v>
      </c>
      <c r="U638" t="n">
        <v>0.34893</v>
      </c>
      <c r="V638" t="n">
        <v>-1.0586</v>
      </c>
      <c r="W638" t="n">
        <v>0.18123</v>
      </c>
      <c r="X638" t="n">
        <v>-0.48441</v>
      </c>
      <c r="Y638" t="n">
        <v>-0.98725</v>
      </c>
      <c r="Z638" t="n">
        <v>0.65303</v>
      </c>
    </row>
    <row r="639">
      <c r="A639" t="inlineStr">
        <is>
          <t>whoop</t>
        </is>
      </c>
      <c r="B639" t="n">
        <v>-0.29647</v>
      </c>
      <c r="C639" t="n">
        <v>1.5779</v>
      </c>
      <c r="D639" t="n">
        <v>0.29596</v>
      </c>
      <c r="E639" t="n">
        <v>-0.31193</v>
      </c>
      <c r="F639" t="n">
        <v>-0.60098</v>
      </c>
      <c r="G639" t="n">
        <v>-0.66482</v>
      </c>
      <c r="H639" t="n">
        <v>0.48222</v>
      </c>
      <c r="I639" t="n">
        <v>-0.75184</v>
      </c>
      <c r="J639" t="n">
        <v>-0.99516</v>
      </c>
      <c r="K639" t="n">
        <v>-0.23028</v>
      </c>
      <c r="L639" t="n">
        <v>-0.7508899999999999</v>
      </c>
      <c r="M639" t="n">
        <v>0.90261</v>
      </c>
      <c r="N639" t="n">
        <v>-2.2577</v>
      </c>
      <c r="O639" t="n">
        <v>-0.27906</v>
      </c>
      <c r="P639" t="n">
        <v>0.39856</v>
      </c>
      <c r="Q639" t="n">
        <v>-0.38159</v>
      </c>
      <c r="R639" t="n">
        <v>0.41909</v>
      </c>
      <c r="S639" t="n">
        <v>-1.4152</v>
      </c>
      <c r="T639" t="n">
        <v>-1.0254</v>
      </c>
      <c r="U639" t="n">
        <v>0.17596</v>
      </c>
      <c r="V639" t="n">
        <v>0.049735</v>
      </c>
      <c r="W639" t="n">
        <v>0.8047800000000001</v>
      </c>
      <c r="X639" t="n">
        <v>1.2994</v>
      </c>
      <c r="Y639" t="n">
        <v>0.28158</v>
      </c>
      <c r="Z639" t="n">
        <v>1.2723</v>
      </c>
    </row>
    <row r="640">
      <c r="A640" t="inlineStr">
        <is>
          <t>covers</t>
        </is>
      </c>
      <c r="B640" t="n">
        <v>-0.11882</v>
      </c>
      <c r="C640" t="n">
        <v>-0.75169</v>
      </c>
      <c r="D640" t="n">
        <v>1.1257</v>
      </c>
      <c r="E640" t="n">
        <v>0.4546</v>
      </c>
      <c r="F640" t="n">
        <v>0.68476</v>
      </c>
      <c r="G640" t="n">
        <v>-0.07188700000000001</v>
      </c>
      <c r="H640" t="n">
        <v>0.63112</v>
      </c>
      <c r="I640" t="n">
        <v>-0.71007</v>
      </c>
      <c r="J640" t="n">
        <v>-0.35916</v>
      </c>
      <c r="K640" t="n">
        <v>-0.79342</v>
      </c>
      <c r="L640" t="n">
        <v>0.54001</v>
      </c>
      <c r="M640" t="n">
        <v>0.073906</v>
      </c>
      <c r="N640" t="n">
        <v>-2.8584</v>
      </c>
      <c r="O640" t="n">
        <v>-0.31686</v>
      </c>
      <c r="P640" t="n">
        <v>-0.47659</v>
      </c>
      <c r="Q640" t="n">
        <v>0.76649</v>
      </c>
      <c r="R640" t="n">
        <v>0.037302</v>
      </c>
      <c r="S640" t="n">
        <v>-0.031579</v>
      </c>
      <c r="T640" t="n">
        <v>0.24939</v>
      </c>
      <c r="U640" t="n">
        <v>0.10793</v>
      </c>
      <c r="V640" t="n">
        <v>-0.7882</v>
      </c>
      <c r="W640" t="n">
        <v>-0.52728</v>
      </c>
      <c r="X640" t="n">
        <v>0.61456</v>
      </c>
      <c r="Y640" t="n">
        <v>-0.23001</v>
      </c>
      <c r="Z640" t="n">
        <v>-0.42753</v>
      </c>
    </row>
    <row r="641">
      <c r="A641" t="inlineStr">
        <is>
          <t>sweater</t>
        </is>
      </c>
      <c r="B641" t="n">
        <v>-1.0183</v>
      </c>
      <c r="C641" t="n">
        <v>-0.9938</v>
      </c>
      <c r="D641" t="n">
        <v>0.6625</v>
      </c>
      <c r="E641" t="n">
        <v>-1.0946</v>
      </c>
      <c r="F641" t="n">
        <v>0.15261</v>
      </c>
      <c r="G641" t="n">
        <v>0.41128</v>
      </c>
      <c r="H641" t="n">
        <v>0.29342</v>
      </c>
      <c r="I641" t="n">
        <v>-0.28625</v>
      </c>
      <c r="J641" t="n">
        <v>-0.37986</v>
      </c>
      <c r="K641" t="n">
        <v>0.024249</v>
      </c>
      <c r="L641" t="n">
        <v>1.0841</v>
      </c>
      <c r="M641" t="n">
        <v>0.11123</v>
      </c>
      <c r="N641" t="n">
        <v>-2.5505</v>
      </c>
      <c r="O641" t="n">
        <v>-0.8186600000000001</v>
      </c>
      <c r="P641" t="n">
        <v>-0.8565</v>
      </c>
      <c r="Q641" t="n">
        <v>0.63571</v>
      </c>
      <c r="R641" t="n">
        <v>1.0052</v>
      </c>
      <c r="S641" t="n">
        <v>-1.7419</v>
      </c>
      <c r="T641" t="n">
        <v>-0.27555</v>
      </c>
      <c r="U641" t="n">
        <v>1.218</v>
      </c>
      <c r="V641" t="n">
        <v>-1.3928</v>
      </c>
      <c r="W641" t="n">
        <v>0.57619</v>
      </c>
      <c r="X641" t="n">
        <v>0.65121</v>
      </c>
      <c r="Y641" t="n">
        <v>0.25331</v>
      </c>
      <c r="Z641" t="n">
        <v>-0.56374</v>
      </c>
    </row>
    <row r="642">
      <c r="A642" t="inlineStr">
        <is>
          <t>breakoutartist</t>
        </is>
      </c>
      <c r="B642" t="n">
        <v>0.99564</v>
      </c>
      <c r="C642" t="n">
        <v>0.52735</v>
      </c>
      <c r="D642" t="n">
        <v>-0.23581</v>
      </c>
      <c r="E642" t="n">
        <v>-1.2705</v>
      </c>
      <c r="F642" t="n">
        <v>-0.46319</v>
      </c>
      <c r="G642" t="n">
        <v>-2.3577</v>
      </c>
      <c r="H642" t="n">
        <v>1.5019</v>
      </c>
      <c r="I642" t="n">
        <v>0.45207</v>
      </c>
      <c r="J642" t="n">
        <v>-1.8024</v>
      </c>
      <c r="K642" t="n">
        <v>-1.8304</v>
      </c>
      <c r="L642" t="n">
        <v>-0.82282</v>
      </c>
      <c r="M642" t="n">
        <v>0.38229</v>
      </c>
      <c r="N642" t="n">
        <v>-1.5938</v>
      </c>
      <c r="O642" t="n">
        <v>0.26327</v>
      </c>
      <c r="P642" t="n">
        <v>-1.0197</v>
      </c>
      <c r="Q642" t="n">
        <v>0.31605</v>
      </c>
      <c r="R642" t="n">
        <v>-1.7902</v>
      </c>
      <c r="S642" t="n">
        <v>-1.0537</v>
      </c>
      <c r="T642" t="n">
        <v>0.32208</v>
      </c>
      <c r="U642" t="n">
        <v>0.18273</v>
      </c>
      <c r="V642" t="n">
        <v>-1.0656</v>
      </c>
      <c r="W642" t="n">
        <v>0.81511</v>
      </c>
      <c r="X642" t="n">
        <v>0.1849</v>
      </c>
      <c r="Y642" t="n">
        <v>-1.175</v>
      </c>
      <c r="Z642" t="n">
        <v>-0.54303</v>
      </c>
    </row>
    <row r="643">
      <c r="A643" t="inlineStr">
        <is>
          <t>ane</t>
        </is>
      </c>
      <c r="B643" t="n">
        <v>0.43444</v>
      </c>
      <c r="C643" t="n">
        <v>1.5884</v>
      </c>
      <c r="D643" t="n">
        <v>-0.036402</v>
      </c>
      <c r="E643" t="n">
        <v>-0.64139</v>
      </c>
      <c r="F643" t="n">
        <v>0.0096839</v>
      </c>
      <c r="G643" t="n">
        <v>-0.53748</v>
      </c>
      <c r="H643" t="n">
        <v>-0.60036</v>
      </c>
      <c r="I643" t="n">
        <v>1.9405</v>
      </c>
      <c r="J643" t="n">
        <v>1.5271</v>
      </c>
      <c r="K643" t="n">
        <v>0.99859</v>
      </c>
      <c r="L643" t="n">
        <v>0.05408</v>
      </c>
      <c r="M643" t="n">
        <v>0.16878</v>
      </c>
      <c r="N643" t="n">
        <v>-1.099</v>
      </c>
      <c r="O643" t="n">
        <v>-0.5208</v>
      </c>
      <c r="P643" t="n">
        <v>-0.02681</v>
      </c>
      <c r="Q643" t="n">
        <v>0.15922</v>
      </c>
      <c r="R643" t="n">
        <v>0.17917</v>
      </c>
      <c r="S643" t="n">
        <v>-0.77954</v>
      </c>
      <c r="T643" t="n">
        <v>-1.065</v>
      </c>
      <c r="U643" t="n">
        <v>0.15272</v>
      </c>
      <c r="V643" t="n">
        <v>-0.41994</v>
      </c>
      <c r="W643" t="n">
        <v>0.80159</v>
      </c>
      <c r="X643" t="n">
        <v>-0.85036</v>
      </c>
      <c r="Y643" t="n">
        <v>1.1349</v>
      </c>
      <c r="Z643" t="n">
        <v>-0.58401</v>
      </c>
    </row>
    <row r="644">
      <c r="A644" t="inlineStr">
        <is>
          <t>fofo</t>
        </is>
      </c>
      <c r="B644" t="n">
        <v>0.50266</v>
      </c>
      <c r="C644" t="n">
        <v>-1.4992</v>
      </c>
      <c r="D644" t="n">
        <v>-0.096959</v>
      </c>
      <c r="E644" t="n">
        <v>-0.072933</v>
      </c>
      <c r="F644" t="n">
        <v>1.3411</v>
      </c>
      <c r="G644" t="n">
        <v>-0.5242</v>
      </c>
      <c r="H644" t="n">
        <v>-0.19048</v>
      </c>
      <c r="I644" t="n">
        <v>0.82425</v>
      </c>
      <c r="J644" t="n">
        <v>-0.25433</v>
      </c>
      <c r="K644" t="n">
        <v>-1.4586</v>
      </c>
      <c r="L644" t="n">
        <v>-0.68486</v>
      </c>
      <c r="M644" t="n">
        <v>-0.91376</v>
      </c>
      <c r="N644" t="n">
        <v>-0.28278</v>
      </c>
      <c r="O644" t="n">
        <v>-2.6795</v>
      </c>
      <c r="P644" t="n">
        <v>-0.6712399999999999</v>
      </c>
      <c r="Q644" t="n">
        <v>-1.3149</v>
      </c>
      <c r="R644" t="n">
        <v>-1.7539</v>
      </c>
      <c r="S644" t="n">
        <v>-0.78721</v>
      </c>
      <c r="T644" t="n">
        <v>-1.4974</v>
      </c>
      <c r="U644" t="n">
        <v>-0.78974</v>
      </c>
      <c r="V644" t="n">
        <v>0.42767</v>
      </c>
      <c r="W644" t="n">
        <v>0.93874</v>
      </c>
      <c r="X644" t="n">
        <v>0.59063</v>
      </c>
      <c r="Y644" t="n">
        <v>1.6438</v>
      </c>
      <c r="Z644" t="n">
        <v>-0.29665</v>
      </c>
    </row>
    <row r="645">
      <c r="A645" t="inlineStr">
        <is>
          <t>reports</t>
        </is>
      </c>
      <c r="B645" t="n">
        <v>0.7952</v>
      </c>
      <c r="C645" t="n">
        <v>0.56324</v>
      </c>
      <c r="D645" t="n">
        <v>0.13958</v>
      </c>
      <c r="E645" t="n">
        <v>-0.26841</v>
      </c>
      <c r="F645" t="n">
        <v>0.22166</v>
      </c>
      <c r="G645" t="n">
        <v>-0.76083</v>
      </c>
      <c r="H645" t="n">
        <v>0.63545</v>
      </c>
      <c r="I645" t="n">
        <v>-0.99475</v>
      </c>
      <c r="J645" t="n">
        <v>0.55269</v>
      </c>
      <c r="K645" t="n">
        <v>0.12357</v>
      </c>
      <c r="L645" t="n">
        <v>1.1867</v>
      </c>
      <c r="M645" t="n">
        <v>0.91945</v>
      </c>
      <c r="N645" t="n">
        <v>-2.7049</v>
      </c>
      <c r="O645" t="n">
        <v>1.0656</v>
      </c>
      <c r="P645" t="n">
        <v>1.3506</v>
      </c>
      <c r="Q645" t="n">
        <v>-1.0294</v>
      </c>
      <c r="R645" t="n">
        <v>0.010319</v>
      </c>
      <c r="S645" t="n">
        <v>0.86431</v>
      </c>
      <c r="T645" t="n">
        <v>0.021631</v>
      </c>
      <c r="U645" t="n">
        <v>-0.8922099999999999</v>
      </c>
      <c r="V645" t="n">
        <v>0.38286</v>
      </c>
      <c r="W645" t="n">
        <v>-1.1401</v>
      </c>
      <c r="X645" t="n">
        <v>0.12085</v>
      </c>
      <c r="Y645" t="n">
        <v>-1.4798</v>
      </c>
      <c r="Z645" t="n">
        <v>-1.198</v>
      </c>
    </row>
    <row r="646">
      <c r="A646" t="inlineStr">
        <is>
          <t>section</t>
        </is>
      </c>
      <c r="B646" t="n">
        <v>0.060408</v>
      </c>
      <c r="C646" t="n">
        <v>-0.2362</v>
      </c>
      <c r="D646" t="n">
        <v>0.53931</v>
      </c>
      <c r="E646" t="n">
        <v>-1.1928</v>
      </c>
      <c r="F646" t="n">
        <v>0.772</v>
      </c>
      <c r="G646" t="n">
        <v>-0.7565499999999999</v>
      </c>
      <c r="H646" t="n">
        <v>0.6554</v>
      </c>
      <c r="I646" t="n">
        <v>-0.8682</v>
      </c>
      <c r="J646" t="n">
        <v>0.71301</v>
      </c>
      <c r="K646" t="n">
        <v>0.11242</v>
      </c>
      <c r="L646" t="n">
        <v>-0.074436</v>
      </c>
      <c r="M646" t="n">
        <v>-0.12908</v>
      </c>
      <c r="N646" t="n">
        <v>-3.0623</v>
      </c>
      <c r="O646" t="n">
        <v>0.65929</v>
      </c>
      <c r="P646" t="n">
        <v>0.36066</v>
      </c>
      <c r="Q646" t="n">
        <v>0.7961</v>
      </c>
      <c r="R646" t="n">
        <v>0.62864</v>
      </c>
      <c r="S646" t="n">
        <v>-0.46288</v>
      </c>
      <c r="T646" t="n">
        <v>-0.35445</v>
      </c>
      <c r="U646" t="n">
        <v>0.47859</v>
      </c>
      <c r="V646" t="n">
        <v>-0.57047</v>
      </c>
      <c r="W646" t="n">
        <v>-0.50063</v>
      </c>
      <c r="X646" t="n">
        <v>-0.051128</v>
      </c>
      <c r="Y646" t="n">
        <v>-0.4133</v>
      </c>
      <c r="Z646" t="n">
        <v>-0.13351</v>
      </c>
    </row>
    <row r="647">
      <c r="A647" t="inlineStr">
        <is>
          <t>typical</t>
        </is>
      </c>
      <c r="B647" t="n">
        <v>-0.063846</v>
      </c>
      <c r="C647" t="n">
        <v>-0.016412</v>
      </c>
      <c r="D647" t="n">
        <v>-0.22733</v>
      </c>
      <c r="E647" t="n">
        <v>-0.65225</v>
      </c>
      <c r="F647" t="n">
        <v>0.1505</v>
      </c>
      <c r="G647" t="n">
        <v>0.36626</v>
      </c>
      <c r="H647" t="n">
        <v>1.5778</v>
      </c>
      <c r="I647" t="n">
        <v>-0.72131</v>
      </c>
      <c r="J647" t="n">
        <v>-0.37318</v>
      </c>
      <c r="K647" t="n">
        <v>0.30506</v>
      </c>
      <c r="L647" t="n">
        <v>-1.2065</v>
      </c>
      <c r="M647" t="n">
        <v>0.2603</v>
      </c>
      <c r="N647" t="n">
        <v>-2.4819</v>
      </c>
      <c r="O647" t="n">
        <v>-0.053472</v>
      </c>
      <c r="P647" t="n">
        <v>0.9113</v>
      </c>
      <c r="Q647" t="n">
        <v>-0.18209</v>
      </c>
      <c r="R647" t="n">
        <v>1.0973</v>
      </c>
      <c r="S647" t="n">
        <v>-0.43454</v>
      </c>
      <c r="T647" t="n">
        <v>-0.089602</v>
      </c>
      <c r="U647" t="n">
        <v>0.13462</v>
      </c>
      <c r="V647" t="n">
        <v>0.34689</v>
      </c>
      <c r="W647" t="n">
        <v>0.83148</v>
      </c>
      <c r="X647" t="n">
        <v>-0.38358</v>
      </c>
      <c r="Y647" t="n">
        <v>-1.0793</v>
      </c>
      <c r="Z647" t="n">
        <v>-0.6893899999999999</v>
      </c>
    </row>
    <row r="648">
      <c r="A648" t="inlineStr">
        <is>
          <t>offline</t>
        </is>
      </c>
      <c r="B648" t="n">
        <v>0.11689</v>
      </c>
      <c r="C648" t="n">
        <v>0.16113</v>
      </c>
      <c r="D648" t="n">
        <v>0.082174</v>
      </c>
      <c r="E648" t="n">
        <v>-0.71208</v>
      </c>
      <c r="F648" t="n">
        <v>0.32528</v>
      </c>
      <c r="G648" t="n">
        <v>-0.13778</v>
      </c>
      <c r="H648" t="n">
        <v>0.030719</v>
      </c>
      <c r="I648" t="n">
        <v>-0.5137</v>
      </c>
      <c r="J648" t="n">
        <v>-0.23865</v>
      </c>
      <c r="K648" t="n">
        <v>0.5009400000000001</v>
      </c>
      <c r="L648" t="n">
        <v>-0.80888</v>
      </c>
      <c r="M648" t="n">
        <v>-0.25404</v>
      </c>
      <c r="N648" t="n">
        <v>-1.8066</v>
      </c>
      <c r="O648" t="n">
        <v>-0.42859</v>
      </c>
      <c r="P648" t="n">
        <v>0.080817</v>
      </c>
      <c r="Q648" t="n">
        <v>0.22425</v>
      </c>
      <c r="R648" t="n">
        <v>0.40599</v>
      </c>
      <c r="S648" t="n">
        <v>-0.4004</v>
      </c>
      <c r="T648" t="n">
        <v>-0.97998</v>
      </c>
      <c r="U648" t="n">
        <v>-0.6676800000000001</v>
      </c>
      <c r="V648" t="n">
        <v>-0.44709</v>
      </c>
      <c r="W648" t="n">
        <v>-1.2968</v>
      </c>
      <c r="X648" t="n">
        <v>-0.33194</v>
      </c>
      <c r="Y648" t="n">
        <v>0.46403</v>
      </c>
      <c r="Z648" t="n">
        <v>-0.10687</v>
      </c>
    </row>
    <row r="649">
      <c r="A649" t="inlineStr">
        <is>
          <t>related</t>
        </is>
      </c>
      <c r="B649" t="n">
        <v>0.70549</v>
      </c>
      <c r="C649" t="n">
        <v>0.2559</v>
      </c>
      <c r="D649" t="n">
        <v>-0.079431</v>
      </c>
      <c r="E649" t="n">
        <v>-0.36271</v>
      </c>
      <c r="F649" t="n">
        <v>0.9109699999999999</v>
      </c>
      <c r="G649" t="n">
        <v>-0.68351</v>
      </c>
      <c r="H649" t="n">
        <v>1.2866</v>
      </c>
      <c r="I649" t="n">
        <v>-1.1895</v>
      </c>
      <c r="J649" t="n">
        <v>-0.20288</v>
      </c>
      <c r="K649" t="n">
        <v>0.13916</v>
      </c>
      <c r="L649" t="n">
        <v>0.154</v>
      </c>
      <c r="M649" t="n">
        <v>0.42473</v>
      </c>
      <c r="N649" t="n">
        <v>-2.9206</v>
      </c>
      <c r="O649" t="n">
        <v>-0.1926</v>
      </c>
      <c r="P649" t="n">
        <v>1.0156</v>
      </c>
      <c r="Q649" t="n">
        <v>0.73261</v>
      </c>
      <c r="R649" t="n">
        <v>0.15899</v>
      </c>
      <c r="S649" t="n">
        <v>0.11269</v>
      </c>
      <c r="T649" t="n">
        <v>0.45328</v>
      </c>
      <c r="U649" t="n">
        <v>-0.24021</v>
      </c>
      <c r="V649" t="n">
        <v>0.044432</v>
      </c>
      <c r="W649" t="n">
        <v>-0.056222</v>
      </c>
      <c r="X649" t="n">
        <v>-0.92203</v>
      </c>
      <c r="Y649" t="n">
        <v>-0.37147</v>
      </c>
      <c r="Z649" t="n">
        <v>-0.52959</v>
      </c>
    </row>
    <row r="650">
      <c r="A650" t="inlineStr">
        <is>
          <t>indirect</t>
        </is>
      </c>
      <c r="B650" t="n">
        <v>0.25712</v>
      </c>
      <c r="C650" t="n">
        <v>0.63826</v>
      </c>
      <c r="D650" t="n">
        <v>-0.49667</v>
      </c>
      <c r="E650" t="n">
        <v>0.15967</v>
      </c>
      <c r="F650" t="n">
        <v>1.1115</v>
      </c>
      <c r="G650" t="n">
        <v>-1.1606</v>
      </c>
      <c r="H650" t="n">
        <v>1.245</v>
      </c>
      <c r="I650" t="n">
        <v>-0.69142</v>
      </c>
      <c r="J650" t="n">
        <v>-1.394</v>
      </c>
      <c r="K650" t="n">
        <v>-0.024615</v>
      </c>
      <c r="L650" t="n">
        <v>-0.77205</v>
      </c>
      <c r="M650" t="n">
        <v>0.4683</v>
      </c>
      <c r="N650" t="n">
        <v>-1.5887</v>
      </c>
      <c r="O650" t="n">
        <v>-1.2989</v>
      </c>
      <c r="P650" t="n">
        <v>-0.6170099999999999</v>
      </c>
      <c r="Q650" t="n">
        <v>0.86678</v>
      </c>
      <c r="R650" t="n">
        <v>0.22805</v>
      </c>
      <c r="S650" t="n">
        <v>-0.879</v>
      </c>
      <c r="T650" t="n">
        <v>-1.0054</v>
      </c>
      <c r="U650" t="n">
        <v>-0.14729</v>
      </c>
      <c r="V650" t="n">
        <v>0.50583</v>
      </c>
      <c r="W650" t="n">
        <v>-0.83982</v>
      </c>
      <c r="X650" t="n">
        <v>0.2437</v>
      </c>
      <c r="Y650" t="n">
        <v>0.18057</v>
      </c>
      <c r="Z650" t="n">
        <v>-1.6766</v>
      </c>
    </row>
    <row r="651">
      <c r="A651" t="inlineStr">
        <is>
          <t>hacerme</t>
        </is>
      </c>
      <c r="B651" t="n">
        <v>-0.8564000000000001</v>
      </c>
      <c r="C651" t="n">
        <v>1.3057</v>
      </c>
      <c r="D651" t="n">
        <v>0.1868</v>
      </c>
      <c r="E651" t="n">
        <v>1.4982</v>
      </c>
      <c r="F651" t="n">
        <v>1.0264</v>
      </c>
      <c r="G651" t="n">
        <v>1.784</v>
      </c>
      <c r="H651" t="n">
        <v>-0.40247</v>
      </c>
      <c r="I651" t="n">
        <v>2.0105</v>
      </c>
      <c r="J651" t="n">
        <v>-0.73069</v>
      </c>
      <c r="K651" t="n">
        <v>-1.6313</v>
      </c>
      <c r="L651" t="n">
        <v>1.0118</v>
      </c>
      <c r="M651" t="n">
        <v>-2.4654</v>
      </c>
      <c r="N651" t="n">
        <v>-0.9868400000000001</v>
      </c>
      <c r="O651" t="n">
        <v>-1.0058</v>
      </c>
      <c r="P651" t="n">
        <v>0.89196</v>
      </c>
      <c r="Q651" t="n">
        <v>1.3216</v>
      </c>
      <c r="R651" t="n">
        <v>-0.40398</v>
      </c>
      <c r="S651" t="n">
        <v>0.40699</v>
      </c>
      <c r="T651" t="n">
        <v>0.089478</v>
      </c>
      <c r="U651" t="n">
        <v>-0.23554</v>
      </c>
      <c r="V651" t="n">
        <v>-0.13311</v>
      </c>
      <c r="W651" t="n">
        <v>-0.31345</v>
      </c>
      <c r="X651" t="n">
        <v>-0.087945</v>
      </c>
      <c r="Y651" t="n">
        <v>1.3106</v>
      </c>
      <c r="Z651" t="n">
        <v>-0.5061</v>
      </c>
    </row>
    <row r="652">
      <c r="A652" t="inlineStr">
        <is>
          <t>selfish</t>
        </is>
      </c>
      <c r="B652" t="n">
        <v>0.0024315</v>
      </c>
      <c r="C652" t="n">
        <v>-0.41212</v>
      </c>
      <c r="D652" t="n">
        <v>-1.0839</v>
      </c>
      <c r="E652" t="n">
        <v>0.2103</v>
      </c>
      <c r="F652" t="n">
        <v>0.39483</v>
      </c>
      <c r="G652" t="n">
        <v>0.90443</v>
      </c>
      <c r="H652" t="n">
        <v>1.249</v>
      </c>
      <c r="I652" t="n">
        <v>-0.69426</v>
      </c>
      <c r="J652" t="n">
        <v>-0.5182</v>
      </c>
      <c r="K652" t="n">
        <v>0.37046</v>
      </c>
      <c r="L652" t="n">
        <v>-1.6319</v>
      </c>
      <c r="M652" t="n">
        <v>0.17349</v>
      </c>
      <c r="N652" t="n">
        <v>-2.7795</v>
      </c>
      <c r="O652" t="n">
        <v>0.10791</v>
      </c>
      <c r="P652" t="n">
        <v>-0.16711</v>
      </c>
      <c r="Q652" t="n">
        <v>0.60445</v>
      </c>
      <c r="R652" t="n">
        <v>0.50981</v>
      </c>
      <c r="S652" t="n">
        <v>-0.47656</v>
      </c>
      <c r="T652" t="n">
        <v>1.2389</v>
      </c>
      <c r="U652" t="n">
        <v>-0.44359</v>
      </c>
      <c r="V652" t="n">
        <v>1.4329</v>
      </c>
      <c r="W652" t="n">
        <v>1.7414</v>
      </c>
      <c r="X652" t="n">
        <v>-0.96971</v>
      </c>
      <c r="Y652" t="n">
        <v>-0.51874</v>
      </c>
      <c r="Z652" t="n">
        <v>-0.77284</v>
      </c>
    </row>
    <row r="653">
      <c r="A653" t="inlineStr">
        <is>
          <t>election</t>
        </is>
      </c>
      <c r="B653" t="n">
        <v>1.0729</v>
      </c>
      <c r="C653" t="n">
        <v>0.77963</v>
      </c>
      <c r="D653" t="n">
        <v>-0.98176</v>
      </c>
      <c r="E653" t="n">
        <v>-1.0813</v>
      </c>
      <c r="F653" t="n">
        <v>0.15096</v>
      </c>
      <c r="G653" t="n">
        <v>-1.9077</v>
      </c>
      <c r="H653" t="n">
        <v>0.34671</v>
      </c>
      <c r="I653" t="n">
        <v>-0.85255</v>
      </c>
      <c r="J653" t="n">
        <v>0.638</v>
      </c>
      <c r="K653" t="n">
        <v>-0.11122</v>
      </c>
      <c r="L653" t="n">
        <v>-0.28173</v>
      </c>
      <c r="M653" t="n">
        <v>0.032971</v>
      </c>
      <c r="N653" t="n">
        <v>-3.074</v>
      </c>
      <c r="O653" t="n">
        <v>1.9266</v>
      </c>
      <c r="P653" t="n">
        <v>0.81371</v>
      </c>
      <c r="Q653" t="n">
        <v>-0.86205</v>
      </c>
      <c r="R653" t="n">
        <v>-0.67</v>
      </c>
      <c r="S653" t="n">
        <v>-0.041087</v>
      </c>
      <c r="T653" t="n">
        <v>-0.26829</v>
      </c>
      <c r="U653" t="n">
        <v>-0.66733</v>
      </c>
      <c r="V653" t="n">
        <v>-0.40652</v>
      </c>
      <c r="W653" t="n">
        <v>0.5476</v>
      </c>
      <c r="X653" t="n">
        <v>0.13716</v>
      </c>
      <c r="Y653" t="n">
        <v>-1.094</v>
      </c>
      <c r="Z653" t="n">
        <v>-0.96162</v>
      </c>
    </row>
    <row r="654">
      <c r="A654" t="inlineStr">
        <is>
          <t>femaleartist</t>
        </is>
      </c>
      <c r="B654" t="n">
        <v>1.3079</v>
      </c>
      <c r="C654" t="n">
        <v>-0.38145</v>
      </c>
      <c r="D654" t="n">
        <v>-0.30982</v>
      </c>
      <c r="E654" t="n">
        <v>-0.060404</v>
      </c>
      <c r="F654" t="n">
        <v>-0.72806</v>
      </c>
      <c r="G654" t="n">
        <v>-1.0204</v>
      </c>
      <c r="H654" t="n">
        <v>1.7522</v>
      </c>
      <c r="I654" t="n">
        <v>1.0184</v>
      </c>
      <c r="J654" t="n">
        <v>-1.0817</v>
      </c>
      <c r="K654" t="n">
        <v>-1.9395</v>
      </c>
      <c r="L654" t="n">
        <v>-0.86939</v>
      </c>
      <c r="M654" t="n">
        <v>-0.3403</v>
      </c>
      <c r="N654" t="n">
        <v>-1.2303</v>
      </c>
      <c r="O654" t="n">
        <v>0.090445</v>
      </c>
      <c r="P654" t="n">
        <v>-2.3899</v>
      </c>
      <c r="Q654" t="n">
        <v>0.6888</v>
      </c>
      <c r="R654" t="n">
        <v>-2.1391</v>
      </c>
      <c r="S654" t="n">
        <v>-1.0476</v>
      </c>
      <c r="T654" t="n">
        <v>1.2644</v>
      </c>
      <c r="U654" t="n">
        <v>0.047775</v>
      </c>
      <c r="V654" t="n">
        <v>-1.3189</v>
      </c>
      <c r="W654" t="n">
        <v>1.8708</v>
      </c>
      <c r="X654" t="n">
        <v>0.47841</v>
      </c>
      <c r="Y654" t="n">
        <v>-2.3243</v>
      </c>
      <c r="Z654" t="n">
        <v>-0.60249</v>
      </c>
    </row>
    <row r="655">
      <c r="A655" t="inlineStr">
        <is>
          <t>weakness</t>
        </is>
      </c>
      <c r="B655" t="n">
        <v>-0.50362</v>
      </c>
      <c r="C655" t="n">
        <v>-0.59459</v>
      </c>
      <c r="D655" t="n">
        <v>-1.2918</v>
      </c>
      <c r="E655" t="n">
        <v>1.0313</v>
      </c>
      <c r="F655" t="n">
        <v>0.38868</v>
      </c>
      <c r="G655" t="n">
        <v>0.34502</v>
      </c>
      <c r="H655" t="n">
        <v>1.5407</v>
      </c>
      <c r="I655" t="n">
        <v>-1.3547</v>
      </c>
      <c r="J655" t="n">
        <v>-1.1285</v>
      </c>
      <c r="K655" t="n">
        <v>0.27902</v>
      </c>
      <c r="L655" t="n">
        <v>-0.08466899999999999</v>
      </c>
      <c r="M655" t="n">
        <v>0.18907</v>
      </c>
      <c r="N655" t="n">
        <v>-2.591</v>
      </c>
      <c r="O655" t="n">
        <v>-0.025798</v>
      </c>
      <c r="P655" t="n">
        <v>-0.54147</v>
      </c>
      <c r="Q655" t="n">
        <v>0.26432</v>
      </c>
      <c r="R655" t="n">
        <v>-0.39607</v>
      </c>
      <c r="S655" t="n">
        <v>-0.30655</v>
      </c>
      <c r="T655" t="n">
        <v>1.3046</v>
      </c>
      <c r="U655" t="n">
        <v>0.17401</v>
      </c>
      <c r="V655" t="n">
        <v>0.08354300000000001</v>
      </c>
      <c r="W655" t="n">
        <v>1.6046</v>
      </c>
      <c r="X655" t="n">
        <v>0.1114</v>
      </c>
      <c r="Y655" t="n">
        <v>0.050824</v>
      </c>
      <c r="Z655" t="n">
        <v>-1.0932</v>
      </c>
    </row>
    <row r="656">
      <c r="A656" t="inlineStr">
        <is>
          <t>theater</t>
        </is>
      </c>
      <c r="B656" t="n">
        <v>-0.67783</v>
      </c>
      <c r="C656" t="n">
        <v>0.84071</v>
      </c>
      <c r="D656" t="n">
        <v>1.1449</v>
      </c>
      <c r="E656" t="n">
        <v>-0.57392</v>
      </c>
      <c r="F656" t="n">
        <v>-0.09740500000000001</v>
      </c>
      <c r="G656" t="n">
        <v>-0.17978</v>
      </c>
      <c r="H656" t="n">
        <v>0.76139</v>
      </c>
      <c r="I656" t="n">
        <v>0.050902</v>
      </c>
      <c r="J656" t="n">
        <v>1.4727</v>
      </c>
      <c r="K656" t="n">
        <v>0.18589</v>
      </c>
      <c r="L656" t="n">
        <v>0.41217</v>
      </c>
      <c r="M656" t="n">
        <v>0.58969</v>
      </c>
      <c r="N656" t="n">
        <v>-2.4114</v>
      </c>
      <c r="O656" t="n">
        <v>0.45513</v>
      </c>
      <c r="P656" t="n">
        <v>0.75485</v>
      </c>
      <c r="Q656" t="n">
        <v>0.31837</v>
      </c>
      <c r="R656" t="n">
        <v>0.18229</v>
      </c>
      <c r="S656" t="n">
        <v>0.1426</v>
      </c>
      <c r="T656" t="n">
        <v>-0.43981</v>
      </c>
      <c r="U656" t="n">
        <v>0.2288</v>
      </c>
      <c r="V656" t="n">
        <v>-1.2793</v>
      </c>
      <c r="W656" t="n">
        <v>-0.44207</v>
      </c>
      <c r="X656" t="n">
        <v>-0.82055</v>
      </c>
      <c r="Y656" t="n">
        <v>-0.48601</v>
      </c>
      <c r="Z656" t="n">
        <v>0.78879</v>
      </c>
    </row>
    <row r="657">
      <c r="A657" t="inlineStr">
        <is>
          <t>otherwise</t>
        </is>
      </c>
      <c r="B657" t="n">
        <v>0.12556</v>
      </c>
      <c r="C657" t="n">
        <v>0.18421</v>
      </c>
      <c r="D657" t="n">
        <v>-0.73702</v>
      </c>
      <c r="E657" t="n">
        <v>-0.16238</v>
      </c>
      <c r="F657" t="n">
        <v>-0.35587</v>
      </c>
      <c r="G657" t="n">
        <v>0.029998</v>
      </c>
      <c r="H657" t="n">
        <v>0.48396</v>
      </c>
      <c r="I657" t="n">
        <v>-1.486</v>
      </c>
      <c r="J657" t="n">
        <v>-0.26532</v>
      </c>
      <c r="K657" t="n">
        <v>-0.043284</v>
      </c>
      <c r="L657" t="n">
        <v>-0.55321</v>
      </c>
      <c r="M657" t="n">
        <v>0.43307</v>
      </c>
      <c r="N657" t="n">
        <v>-3.4117</v>
      </c>
      <c r="O657" t="n">
        <v>0.13421</v>
      </c>
      <c r="P657" t="n">
        <v>0.58164</v>
      </c>
      <c r="Q657" t="n">
        <v>0.5047199999999999</v>
      </c>
      <c r="R657" t="n">
        <v>0.42043</v>
      </c>
      <c r="S657" t="n">
        <v>-0.29016</v>
      </c>
      <c r="T657" t="n">
        <v>0.56533</v>
      </c>
      <c r="U657" t="n">
        <v>-0.86146</v>
      </c>
      <c r="V657" t="n">
        <v>0.4458</v>
      </c>
      <c r="W657" t="n">
        <v>-0.11418</v>
      </c>
      <c r="X657" t="n">
        <v>-0.36185</v>
      </c>
      <c r="Y657" t="n">
        <v>0.51115</v>
      </c>
      <c r="Z657" t="n">
        <v>-0.57617</v>
      </c>
    </row>
    <row r="658">
      <c r="A658" t="inlineStr">
        <is>
          <t>tc</t>
        </is>
      </c>
      <c r="B658" t="n">
        <v>0.0021107</v>
      </c>
      <c r="C658" t="n">
        <v>0.53964</v>
      </c>
      <c r="D658" t="n">
        <v>0.078945</v>
      </c>
      <c r="E658" t="n">
        <v>-0.19217</v>
      </c>
      <c r="F658" t="n">
        <v>-0.017285</v>
      </c>
      <c r="G658" t="n">
        <v>-0.062461</v>
      </c>
      <c r="H658" t="n">
        <v>-0.41608</v>
      </c>
      <c r="I658" t="n">
        <v>0.9747400000000001</v>
      </c>
      <c r="J658" t="n">
        <v>-0.079481</v>
      </c>
      <c r="K658" t="n">
        <v>-0.5463</v>
      </c>
      <c r="L658" t="n">
        <v>-0.43061</v>
      </c>
      <c r="M658" t="n">
        <v>-0.92597</v>
      </c>
      <c r="N658" t="n">
        <v>-1.6447</v>
      </c>
      <c r="O658" t="n">
        <v>0.13692</v>
      </c>
      <c r="P658" t="n">
        <v>0.2017</v>
      </c>
      <c r="Q658" t="n">
        <v>0.52497</v>
      </c>
      <c r="R658" t="n">
        <v>-0.20846</v>
      </c>
      <c r="S658" t="n">
        <v>-0.13596</v>
      </c>
      <c r="T658" t="n">
        <v>-1.1293</v>
      </c>
      <c r="U658" t="n">
        <v>0.58523</v>
      </c>
      <c r="V658" t="n">
        <v>-0.1046</v>
      </c>
      <c r="W658" t="n">
        <v>-0.81138</v>
      </c>
      <c r="X658" t="n">
        <v>-0.0092085</v>
      </c>
      <c r="Y658" t="n">
        <v>-0.10389</v>
      </c>
      <c r="Z658" t="n">
        <v>-0.094634</v>
      </c>
    </row>
    <row r="659">
      <c r="A659" t="inlineStr">
        <is>
          <t>instantly</t>
        </is>
      </c>
      <c r="B659" t="n">
        <v>-0.20412</v>
      </c>
      <c r="C659" t="n">
        <v>0.29811</v>
      </c>
      <c r="D659" t="n">
        <v>-0.46885</v>
      </c>
      <c r="E659" t="n">
        <v>-0.1971</v>
      </c>
      <c r="F659" t="n">
        <v>0.18893</v>
      </c>
      <c r="G659" t="n">
        <v>0.21677</v>
      </c>
      <c r="H659" t="n">
        <v>0.98758</v>
      </c>
      <c r="I659" t="n">
        <v>-1.006</v>
      </c>
      <c r="J659" t="n">
        <v>-1.1605</v>
      </c>
      <c r="K659" t="n">
        <v>0.16122</v>
      </c>
      <c r="L659" t="n">
        <v>0.43414</v>
      </c>
      <c r="M659" t="n">
        <v>0.94887</v>
      </c>
      <c r="N659" t="n">
        <v>-2.358</v>
      </c>
      <c r="O659" t="n">
        <v>-0.50528</v>
      </c>
      <c r="P659" t="n">
        <v>-0.67394</v>
      </c>
      <c r="Q659" t="n">
        <v>1.2383</v>
      </c>
      <c r="R659" t="n">
        <v>-0.11144</v>
      </c>
      <c r="S659" t="n">
        <v>-0.62496</v>
      </c>
      <c r="T659" t="n">
        <v>0.77238</v>
      </c>
      <c r="U659" t="n">
        <v>-1.5434</v>
      </c>
      <c r="V659" t="n">
        <v>0.27278</v>
      </c>
      <c r="W659" t="n">
        <v>-1.6621</v>
      </c>
      <c r="X659" t="n">
        <v>0.72758</v>
      </c>
      <c r="Y659" t="n">
        <v>0.42982</v>
      </c>
      <c r="Z659" t="n">
        <v>-0.90223</v>
      </c>
    </row>
    <row r="660">
      <c r="A660" t="inlineStr">
        <is>
          <t>highly</t>
        </is>
      </c>
      <c r="B660" t="n">
        <v>-0.089533</v>
      </c>
      <c r="C660" t="n">
        <v>-0.041598</v>
      </c>
      <c r="D660" t="n">
        <v>-1.1325</v>
      </c>
      <c r="E660" t="n">
        <v>-0.8349800000000001</v>
      </c>
      <c r="F660" t="n">
        <v>0.79596</v>
      </c>
      <c r="G660" t="n">
        <v>1.486</v>
      </c>
      <c r="H660" t="n">
        <v>0.56047</v>
      </c>
      <c r="I660" t="n">
        <v>-1.242</v>
      </c>
      <c r="J660" t="n">
        <v>-0.64806</v>
      </c>
      <c r="K660" t="n">
        <v>-1.0507</v>
      </c>
      <c r="L660" t="n">
        <v>-0.13735</v>
      </c>
      <c r="M660" t="n">
        <v>1.4836</v>
      </c>
      <c r="N660" t="n">
        <v>-2.8353</v>
      </c>
      <c r="O660" t="n">
        <v>-0.11552</v>
      </c>
      <c r="P660" t="n">
        <v>-0.16914</v>
      </c>
      <c r="Q660" t="n">
        <v>-0.10677</v>
      </c>
      <c r="R660" t="n">
        <v>0.76718</v>
      </c>
      <c r="S660" t="n">
        <v>0.39014</v>
      </c>
      <c r="T660" t="n">
        <v>0.89519</v>
      </c>
      <c r="U660" t="n">
        <v>-1.5318</v>
      </c>
      <c r="V660" t="n">
        <v>0.42378</v>
      </c>
      <c r="W660" t="n">
        <v>-0.6763400000000001</v>
      </c>
      <c r="X660" t="n">
        <v>-1.2537</v>
      </c>
      <c r="Y660" t="n">
        <v>-0.13945</v>
      </c>
      <c r="Z660" t="n">
        <v>-0.60385</v>
      </c>
    </row>
    <row r="661">
      <c r="A661" t="inlineStr">
        <is>
          <t>trey</t>
        </is>
      </c>
      <c r="B661" t="n">
        <v>-0.36082</v>
      </c>
      <c r="C661" t="n">
        <v>0.55683</v>
      </c>
      <c r="D661" t="n">
        <v>0.5936900000000001</v>
      </c>
      <c r="E661" t="n">
        <v>0.80423</v>
      </c>
      <c r="F661" t="n">
        <v>-0.58134</v>
      </c>
      <c r="G661" t="n">
        <v>-0.53681</v>
      </c>
      <c r="H661" t="n">
        <v>0.70546</v>
      </c>
      <c r="I661" t="n">
        <v>0.19217</v>
      </c>
      <c r="J661" t="n">
        <v>0.11145</v>
      </c>
      <c r="K661" t="n">
        <v>-1.2509</v>
      </c>
      <c r="L661" t="n">
        <v>-0.43024</v>
      </c>
      <c r="M661" t="n">
        <v>1.8302</v>
      </c>
      <c r="N661" t="n">
        <v>-2.6848</v>
      </c>
      <c r="O661" t="n">
        <v>-0.97327</v>
      </c>
      <c r="P661" t="n">
        <v>0.34223</v>
      </c>
      <c r="Q661" t="n">
        <v>0.17627</v>
      </c>
      <c r="R661" t="n">
        <v>-0.39347</v>
      </c>
      <c r="S661" t="n">
        <v>-0.28809</v>
      </c>
      <c r="T661" t="n">
        <v>-0.55685</v>
      </c>
      <c r="U661" t="n">
        <v>0.74166</v>
      </c>
      <c r="V661" t="n">
        <v>0.60181</v>
      </c>
      <c r="W661" t="n">
        <v>0.75091</v>
      </c>
      <c r="X661" t="n">
        <v>0.82606</v>
      </c>
      <c r="Y661" t="n">
        <v>-0.86587</v>
      </c>
      <c r="Z661" t="n">
        <v>0.4801</v>
      </c>
    </row>
    <row r="662">
      <c r="A662" t="inlineStr">
        <is>
          <t>leather</t>
        </is>
      </c>
      <c r="B662" t="n">
        <v>-1.497</v>
      </c>
      <c r="C662" t="n">
        <v>-1.4561</v>
      </c>
      <c r="D662" t="n">
        <v>-0.049834</v>
      </c>
      <c r="E662" t="n">
        <v>-0.96454</v>
      </c>
      <c r="F662" t="n">
        <v>1.0231</v>
      </c>
      <c r="G662" t="n">
        <v>0.4833</v>
      </c>
      <c r="H662" t="n">
        <v>-0.61769</v>
      </c>
      <c r="I662" t="n">
        <v>-0.9504899999999999</v>
      </c>
      <c r="J662" t="n">
        <v>0.94187</v>
      </c>
      <c r="K662" t="n">
        <v>-0.01347</v>
      </c>
      <c r="L662" t="n">
        <v>1.2096</v>
      </c>
      <c r="M662" t="n">
        <v>-0.0022276</v>
      </c>
      <c r="N662" t="n">
        <v>-3.3984</v>
      </c>
      <c r="O662" t="n">
        <v>-1.1748</v>
      </c>
      <c r="P662" t="n">
        <v>-0.99196</v>
      </c>
      <c r="Q662" t="n">
        <v>-0.24429</v>
      </c>
      <c r="R662" t="n">
        <v>0.81006</v>
      </c>
      <c r="S662" t="n">
        <v>-0.33204</v>
      </c>
      <c r="T662" t="n">
        <v>0.040701</v>
      </c>
      <c r="U662" t="n">
        <v>1.5095</v>
      </c>
      <c r="V662" t="n">
        <v>-1.0936</v>
      </c>
      <c r="W662" t="n">
        <v>0.34857</v>
      </c>
      <c r="X662" t="n">
        <v>1.1667</v>
      </c>
      <c r="Y662" t="n">
        <v>-0.44522</v>
      </c>
      <c r="Z662" t="n">
        <v>-1.1525</v>
      </c>
    </row>
    <row r="663">
      <c r="A663" t="inlineStr">
        <is>
          <t>tod</t>
        </is>
      </c>
      <c r="B663" t="n">
        <v>0.23027</v>
      </c>
      <c r="C663" t="n">
        <v>0.6216699999999999</v>
      </c>
      <c r="D663" t="n">
        <v>-1.1904</v>
      </c>
      <c r="E663" t="n">
        <v>0.18134</v>
      </c>
      <c r="F663" t="n">
        <v>0.8193</v>
      </c>
      <c r="G663" t="n">
        <v>0.24809</v>
      </c>
      <c r="H663" t="n">
        <v>-0.69836</v>
      </c>
      <c r="I663" t="n">
        <v>1.0786</v>
      </c>
      <c r="J663" t="n">
        <v>-0.68962</v>
      </c>
      <c r="K663" t="n">
        <v>-0.35326</v>
      </c>
      <c r="L663" t="n">
        <v>-0.38899</v>
      </c>
      <c r="M663" t="n">
        <v>-0.67638</v>
      </c>
      <c r="N663" t="n">
        <v>-0.81392</v>
      </c>
      <c r="O663" t="n">
        <v>1.0051</v>
      </c>
      <c r="P663" t="n">
        <v>0.63564</v>
      </c>
      <c r="Q663" t="n">
        <v>-0.073338</v>
      </c>
      <c r="R663" t="n">
        <v>0.35295</v>
      </c>
      <c r="S663" t="n">
        <v>-1.0399</v>
      </c>
      <c r="T663" t="n">
        <v>-0.59416</v>
      </c>
      <c r="U663" t="n">
        <v>-0.42372</v>
      </c>
      <c r="V663" t="n">
        <v>0.17089</v>
      </c>
      <c r="W663" t="n">
        <v>-0.3609</v>
      </c>
      <c r="X663" t="n">
        <v>-0.78023</v>
      </c>
      <c r="Y663" t="n">
        <v>0.46934</v>
      </c>
      <c r="Z663" t="n">
        <v>0.58801</v>
      </c>
    </row>
    <row r="664">
      <c r="A664" t="inlineStr">
        <is>
          <t>hurricane</t>
        </is>
      </c>
      <c r="B664" t="n">
        <v>-0.7454499999999999</v>
      </c>
      <c r="C664" t="n">
        <v>0.42393</v>
      </c>
      <c r="D664" t="n">
        <v>-0.033703</v>
      </c>
      <c r="E664" t="n">
        <v>0.5091</v>
      </c>
      <c r="F664" t="n">
        <v>-0.49047</v>
      </c>
      <c r="G664" t="n">
        <v>-0.78552</v>
      </c>
      <c r="H664" t="n">
        <v>1.4712</v>
      </c>
      <c r="I664" t="n">
        <v>-0.81249</v>
      </c>
      <c r="J664" t="n">
        <v>0.18533</v>
      </c>
      <c r="K664" t="n">
        <v>-0.1321</v>
      </c>
      <c r="L664" t="n">
        <v>-0.34907</v>
      </c>
      <c r="M664" t="n">
        <v>0.40619</v>
      </c>
      <c r="N664" t="n">
        <v>-2.6072</v>
      </c>
      <c r="O664" t="n">
        <v>0.50143</v>
      </c>
      <c r="P664" t="n">
        <v>1.3468</v>
      </c>
      <c r="Q664" t="n">
        <v>-0.37011</v>
      </c>
      <c r="R664" t="n">
        <v>0.059875</v>
      </c>
      <c r="S664" t="n">
        <v>0.60517</v>
      </c>
      <c r="T664" t="n">
        <v>0.5789800000000001</v>
      </c>
      <c r="U664" t="n">
        <v>-0.27715</v>
      </c>
      <c r="V664" t="n">
        <v>0.22006</v>
      </c>
      <c r="W664" t="n">
        <v>-0.15747</v>
      </c>
      <c r="X664" t="n">
        <v>0.93191</v>
      </c>
      <c r="Y664" t="n">
        <v>-1.2896</v>
      </c>
      <c r="Z664" t="n">
        <v>0.42025</v>
      </c>
    </row>
    <row r="665">
      <c r="A665" t="inlineStr">
        <is>
          <t>addiction</t>
        </is>
      </c>
      <c r="B665" t="n">
        <v>-0.45175</v>
      </c>
      <c r="C665" t="n">
        <v>0.42702</v>
      </c>
      <c r="D665" t="n">
        <v>-0.79717</v>
      </c>
      <c r="E665" t="n">
        <v>0.85381</v>
      </c>
      <c r="F665" t="n">
        <v>1.179</v>
      </c>
      <c r="G665" t="n">
        <v>-0.049812</v>
      </c>
      <c r="H665" t="n">
        <v>1.5472</v>
      </c>
      <c r="I665" t="n">
        <v>-1.3985</v>
      </c>
      <c r="J665" t="n">
        <v>-0.35118</v>
      </c>
      <c r="K665" t="n">
        <v>0.3465</v>
      </c>
      <c r="L665" t="n">
        <v>0.66583</v>
      </c>
      <c r="M665" t="n">
        <v>0.19413</v>
      </c>
      <c r="N665" t="n">
        <v>-2.3238</v>
      </c>
      <c r="O665" t="n">
        <v>-1.0982</v>
      </c>
      <c r="P665" t="n">
        <v>0.8142200000000001</v>
      </c>
      <c r="Q665" t="n">
        <v>0.63802</v>
      </c>
      <c r="R665" t="n">
        <v>0.25275</v>
      </c>
      <c r="S665" t="n">
        <v>0.19558</v>
      </c>
      <c r="T665" t="n">
        <v>0.7407899999999999</v>
      </c>
      <c r="U665" t="n">
        <v>0.15369</v>
      </c>
      <c r="V665" t="n">
        <v>-0.28852</v>
      </c>
      <c r="W665" t="n">
        <v>-0.20507</v>
      </c>
      <c r="X665" t="n">
        <v>-0.24943</v>
      </c>
      <c r="Y665" t="n">
        <v>-0.13441</v>
      </c>
      <c r="Z665" t="n">
        <v>0.69918</v>
      </c>
    </row>
    <row r="666">
      <c r="A666" t="inlineStr">
        <is>
          <t>bones</t>
        </is>
      </c>
      <c r="B666" t="n">
        <v>-0.20791</v>
      </c>
      <c r="C666" t="n">
        <v>-0.4203</v>
      </c>
      <c r="D666" t="n">
        <v>0.12337</v>
      </c>
      <c r="E666" t="n">
        <v>0.8563499999999999</v>
      </c>
      <c r="F666" t="n">
        <v>0.06926400000000001</v>
      </c>
      <c r="G666" t="n">
        <v>0.055803</v>
      </c>
      <c r="H666" t="n">
        <v>0.72753</v>
      </c>
      <c r="I666" t="n">
        <v>-1.0193</v>
      </c>
      <c r="J666" t="n">
        <v>-0.57085</v>
      </c>
      <c r="K666" t="n">
        <v>-0.70963</v>
      </c>
      <c r="L666" t="n">
        <v>0.41234</v>
      </c>
      <c r="M666" t="n">
        <v>0.023129</v>
      </c>
      <c r="N666" t="n">
        <v>-2.5244</v>
      </c>
      <c r="O666" t="n">
        <v>0.20447</v>
      </c>
      <c r="P666" t="n">
        <v>-0.45537</v>
      </c>
      <c r="Q666" t="n">
        <v>0.31434</v>
      </c>
      <c r="R666" t="n">
        <v>-0.35337</v>
      </c>
      <c r="S666" t="n">
        <v>0.16106</v>
      </c>
      <c r="T666" t="n">
        <v>0.29456</v>
      </c>
      <c r="U666" t="n">
        <v>0.17117</v>
      </c>
      <c r="V666" t="n">
        <v>-0.9715200000000001</v>
      </c>
      <c r="W666" t="n">
        <v>1.7121</v>
      </c>
      <c r="X666" t="n">
        <v>0.82526</v>
      </c>
      <c r="Y666" t="n">
        <v>0.10552</v>
      </c>
      <c r="Z666" t="n">
        <v>0.61593</v>
      </c>
    </row>
    <row r="667">
      <c r="A667" t="inlineStr">
        <is>
          <t>thf</t>
        </is>
      </c>
      <c r="B667" t="n">
        <v>-2.6055</v>
      </c>
      <c r="C667" t="n">
        <v>1.4608</v>
      </c>
      <c r="D667" t="n">
        <v>-1.6095</v>
      </c>
      <c r="E667" t="n">
        <v>-2.7915</v>
      </c>
      <c r="F667" t="n">
        <v>-1.0689</v>
      </c>
      <c r="G667" t="n">
        <v>-1.3474</v>
      </c>
      <c r="H667" t="n">
        <v>-0.89671</v>
      </c>
      <c r="I667" t="n">
        <v>1.0561</v>
      </c>
      <c r="J667" t="n">
        <v>-1.5508</v>
      </c>
      <c r="K667" t="n">
        <v>0.21475</v>
      </c>
      <c r="L667" t="n">
        <v>0.33896</v>
      </c>
      <c r="M667" t="n">
        <v>0.42591</v>
      </c>
      <c r="N667" t="n">
        <v>-1.4332</v>
      </c>
      <c r="O667" t="n">
        <v>-1.0825</v>
      </c>
      <c r="P667" t="n">
        <v>-2.1154</v>
      </c>
      <c r="Q667" t="n">
        <v>1.0447</v>
      </c>
      <c r="R667" t="n">
        <v>-1.2774</v>
      </c>
      <c r="S667" t="n">
        <v>-1.6869</v>
      </c>
      <c r="T667" t="n">
        <v>0.12926</v>
      </c>
      <c r="U667" t="n">
        <v>1.4428</v>
      </c>
      <c r="V667" t="n">
        <v>-1.3684</v>
      </c>
      <c r="W667" t="n">
        <v>-2.8782</v>
      </c>
      <c r="X667" t="n">
        <v>0.73417</v>
      </c>
      <c r="Y667" t="n">
        <v>-0.33836</v>
      </c>
      <c r="Z667" t="n">
        <v>0.014764</v>
      </c>
    </row>
    <row r="668">
      <c r="A668" t="inlineStr">
        <is>
          <t>purchase</t>
        </is>
      </c>
      <c r="B668" t="n">
        <v>-0.01002</v>
      </c>
      <c r="C668" t="n">
        <v>0.66044</v>
      </c>
      <c r="D668" t="n">
        <v>-0.50588</v>
      </c>
      <c r="E668" t="n">
        <v>-0.33318</v>
      </c>
      <c r="F668" t="n">
        <v>0.5876</v>
      </c>
      <c r="G668" t="n">
        <v>-0.74957</v>
      </c>
      <c r="H668" t="n">
        <v>0.35174</v>
      </c>
      <c r="I668" t="n">
        <v>-1.3823</v>
      </c>
      <c r="J668" t="n">
        <v>0.19661</v>
      </c>
      <c r="K668" t="n">
        <v>-0.63539</v>
      </c>
      <c r="L668" t="n">
        <v>1.0533</v>
      </c>
      <c r="M668" t="n">
        <v>-0.10661</v>
      </c>
      <c r="N668" t="n">
        <v>-3.3751</v>
      </c>
      <c r="O668" t="n">
        <v>-0.48797</v>
      </c>
      <c r="P668" t="n">
        <v>-0.36139</v>
      </c>
      <c r="Q668" t="n">
        <v>-0.27605</v>
      </c>
      <c r="R668" t="n">
        <v>1.2488</v>
      </c>
      <c r="S668" t="n">
        <v>-0.65825</v>
      </c>
      <c r="T668" t="n">
        <v>0.5440700000000001</v>
      </c>
      <c r="U668" t="n">
        <v>-0.16484</v>
      </c>
      <c r="V668" t="n">
        <v>-1.294</v>
      </c>
      <c r="W668" t="n">
        <v>-1.4583</v>
      </c>
      <c r="X668" t="n">
        <v>0.03958</v>
      </c>
      <c r="Y668" t="n">
        <v>0.15587</v>
      </c>
      <c r="Z668" t="n">
        <v>-0.67084</v>
      </c>
    </row>
    <row r="669">
      <c r="A669" t="inlineStr">
        <is>
          <t>profe</t>
        </is>
      </c>
      <c r="B669" t="n">
        <v>0.29969</v>
      </c>
      <c r="C669" t="n">
        <v>0.89572</v>
      </c>
      <c r="D669" t="n">
        <v>0.28064</v>
      </c>
      <c r="E669" t="n">
        <v>-0.022624</v>
      </c>
      <c r="F669" t="n">
        <v>0.44002</v>
      </c>
      <c r="G669" t="n">
        <v>-0.56368</v>
      </c>
      <c r="H669" t="n">
        <v>-0.55845</v>
      </c>
      <c r="I669" t="n">
        <v>2.2254</v>
      </c>
      <c r="J669" t="n">
        <v>-0.14458</v>
      </c>
      <c r="K669" t="n">
        <v>-0.79488</v>
      </c>
      <c r="L669" t="n">
        <v>-0.050411</v>
      </c>
      <c r="M669" t="n">
        <v>-2.1322</v>
      </c>
      <c r="N669" t="n">
        <v>-1.2737</v>
      </c>
      <c r="O669" t="n">
        <v>-0.91134</v>
      </c>
      <c r="P669" t="n">
        <v>1.9173</v>
      </c>
      <c r="Q669" t="n">
        <v>0.21415</v>
      </c>
      <c r="R669" t="n">
        <v>0.90998</v>
      </c>
      <c r="S669" t="n">
        <v>1.7243</v>
      </c>
      <c r="T669" t="n">
        <v>0.34816</v>
      </c>
      <c r="U669" t="n">
        <v>0.64475</v>
      </c>
      <c r="V669" t="n">
        <v>0.90524</v>
      </c>
      <c r="W669" t="n">
        <v>-0.2819</v>
      </c>
      <c r="X669" t="n">
        <v>0.25329</v>
      </c>
      <c r="Y669" t="n">
        <v>0.79727</v>
      </c>
      <c r="Z669" t="n">
        <v>0.44555</v>
      </c>
    </row>
    <row r="670">
      <c r="A670" t="inlineStr">
        <is>
          <t>mondays</t>
        </is>
      </c>
      <c r="B670" t="n">
        <v>0.30459</v>
      </c>
      <c r="C670" t="n">
        <v>0.80187</v>
      </c>
      <c r="D670" t="n">
        <v>0.48952</v>
      </c>
      <c r="E670" t="n">
        <v>-0.43373</v>
      </c>
      <c r="F670" t="n">
        <v>0.24021</v>
      </c>
      <c r="G670" t="n">
        <v>0.15432</v>
      </c>
      <c r="H670" t="n">
        <v>1.8591</v>
      </c>
      <c r="I670" t="n">
        <v>-1.3086</v>
      </c>
      <c r="J670" t="n">
        <v>-0.5686600000000001</v>
      </c>
      <c r="K670" t="n">
        <v>-0.58</v>
      </c>
      <c r="L670" t="n">
        <v>-0.91467</v>
      </c>
      <c r="M670" t="n">
        <v>0.21042</v>
      </c>
      <c r="N670" t="n">
        <v>-2.1407</v>
      </c>
      <c r="O670" t="n">
        <v>0.17851</v>
      </c>
      <c r="P670" t="n">
        <v>0.36738</v>
      </c>
      <c r="Q670" t="n">
        <v>0.5411899999999999</v>
      </c>
      <c r="R670" t="n">
        <v>-0.63532</v>
      </c>
      <c r="S670" t="n">
        <v>-0.39302</v>
      </c>
      <c r="T670" t="n">
        <v>0.71568</v>
      </c>
      <c r="U670" t="n">
        <v>-0.050142</v>
      </c>
      <c r="V670" t="n">
        <v>-0.74802</v>
      </c>
      <c r="W670" t="n">
        <v>0.026311</v>
      </c>
      <c r="X670" t="n">
        <v>0.25726</v>
      </c>
      <c r="Y670" t="n">
        <v>0.16376</v>
      </c>
      <c r="Z670" t="n">
        <v>1.1913</v>
      </c>
    </row>
    <row r="671">
      <c r="A671" t="inlineStr">
        <is>
          <t>teaching</t>
        </is>
      </c>
      <c r="B671" t="n">
        <v>-0.40644</v>
      </c>
      <c r="C671" t="n">
        <v>1.1392</v>
      </c>
      <c r="D671" t="n">
        <v>0.34319</v>
      </c>
      <c r="E671" t="n">
        <v>0.13823</v>
      </c>
      <c r="F671" t="n">
        <v>0.8793800000000001</v>
      </c>
      <c r="G671" t="n">
        <v>-0.7482799999999999</v>
      </c>
      <c r="H671" t="n">
        <v>0.90517</v>
      </c>
      <c r="I671" t="n">
        <v>-1.6439</v>
      </c>
      <c r="J671" t="n">
        <v>0.70028</v>
      </c>
      <c r="K671" t="n">
        <v>-0.66867</v>
      </c>
      <c r="L671" t="n">
        <v>-1.2716</v>
      </c>
      <c r="M671" t="n">
        <v>-0.060455</v>
      </c>
      <c r="N671" t="n">
        <v>-3.5747</v>
      </c>
      <c r="O671" t="n">
        <v>-0.24758</v>
      </c>
      <c r="P671" t="n">
        <v>0.80638</v>
      </c>
      <c r="Q671" t="n">
        <v>-0.34612</v>
      </c>
      <c r="R671" t="n">
        <v>0.11586</v>
      </c>
      <c r="S671" t="n">
        <v>0.36458</v>
      </c>
      <c r="T671" t="n">
        <v>0.23427</v>
      </c>
      <c r="U671" t="n">
        <v>-0.45451</v>
      </c>
      <c r="V671" t="n">
        <v>-0.19037</v>
      </c>
      <c r="W671" t="n">
        <v>0.30475</v>
      </c>
      <c r="X671" t="n">
        <v>-1.904</v>
      </c>
      <c r="Y671" t="n">
        <v>-0.2797</v>
      </c>
      <c r="Z671" t="n">
        <v>-0.30924</v>
      </c>
    </row>
    <row r="672">
      <c r="A672" t="inlineStr">
        <is>
          <t>leading</t>
        </is>
      </c>
      <c r="B672" t="n">
        <v>-0.085468</v>
      </c>
      <c r="C672" t="n">
        <v>0.50208</v>
      </c>
      <c r="D672" t="n">
        <v>-0.50503</v>
      </c>
      <c r="E672" t="n">
        <v>-1.0288</v>
      </c>
      <c r="F672" t="n">
        <v>0.38009</v>
      </c>
      <c r="G672" t="n">
        <v>-0.081543</v>
      </c>
      <c r="H672" t="n">
        <v>0.2227</v>
      </c>
      <c r="I672" t="n">
        <v>-0.72484</v>
      </c>
      <c r="J672" t="n">
        <v>0.63636</v>
      </c>
      <c r="K672" t="n">
        <v>-0.46803</v>
      </c>
      <c r="L672" t="n">
        <v>0.13422</v>
      </c>
      <c r="M672" t="n">
        <v>0.60748</v>
      </c>
      <c r="N672" t="n">
        <v>-3.4404</v>
      </c>
      <c r="O672" t="n">
        <v>1.0918</v>
      </c>
      <c r="P672" t="n">
        <v>0.48913</v>
      </c>
      <c r="Q672" t="n">
        <v>-0.32501</v>
      </c>
      <c r="R672" t="n">
        <v>-0.22475</v>
      </c>
      <c r="S672" t="n">
        <v>-0.098011</v>
      </c>
      <c r="T672" t="n">
        <v>0.55094</v>
      </c>
      <c r="U672" t="n">
        <v>-0.29637</v>
      </c>
      <c r="V672" t="n">
        <v>-0.54687</v>
      </c>
      <c r="W672" t="n">
        <v>0.078322</v>
      </c>
      <c r="X672" t="n">
        <v>-0.5318000000000001</v>
      </c>
      <c r="Y672" t="n">
        <v>-1.1309</v>
      </c>
      <c r="Z672" t="n">
        <v>-0.91944</v>
      </c>
    </row>
    <row r="673">
      <c r="A673" t="inlineStr">
        <is>
          <t>victor</t>
        </is>
      </c>
      <c r="B673" t="n">
        <v>0.0066764</v>
      </c>
      <c r="C673" t="n">
        <v>-0.30189</v>
      </c>
      <c r="D673" t="n">
        <v>0.59154</v>
      </c>
      <c r="E673" t="n">
        <v>0.063802</v>
      </c>
      <c r="F673" t="n">
        <v>-0.71399</v>
      </c>
      <c r="G673" t="n">
        <v>-0.21571</v>
      </c>
      <c r="H673" t="n">
        <v>-0.83549</v>
      </c>
      <c r="I673" t="n">
        <v>0.96861</v>
      </c>
      <c r="J673" t="n">
        <v>0.15366</v>
      </c>
      <c r="K673" t="n">
        <v>-1.6855</v>
      </c>
      <c r="L673" t="n">
        <v>-0.09132700000000001</v>
      </c>
      <c r="M673" t="n">
        <v>-0.45586</v>
      </c>
      <c r="N673" t="n">
        <v>-2.34</v>
      </c>
      <c r="O673" t="n">
        <v>-0.579</v>
      </c>
      <c r="P673" t="n">
        <v>1.0471</v>
      </c>
      <c r="Q673" t="n">
        <v>-1.1705</v>
      </c>
      <c r="R673" t="n">
        <v>-0.72559</v>
      </c>
      <c r="S673" t="n">
        <v>0.31488</v>
      </c>
      <c r="T673" t="n">
        <v>-0.31875</v>
      </c>
      <c r="U673" t="n">
        <v>0.0004382</v>
      </c>
      <c r="V673" t="n">
        <v>0.43391</v>
      </c>
      <c r="W673" t="n">
        <v>0.6085700000000001</v>
      </c>
      <c r="X673" t="n">
        <v>-0.11132</v>
      </c>
      <c r="Y673" t="n">
        <v>-0.19033</v>
      </c>
      <c r="Z673" t="n">
        <v>-0.49814</v>
      </c>
    </row>
    <row r="674">
      <c r="A674" t="inlineStr">
        <is>
          <t>author</t>
        </is>
      </c>
      <c r="B674" t="n">
        <v>-0.099235</v>
      </c>
      <c r="C674" t="n">
        <v>0.016408</v>
      </c>
      <c r="D674" t="n">
        <v>0.21557</v>
      </c>
      <c r="E674" t="n">
        <v>0.011018</v>
      </c>
      <c r="F674" t="n">
        <v>0.70307</v>
      </c>
      <c r="G674" t="n">
        <v>-1.8131</v>
      </c>
      <c r="H674" t="n">
        <v>1.0759</v>
      </c>
      <c r="I674" t="n">
        <v>0.095239</v>
      </c>
      <c r="J674" t="n">
        <v>0.35433</v>
      </c>
      <c r="K674" t="n">
        <v>-1.787</v>
      </c>
      <c r="L674" t="n">
        <v>0.14229</v>
      </c>
      <c r="M674" t="n">
        <v>1.0552</v>
      </c>
      <c r="N674" t="n">
        <v>-2.662</v>
      </c>
      <c r="O674" t="n">
        <v>-0.29427</v>
      </c>
      <c r="P674" t="n">
        <v>0.17323</v>
      </c>
      <c r="Q674" t="n">
        <v>-0.72453</v>
      </c>
      <c r="R674" t="n">
        <v>0.46965</v>
      </c>
      <c r="S674" t="n">
        <v>0.94603</v>
      </c>
      <c r="T674" t="n">
        <v>0.37374</v>
      </c>
      <c r="U674" t="n">
        <v>0.28449</v>
      </c>
      <c r="V674" t="n">
        <v>-0.044177</v>
      </c>
      <c r="W674" t="n">
        <v>-0.77105</v>
      </c>
      <c r="X674" t="n">
        <v>-1.9</v>
      </c>
      <c r="Y674" t="n">
        <v>-0.37898</v>
      </c>
      <c r="Z674" t="n">
        <v>-0.63749</v>
      </c>
    </row>
    <row r="675">
      <c r="A675" t="inlineStr">
        <is>
          <t>tournament</t>
        </is>
      </c>
      <c r="B675" t="n">
        <v>-0.08604299999999999</v>
      </c>
      <c r="C675" t="n">
        <v>1.0358</v>
      </c>
      <c r="D675" t="n">
        <v>-0.11648</v>
      </c>
      <c r="E675" t="n">
        <v>-2.0632</v>
      </c>
      <c r="F675" t="n">
        <v>0.039338</v>
      </c>
      <c r="G675" t="n">
        <v>-0.074712</v>
      </c>
      <c r="H675" t="n">
        <v>0.53555</v>
      </c>
      <c r="I675" t="n">
        <v>-0.60583</v>
      </c>
      <c r="J675" t="n">
        <v>0.5107</v>
      </c>
      <c r="K675" t="n">
        <v>-0.64996</v>
      </c>
      <c r="L675" t="n">
        <v>0.083796</v>
      </c>
      <c r="M675" t="n">
        <v>0.32845</v>
      </c>
      <c r="N675" t="n">
        <v>-2.9359</v>
      </c>
      <c r="O675" t="n">
        <v>1.439</v>
      </c>
      <c r="P675" t="n">
        <v>1.4053</v>
      </c>
      <c r="Q675" t="n">
        <v>0.1695</v>
      </c>
      <c r="R675" t="n">
        <v>-0.13406</v>
      </c>
      <c r="S675" t="n">
        <v>-1.1011</v>
      </c>
      <c r="T675" t="n">
        <v>-0.28855</v>
      </c>
      <c r="U675" t="n">
        <v>0.78415</v>
      </c>
      <c r="V675" t="n">
        <v>-1.8627</v>
      </c>
      <c r="W675" t="n">
        <v>0.41571</v>
      </c>
      <c r="X675" t="n">
        <v>0.5333599999999999</v>
      </c>
      <c r="Y675" t="n">
        <v>-0.24969</v>
      </c>
      <c r="Z675" t="n">
        <v>0.1384</v>
      </c>
    </row>
    <row r="676">
      <c r="A676" t="inlineStr">
        <is>
          <t>bocah</t>
        </is>
      </c>
      <c r="B676" t="n">
        <v>0.04041</v>
      </c>
      <c r="C676" t="n">
        <v>0.64296</v>
      </c>
      <c r="D676" t="n">
        <v>-0.5231</v>
      </c>
      <c r="E676" t="n">
        <v>-0.5093</v>
      </c>
      <c r="F676" t="n">
        <v>0.62342</v>
      </c>
      <c r="G676" t="n">
        <v>-0.37072</v>
      </c>
      <c r="H676" t="n">
        <v>0.27837</v>
      </c>
      <c r="I676" t="n">
        <v>2.6175</v>
      </c>
      <c r="J676" t="n">
        <v>1.8071</v>
      </c>
      <c r="K676" t="n">
        <v>1.9878</v>
      </c>
      <c r="L676" t="n">
        <v>0.22864</v>
      </c>
      <c r="M676" t="n">
        <v>0.45991</v>
      </c>
      <c r="N676" t="n">
        <v>0.073754</v>
      </c>
      <c r="O676" t="n">
        <v>-0.042505</v>
      </c>
      <c r="P676" t="n">
        <v>0.10824</v>
      </c>
      <c r="Q676" t="n">
        <v>-0.29861</v>
      </c>
      <c r="R676" t="n">
        <v>0.2035</v>
      </c>
      <c r="S676" t="n">
        <v>-0.65657</v>
      </c>
      <c r="T676" t="n">
        <v>-0.73412</v>
      </c>
      <c r="U676" t="n">
        <v>0.47752</v>
      </c>
      <c r="V676" t="n">
        <v>0.44637</v>
      </c>
      <c r="W676" t="n">
        <v>2.1738</v>
      </c>
      <c r="X676" t="n">
        <v>-0.9228499999999999</v>
      </c>
      <c r="Y676" t="n">
        <v>-0.54403</v>
      </c>
      <c r="Z676" t="n">
        <v>0.23756</v>
      </c>
    </row>
    <row r="677">
      <c r="A677" t="inlineStr">
        <is>
          <t>activity</t>
        </is>
      </c>
      <c r="B677" t="n">
        <v>0.26629</v>
      </c>
      <c r="C677" t="n">
        <v>0.22224</v>
      </c>
      <c r="D677" t="n">
        <v>-0.12799</v>
      </c>
      <c r="E677" t="n">
        <v>-0.24051</v>
      </c>
      <c r="F677" t="n">
        <v>1.0014</v>
      </c>
      <c r="G677" t="n">
        <v>0.12435</v>
      </c>
      <c r="H677" t="n">
        <v>1.4421</v>
      </c>
      <c r="I677" t="n">
        <v>-1.2576</v>
      </c>
      <c r="J677" t="n">
        <v>0.70346</v>
      </c>
      <c r="K677" t="n">
        <v>0.19643</v>
      </c>
      <c r="L677" t="n">
        <v>-0.027655</v>
      </c>
      <c r="M677" t="n">
        <v>0.14116</v>
      </c>
      <c r="N677" t="n">
        <v>-2.3319</v>
      </c>
      <c r="O677" t="n">
        <v>0.80499</v>
      </c>
      <c r="P677" t="n">
        <v>0.87292</v>
      </c>
      <c r="Q677" t="n">
        <v>1.1571</v>
      </c>
      <c r="R677" t="n">
        <v>0.31641</v>
      </c>
      <c r="S677" t="n">
        <v>0.72357</v>
      </c>
      <c r="T677" t="n">
        <v>0.068052</v>
      </c>
      <c r="U677" t="n">
        <v>-0.22435</v>
      </c>
      <c r="V677" t="n">
        <v>-0.83789</v>
      </c>
      <c r="W677" t="n">
        <v>-0.7995</v>
      </c>
      <c r="X677" t="n">
        <v>-0.30457</v>
      </c>
      <c r="Y677" t="n">
        <v>-0.15689</v>
      </c>
      <c r="Z677" t="n">
        <v>0.30397</v>
      </c>
    </row>
    <row r="678">
      <c r="A678" t="inlineStr">
        <is>
          <t>fingir</t>
        </is>
      </c>
      <c r="B678" t="n">
        <v>1.4151</v>
      </c>
      <c r="C678" t="n">
        <v>-0.96085</v>
      </c>
      <c r="D678" t="n">
        <v>-0.75357</v>
      </c>
      <c r="E678" t="n">
        <v>2.2042</v>
      </c>
      <c r="F678" t="n">
        <v>0.15028</v>
      </c>
      <c r="G678" t="n">
        <v>1.2938</v>
      </c>
      <c r="H678" t="n">
        <v>-0.59802</v>
      </c>
      <c r="I678" t="n">
        <v>0.7423</v>
      </c>
      <c r="J678" t="n">
        <v>-0.092361</v>
      </c>
      <c r="K678" t="n">
        <v>-0.73264</v>
      </c>
      <c r="L678" t="n">
        <v>0.15383</v>
      </c>
      <c r="M678" t="n">
        <v>-2.1547</v>
      </c>
      <c r="N678" t="n">
        <v>-0.54313</v>
      </c>
      <c r="O678" t="n">
        <v>-0.42399</v>
      </c>
      <c r="P678" t="n">
        <v>0.20171</v>
      </c>
      <c r="Q678" t="n">
        <v>1.2264</v>
      </c>
      <c r="R678" t="n">
        <v>-0.95917</v>
      </c>
      <c r="S678" t="n">
        <v>1.0267</v>
      </c>
      <c r="T678" t="n">
        <v>0.46515</v>
      </c>
      <c r="U678" t="n">
        <v>-1.6345</v>
      </c>
      <c r="V678" t="n">
        <v>0.6946</v>
      </c>
      <c r="W678" t="n">
        <v>0.41871</v>
      </c>
      <c r="X678" t="n">
        <v>-0.48809</v>
      </c>
      <c r="Y678" t="n">
        <v>1.2727</v>
      </c>
      <c r="Z678" t="n">
        <v>-0.31304</v>
      </c>
    </row>
    <row r="679">
      <c r="A679" t="inlineStr">
        <is>
          <t>orng</t>
        </is>
      </c>
      <c r="B679" t="n">
        <v>0.33216</v>
      </c>
      <c r="C679" t="n">
        <v>0.92477</v>
      </c>
      <c r="D679" t="n">
        <v>-1.0352</v>
      </c>
      <c r="E679" t="n">
        <v>-0.14653</v>
      </c>
      <c r="F679" t="n">
        <v>0.34734</v>
      </c>
      <c r="G679" t="n">
        <v>0.32057</v>
      </c>
      <c r="H679" t="n">
        <v>-0.21605</v>
      </c>
      <c r="I679" t="n">
        <v>2.7</v>
      </c>
      <c r="J679" t="n">
        <v>2.6415</v>
      </c>
      <c r="K679" t="n">
        <v>1.1966</v>
      </c>
      <c r="L679" t="n">
        <v>-1.2389</v>
      </c>
      <c r="M679" t="n">
        <v>0.4439</v>
      </c>
      <c r="N679" t="n">
        <v>-1.0969</v>
      </c>
      <c r="O679" t="n">
        <v>0.22577</v>
      </c>
      <c r="P679" t="n">
        <v>-0.36283</v>
      </c>
      <c r="Q679" t="n">
        <v>0.71092</v>
      </c>
      <c r="R679" t="n">
        <v>0.14992</v>
      </c>
      <c r="S679" t="n">
        <v>-0.27827</v>
      </c>
      <c r="T679" t="n">
        <v>-0.15274</v>
      </c>
      <c r="U679" t="n">
        <v>0.88789</v>
      </c>
      <c r="V679" t="n">
        <v>0.013123</v>
      </c>
      <c r="W679" t="n">
        <v>0.47429</v>
      </c>
      <c r="X679" t="n">
        <v>-1.5511</v>
      </c>
      <c r="Y679" t="n">
        <v>1.1457</v>
      </c>
      <c r="Z679" t="n">
        <v>-1.4911</v>
      </c>
    </row>
    <row r="680">
      <c r="A680" t="inlineStr">
        <is>
          <t>fools</t>
        </is>
      </c>
      <c r="B680" t="n">
        <v>0.5077700000000001</v>
      </c>
      <c r="C680" t="n">
        <v>0.89349</v>
      </c>
      <c r="D680" t="n">
        <v>0.070648</v>
      </c>
      <c r="E680" t="n">
        <v>0.51884</v>
      </c>
      <c r="F680" t="n">
        <v>-0.017114</v>
      </c>
      <c r="G680" t="n">
        <v>0.053507</v>
      </c>
      <c r="H680" t="n">
        <v>1.2099</v>
      </c>
      <c r="I680" t="n">
        <v>-1.1398</v>
      </c>
      <c r="J680" t="n">
        <v>-0.61813</v>
      </c>
      <c r="K680" t="n">
        <v>0.119</v>
      </c>
      <c r="L680" t="n">
        <v>-1.1095</v>
      </c>
      <c r="M680" t="n">
        <v>0.65308</v>
      </c>
      <c r="N680" t="n">
        <v>-2.6264</v>
      </c>
      <c r="O680" t="n">
        <v>0.68367</v>
      </c>
      <c r="P680" t="n">
        <v>0.077074</v>
      </c>
      <c r="Q680" t="n">
        <v>0.55669</v>
      </c>
      <c r="R680" t="n">
        <v>0.17328</v>
      </c>
      <c r="S680" t="n">
        <v>-0.35296</v>
      </c>
      <c r="T680" t="n">
        <v>0.8265</v>
      </c>
      <c r="U680" t="n">
        <v>-0.12498</v>
      </c>
      <c r="V680" t="n">
        <v>0.67869</v>
      </c>
      <c r="W680" t="n">
        <v>1.0424</v>
      </c>
      <c r="X680" t="n">
        <v>-0.39049</v>
      </c>
      <c r="Y680" t="n">
        <v>-0.49434</v>
      </c>
      <c r="Z680" t="n">
        <v>0.39332</v>
      </c>
    </row>
    <row r="681">
      <c r="A681" t="inlineStr">
        <is>
          <t>thee</t>
        </is>
      </c>
      <c r="B681" t="n">
        <v>-0.69402</v>
      </c>
      <c r="C681" t="n">
        <v>1.348</v>
      </c>
      <c r="D681" t="n">
        <v>-0.022102</v>
      </c>
      <c r="E681" t="n">
        <v>1.2933</v>
      </c>
      <c r="F681" t="n">
        <v>-0.54049</v>
      </c>
      <c r="G681" t="n">
        <v>0.40907</v>
      </c>
      <c r="H681" t="n">
        <v>-0.51666</v>
      </c>
      <c r="I681" t="n">
        <v>-1.0749</v>
      </c>
      <c r="J681" t="n">
        <v>-0.59895</v>
      </c>
      <c r="K681" t="n">
        <v>-0.39197</v>
      </c>
      <c r="L681" t="n">
        <v>-1.5724</v>
      </c>
      <c r="M681" t="n">
        <v>0.84185</v>
      </c>
      <c r="N681" t="n">
        <v>-3.1811</v>
      </c>
      <c r="O681" t="n">
        <v>0.68429</v>
      </c>
      <c r="P681" t="n">
        <v>-0.77457</v>
      </c>
      <c r="Q681" t="n">
        <v>-0.017971</v>
      </c>
      <c r="R681" t="n">
        <v>1.4901</v>
      </c>
      <c r="S681" t="n">
        <v>0.86649</v>
      </c>
      <c r="T681" t="n">
        <v>-0.28165</v>
      </c>
      <c r="U681" t="n">
        <v>0.61596</v>
      </c>
      <c r="V681" t="n">
        <v>0.10786</v>
      </c>
      <c r="W681" t="n">
        <v>0.31635</v>
      </c>
      <c r="X681" t="n">
        <v>0.14003</v>
      </c>
      <c r="Y681" t="n">
        <v>0.84772</v>
      </c>
      <c r="Z681" t="n">
        <v>0.45604</v>
      </c>
    </row>
    <row r="682">
      <c r="A682" t="inlineStr">
        <is>
          <t>lawrence</t>
        </is>
      </c>
      <c r="B682" t="n">
        <v>-1.0719</v>
      </c>
      <c r="C682" t="n">
        <v>-0.77674</v>
      </c>
      <c r="D682" t="n">
        <v>1.198</v>
      </c>
      <c r="E682" t="n">
        <v>-0.2655</v>
      </c>
      <c r="F682" t="n">
        <v>-0.65067</v>
      </c>
      <c r="G682" t="n">
        <v>-0.65004</v>
      </c>
      <c r="H682" t="n">
        <v>0.472</v>
      </c>
      <c r="I682" t="n">
        <v>0.38609</v>
      </c>
      <c r="J682" t="n">
        <v>-0.54336</v>
      </c>
      <c r="K682" t="n">
        <v>-1.7593</v>
      </c>
      <c r="L682" t="n">
        <v>0.40429</v>
      </c>
      <c r="M682" t="n">
        <v>0.063693</v>
      </c>
      <c r="N682" t="n">
        <v>-2.6112</v>
      </c>
      <c r="O682" t="n">
        <v>-0.42128</v>
      </c>
      <c r="P682" t="n">
        <v>0.41421</v>
      </c>
      <c r="Q682" t="n">
        <v>-0.095959</v>
      </c>
      <c r="R682" t="n">
        <v>-0.67238</v>
      </c>
      <c r="S682" t="n">
        <v>0.06900100000000001</v>
      </c>
      <c r="T682" t="n">
        <v>-0.12193</v>
      </c>
      <c r="U682" t="n">
        <v>0.024605</v>
      </c>
      <c r="V682" t="n">
        <v>0.34478</v>
      </c>
      <c r="W682" t="n">
        <v>0.52028</v>
      </c>
      <c r="X682" t="n">
        <v>-0.7796</v>
      </c>
      <c r="Y682" t="n">
        <v>-1.117</v>
      </c>
      <c r="Z682" t="n">
        <v>-0.70908</v>
      </c>
    </row>
    <row r="683">
      <c r="A683" t="inlineStr">
        <is>
          <t>hardcore</t>
        </is>
      </c>
      <c r="B683" t="n">
        <v>-0.10001</v>
      </c>
      <c r="C683" t="n">
        <v>-0.005148</v>
      </c>
      <c r="D683" t="n">
        <v>-0.1161</v>
      </c>
      <c r="E683" t="n">
        <v>-0.6377</v>
      </c>
      <c r="F683" t="n">
        <v>1.2895</v>
      </c>
      <c r="G683" t="n">
        <v>0.60719</v>
      </c>
      <c r="H683" t="n">
        <v>1.1325</v>
      </c>
      <c r="I683" t="n">
        <v>0.068855</v>
      </c>
      <c r="J683" t="n">
        <v>-0.09911</v>
      </c>
      <c r="K683" t="n">
        <v>-0.22157</v>
      </c>
      <c r="L683" t="n">
        <v>-0.67766</v>
      </c>
      <c r="M683" t="n">
        <v>0.027902</v>
      </c>
      <c r="N683" t="n">
        <v>-2.1093</v>
      </c>
      <c r="O683" t="n">
        <v>-1.2938</v>
      </c>
      <c r="P683" t="n">
        <v>0.30191</v>
      </c>
      <c r="Q683" t="n">
        <v>1.2816</v>
      </c>
      <c r="R683" t="n">
        <v>0.23972</v>
      </c>
      <c r="S683" t="n">
        <v>-0.39791</v>
      </c>
      <c r="T683" t="n">
        <v>-0.044566</v>
      </c>
      <c r="U683" t="n">
        <v>0.28653</v>
      </c>
      <c r="V683" t="n">
        <v>-0.40453</v>
      </c>
      <c r="W683" t="n">
        <v>0.49961</v>
      </c>
      <c r="X683" t="n">
        <v>-0.46278</v>
      </c>
      <c r="Y683" t="n">
        <v>-1.1403</v>
      </c>
      <c r="Z683" t="n">
        <v>0.9261200000000001</v>
      </c>
    </row>
    <row r="684">
      <c r="A684" t="inlineStr">
        <is>
          <t>worrying</t>
        </is>
      </c>
      <c r="B684" t="n">
        <v>-0.069089</v>
      </c>
      <c r="C684" t="n">
        <v>1.6003</v>
      </c>
      <c r="D684" t="n">
        <v>-0.34651</v>
      </c>
      <c r="E684" t="n">
        <v>0.86777</v>
      </c>
      <c r="F684" t="n">
        <v>-0.11553</v>
      </c>
      <c r="G684" t="n">
        <v>1.3315</v>
      </c>
      <c r="H684" t="n">
        <v>0.91899</v>
      </c>
      <c r="I684" t="n">
        <v>-2.0738</v>
      </c>
      <c r="J684" t="n">
        <v>-0.50973</v>
      </c>
      <c r="K684" t="n">
        <v>0.09066</v>
      </c>
      <c r="L684" t="n">
        <v>-1.754</v>
      </c>
      <c r="M684" t="n">
        <v>0.2063</v>
      </c>
      <c r="N684" t="n">
        <v>-3.2315</v>
      </c>
      <c r="O684" t="n">
        <v>0.047726</v>
      </c>
      <c r="P684" t="n">
        <v>0.61687</v>
      </c>
      <c r="Q684" t="n">
        <v>0.51964</v>
      </c>
      <c r="R684" t="n">
        <v>-1.0365</v>
      </c>
      <c r="S684" t="n">
        <v>0.23223</v>
      </c>
      <c r="T684" t="n">
        <v>0.5059399999999999</v>
      </c>
      <c r="U684" t="n">
        <v>-1.0764</v>
      </c>
      <c r="V684" t="n">
        <v>0.67376</v>
      </c>
      <c r="W684" t="n">
        <v>0.2149</v>
      </c>
      <c r="X684" t="n">
        <v>-0.67611</v>
      </c>
      <c r="Y684" t="n">
        <v>0.48105</v>
      </c>
      <c r="Z684" t="n">
        <v>-0.9635</v>
      </c>
    </row>
    <row r="685">
      <c r="A685" t="inlineStr">
        <is>
          <t>fanbase</t>
        </is>
      </c>
      <c r="B685" t="n">
        <v>0.054469</v>
      </c>
      <c r="C685" t="n">
        <v>1.2192</v>
      </c>
      <c r="D685" t="n">
        <v>-0.86731</v>
      </c>
      <c r="E685" t="n">
        <v>-0.74399</v>
      </c>
      <c r="F685" t="n">
        <v>0.7802</v>
      </c>
      <c r="G685" t="n">
        <v>-1.1</v>
      </c>
      <c r="H685" t="n">
        <v>1.0006</v>
      </c>
      <c r="I685" t="n">
        <v>1.2045</v>
      </c>
      <c r="J685" t="n">
        <v>-0.31034</v>
      </c>
      <c r="K685" t="n">
        <v>-0.54718</v>
      </c>
      <c r="L685" t="n">
        <v>-0.2968</v>
      </c>
      <c r="M685" t="n">
        <v>-0.13202</v>
      </c>
      <c r="N685" t="n">
        <v>-1.994</v>
      </c>
      <c r="O685" t="n">
        <v>-0.1231</v>
      </c>
      <c r="P685" t="n">
        <v>-0.67593</v>
      </c>
      <c r="Q685" t="n">
        <v>1.2921</v>
      </c>
      <c r="R685" t="n">
        <v>-0.40717</v>
      </c>
      <c r="S685" t="n">
        <v>-1.1214</v>
      </c>
      <c r="T685" t="n">
        <v>-0.36799</v>
      </c>
      <c r="U685" t="n">
        <v>0.72336</v>
      </c>
      <c r="V685" t="n">
        <v>-0.4855</v>
      </c>
      <c r="W685" t="n">
        <v>-0.56593</v>
      </c>
      <c r="X685" t="n">
        <v>-1.6546</v>
      </c>
      <c r="Y685" t="n">
        <v>-0.039381</v>
      </c>
      <c r="Z685" t="n">
        <v>-1.346</v>
      </c>
    </row>
    <row r="686">
      <c r="A686" t="inlineStr">
        <is>
          <t>anonymous</t>
        </is>
      </c>
      <c r="B686" t="n">
        <v>0.88949</v>
      </c>
      <c r="C686" t="n">
        <v>1.0828</v>
      </c>
      <c r="D686" t="n">
        <v>-0.35431</v>
      </c>
      <c r="E686" t="n">
        <v>-0.11399</v>
      </c>
      <c r="F686" t="n">
        <v>0.55206</v>
      </c>
      <c r="G686" t="n">
        <v>-1.3333</v>
      </c>
      <c r="H686" t="n">
        <v>0.48291</v>
      </c>
      <c r="I686" t="n">
        <v>0.058273</v>
      </c>
      <c r="J686" t="n">
        <v>0.0033729</v>
      </c>
      <c r="K686" t="n">
        <v>0.1046</v>
      </c>
      <c r="L686" t="n">
        <v>-0.061052</v>
      </c>
      <c r="M686" t="n">
        <v>-0.26369</v>
      </c>
      <c r="N686" t="n">
        <v>-2.1158</v>
      </c>
      <c r="O686" t="n">
        <v>-0.43431</v>
      </c>
      <c r="P686" t="n">
        <v>0.02498</v>
      </c>
      <c r="Q686" t="n">
        <v>0.53618</v>
      </c>
      <c r="R686" t="n">
        <v>-0.14323</v>
      </c>
      <c r="S686" t="n">
        <v>0.27353</v>
      </c>
      <c r="T686" t="n">
        <v>0.5783</v>
      </c>
      <c r="U686" t="n">
        <v>-0.59557</v>
      </c>
      <c r="V686" t="n">
        <v>0.5657</v>
      </c>
      <c r="W686" t="n">
        <v>-0.99485</v>
      </c>
      <c r="X686" t="n">
        <v>-0.58495</v>
      </c>
      <c r="Y686" t="n">
        <v>-1.5878</v>
      </c>
      <c r="Z686" t="n">
        <v>-0.10309</v>
      </c>
    </row>
    <row r="687">
      <c r="A687" t="inlineStr">
        <is>
          <t>boxing</t>
        </is>
      </c>
      <c r="B687" t="n">
        <v>-0.47076</v>
      </c>
      <c r="C687" t="n">
        <v>0.83181</v>
      </c>
      <c r="D687" t="n">
        <v>0.047423</v>
      </c>
      <c r="E687" t="n">
        <v>-1.1713</v>
      </c>
      <c r="F687" t="n">
        <v>0.13728</v>
      </c>
      <c r="G687" t="n">
        <v>-0.35083</v>
      </c>
      <c r="H687" t="n">
        <v>0.62999</v>
      </c>
      <c r="I687" t="n">
        <v>-0.21038</v>
      </c>
      <c r="J687" t="n">
        <v>0.059682</v>
      </c>
      <c r="K687" t="n">
        <v>-1.1859</v>
      </c>
      <c r="L687" t="n">
        <v>-0.039461</v>
      </c>
      <c r="M687" t="n">
        <v>0.41186</v>
      </c>
      <c r="N687" t="n">
        <v>-2.7615</v>
      </c>
      <c r="O687" t="n">
        <v>0.48979</v>
      </c>
      <c r="P687" t="n">
        <v>1.3765</v>
      </c>
      <c r="Q687" t="n">
        <v>-0.09866</v>
      </c>
      <c r="R687" t="n">
        <v>-0.07085</v>
      </c>
      <c r="S687" t="n">
        <v>-0.98388</v>
      </c>
      <c r="T687" t="n">
        <v>0.043213</v>
      </c>
      <c r="U687" t="n">
        <v>0.39685</v>
      </c>
      <c r="V687" t="n">
        <v>-1.2347</v>
      </c>
      <c r="W687" t="n">
        <v>1.3472</v>
      </c>
      <c r="X687" t="n">
        <v>0.27594</v>
      </c>
      <c r="Y687" t="n">
        <v>-1.0529</v>
      </c>
      <c r="Z687" t="n">
        <v>0.21739</v>
      </c>
    </row>
    <row r="688">
      <c r="A688" t="inlineStr">
        <is>
          <t>knight</t>
        </is>
      </c>
      <c r="B688" t="n">
        <v>-0.65097</v>
      </c>
      <c r="C688" t="n">
        <v>-0.34268</v>
      </c>
      <c r="D688" t="n">
        <v>1.028</v>
      </c>
      <c r="E688" t="n">
        <v>0.092222</v>
      </c>
      <c r="F688" t="n">
        <v>-0.6274999999999999</v>
      </c>
      <c r="G688" t="n">
        <v>-0.3947</v>
      </c>
      <c r="H688" t="n">
        <v>0.8958</v>
      </c>
      <c r="I688" t="n">
        <v>0.025415</v>
      </c>
      <c r="J688" t="n">
        <v>0.50312</v>
      </c>
      <c r="K688" t="n">
        <v>-1.2651</v>
      </c>
      <c r="L688" t="n">
        <v>0.84194</v>
      </c>
      <c r="M688" t="n">
        <v>0.95358</v>
      </c>
      <c r="N688" t="n">
        <v>-2.6207</v>
      </c>
      <c r="O688" t="n">
        <v>0.31005</v>
      </c>
      <c r="P688" t="n">
        <v>0.47298</v>
      </c>
      <c r="Q688" t="n">
        <v>-0.16355</v>
      </c>
      <c r="R688" t="n">
        <v>0.055896</v>
      </c>
      <c r="S688" t="n">
        <v>0.58804</v>
      </c>
      <c r="T688" t="n">
        <v>0.072883</v>
      </c>
      <c r="U688" t="n">
        <v>0.6055700000000001</v>
      </c>
      <c r="V688" t="n">
        <v>-0.6909999999999999</v>
      </c>
      <c r="W688" t="n">
        <v>0.68792</v>
      </c>
      <c r="X688" t="n">
        <v>-0.045452</v>
      </c>
      <c r="Y688" t="n">
        <v>-0.64657</v>
      </c>
      <c r="Z688" t="n">
        <v>0.45077</v>
      </c>
    </row>
    <row r="689">
      <c r="A689" t="inlineStr">
        <is>
          <t>wheel</t>
        </is>
      </c>
      <c r="B689" t="n">
        <v>-1.1108</v>
      </c>
      <c r="C689" t="n">
        <v>-0.093344</v>
      </c>
      <c r="D689" t="n">
        <v>0.6571</v>
      </c>
      <c r="E689" t="n">
        <v>-0.026437</v>
      </c>
      <c r="F689" t="n">
        <v>0.18286</v>
      </c>
      <c r="G689" t="n">
        <v>-0.1342</v>
      </c>
      <c r="H689" t="n">
        <v>0.36015</v>
      </c>
      <c r="I689" t="n">
        <v>-0.72198</v>
      </c>
      <c r="J689" t="n">
        <v>1.2718</v>
      </c>
      <c r="K689" t="n">
        <v>0.31121</v>
      </c>
      <c r="L689" t="n">
        <v>0.13369</v>
      </c>
      <c r="M689" t="n">
        <v>0.69085</v>
      </c>
      <c r="N689" t="n">
        <v>-3.1666</v>
      </c>
      <c r="O689" t="n">
        <v>-0.35407</v>
      </c>
      <c r="P689" t="n">
        <v>0.11257</v>
      </c>
      <c r="Q689" t="n">
        <v>0.80616</v>
      </c>
      <c r="R689" t="n">
        <v>0.4615</v>
      </c>
      <c r="S689" t="n">
        <v>0.1837</v>
      </c>
      <c r="T689" t="n">
        <v>0.7231</v>
      </c>
      <c r="U689" t="n">
        <v>0.55327</v>
      </c>
      <c r="V689" t="n">
        <v>-0.7094200000000001</v>
      </c>
      <c r="W689" t="n">
        <v>-0.027996</v>
      </c>
      <c r="X689" t="n">
        <v>1.8613</v>
      </c>
      <c r="Y689" t="n">
        <v>-0.09883699999999999</v>
      </c>
      <c r="Z689" t="n">
        <v>-0.456</v>
      </c>
    </row>
    <row r="690">
      <c r="A690" t="inlineStr">
        <is>
          <t>recording</t>
        </is>
      </c>
      <c r="B690" t="n">
        <v>-0.4876</v>
      </c>
      <c r="C690" t="n">
        <v>1.0805</v>
      </c>
      <c r="D690" t="n">
        <v>1.5471</v>
      </c>
      <c r="E690" t="n">
        <v>-0.43712</v>
      </c>
      <c r="F690" t="n">
        <v>0.90904</v>
      </c>
      <c r="G690" t="n">
        <v>-0.62413</v>
      </c>
      <c r="H690" t="n">
        <v>1.2837</v>
      </c>
      <c r="I690" t="n">
        <v>-0.29287</v>
      </c>
      <c r="J690" t="n">
        <v>0.76652</v>
      </c>
      <c r="K690" t="n">
        <v>-1.0501</v>
      </c>
      <c r="L690" t="n">
        <v>-0.26125</v>
      </c>
      <c r="M690" t="n">
        <v>1.3114</v>
      </c>
      <c r="N690" t="n">
        <v>-2.745</v>
      </c>
      <c r="O690" t="n">
        <v>-0.11347</v>
      </c>
      <c r="P690" t="n">
        <v>0.42332</v>
      </c>
      <c r="Q690" t="n">
        <v>0.73056</v>
      </c>
      <c r="R690" t="n">
        <v>-0.2262</v>
      </c>
      <c r="S690" t="n">
        <v>0.34831</v>
      </c>
      <c r="T690" t="n">
        <v>-0.55785</v>
      </c>
      <c r="U690" t="n">
        <v>-0.44728</v>
      </c>
      <c r="V690" t="n">
        <v>-1.2718</v>
      </c>
      <c r="W690" t="n">
        <v>-0.67959</v>
      </c>
      <c r="X690" t="n">
        <v>-0.55202</v>
      </c>
      <c r="Y690" t="n">
        <v>-0.30143</v>
      </c>
      <c r="Z690" t="n">
        <v>-0.29978</v>
      </c>
    </row>
    <row r="691">
      <c r="A691" t="inlineStr">
        <is>
          <t>attracted</t>
        </is>
      </c>
      <c r="B691" t="n">
        <v>-0.31168</v>
      </c>
      <c r="C691" t="n">
        <v>-0.92648</v>
      </c>
      <c r="D691" t="n">
        <v>-0.73233</v>
      </c>
      <c r="E691" t="n">
        <v>-0.8285</v>
      </c>
      <c r="F691" t="n">
        <v>-0.1704</v>
      </c>
      <c r="G691" t="n">
        <v>1.6177</v>
      </c>
      <c r="H691" t="n">
        <v>1.1654</v>
      </c>
      <c r="I691" t="n">
        <v>-0.93529</v>
      </c>
      <c r="J691" t="n">
        <v>-1.1113</v>
      </c>
      <c r="K691" t="n">
        <v>-0.13684</v>
      </c>
      <c r="L691" t="n">
        <v>-0.79696</v>
      </c>
      <c r="M691" t="n">
        <v>0.16366</v>
      </c>
      <c r="N691" t="n">
        <v>-2.7397</v>
      </c>
      <c r="O691" t="n">
        <v>-0.68716</v>
      </c>
      <c r="P691" t="n">
        <v>-1.142</v>
      </c>
      <c r="Q691" t="n">
        <v>1.0151</v>
      </c>
      <c r="R691" t="n">
        <v>0.25333</v>
      </c>
      <c r="S691" t="n">
        <v>-0.35732</v>
      </c>
      <c r="T691" t="n">
        <v>1.9401</v>
      </c>
      <c r="U691" t="n">
        <v>-0.80409</v>
      </c>
      <c r="V691" t="n">
        <v>0.75154</v>
      </c>
      <c r="W691" t="n">
        <v>1.0732</v>
      </c>
      <c r="X691" t="n">
        <v>-0.71069</v>
      </c>
      <c r="Y691" t="n">
        <v>-0.94007</v>
      </c>
      <c r="Z691" t="n">
        <v>-1.2383</v>
      </c>
    </row>
    <row r="692">
      <c r="A692" t="inlineStr">
        <is>
          <t>tonite</t>
        </is>
      </c>
      <c r="B692" t="n">
        <v>-0.77501</v>
      </c>
      <c r="C692" t="n">
        <v>1.5759</v>
      </c>
      <c r="D692" t="n">
        <v>0.55445</v>
      </c>
      <c r="E692" t="n">
        <v>-0.81839</v>
      </c>
      <c r="F692" t="n">
        <v>-0.11755</v>
      </c>
      <c r="G692" t="n">
        <v>0.129</v>
      </c>
      <c r="H692" t="n">
        <v>0.29152</v>
      </c>
      <c r="I692" t="n">
        <v>-0.63242</v>
      </c>
      <c r="J692" t="n">
        <v>-0.057471</v>
      </c>
      <c r="K692" t="n">
        <v>-0.35093</v>
      </c>
      <c r="L692" t="n">
        <v>-1.2946</v>
      </c>
      <c r="M692" t="n">
        <v>0.83305</v>
      </c>
      <c r="N692" t="n">
        <v>-2.9075</v>
      </c>
      <c r="O692" t="n">
        <v>0.44572</v>
      </c>
      <c r="P692" t="n">
        <v>0.44012</v>
      </c>
      <c r="Q692" t="n">
        <v>0.27826</v>
      </c>
      <c r="R692" t="n">
        <v>0.12374</v>
      </c>
      <c r="S692" t="n">
        <v>-1.1898</v>
      </c>
      <c r="T692" t="n">
        <v>-0.55452</v>
      </c>
      <c r="U692" t="n">
        <v>0.54924</v>
      </c>
      <c r="V692" t="n">
        <v>-0.18621</v>
      </c>
      <c r="W692" t="n">
        <v>-0.34139</v>
      </c>
      <c r="X692" t="n">
        <v>0.66243</v>
      </c>
      <c r="Y692" t="n">
        <v>0.20094</v>
      </c>
      <c r="Z692" t="n">
        <v>1.4464</v>
      </c>
    </row>
    <row r="693">
      <c r="A693" t="inlineStr">
        <is>
          <t>ight</t>
        </is>
      </c>
      <c r="B693" t="n">
        <v>-0.094552</v>
      </c>
      <c r="C693" t="n">
        <v>1.7111</v>
      </c>
      <c r="D693" t="n">
        <v>-0.4436</v>
      </c>
      <c r="E693" t="n">
        <v>-0.71635</v>
      </c>
      <c r="F693" t="n">
        <v>-0.47549</v>
      </c>
      <c r="G693" t="n">
        <v>-0.26085</v>
      </c>
      <c r="H693" t="n">
        <v>0.64671</v>
      </c>
      <c r="I693" t="n">
        <v>-0.53959</v>
      </c>
      <c r="J693" t="n">
        <v>-0.50214</v>
      </c>
      <c r="K693" t="n">
        <v>-0.033171</v>
      </c>
      <c r="L693" t="n">
        <v>-1.6666</v>
      </c>
      <c r="M693" t="n">
        <v>1.1262</v>
      </c>
      <c r="N693" t="n">
        <v>-2.1949</v>
      </c>
      <c r="O693" t="n">
        <v>-0.57052</v>
      </c>
      <c r="P693" t="n">
        <v>0.54816</v>
      </c>
      <c r="Q693" t="n">
        <v>-0.62032</v>
      </c>
      <c r="R693" t="n">
        <v>1.1494</v>
      </c>
      <c r="S693" t="n">
        <v>-0.7532</v>
      </c>
      <c r="T693" t="n">
        <v>-0.83347</v>
      </c>
      <c r="U693" t="n">
        <v>0.52262</v>
      </c>
      <c r="V693" t="n">
        <v>1.8426</v>
      </c>
      <c r="W693" t="n">
        <v>0.46296</v>
      </c>
      <c r="X693" t="n">
        <v>1.4322</v>
      </c>
      <c r="Y693" t="n">
        <v>1.3197</v>
      </c>
      <c r="Z693" t="n">
        <v>0.5018</v>
      </c>
    </row>
    <row r="694">
      <c r="A694" t="inlineStr">
        <is>
          <t>photoshop</t>
        </is>
      </c>
      <c r="B694" t="n">
        <v>1.0139</v>
      </c>
      <c r="C694" t="n">
        <v>-0.30916</v>
      </c>
      <c r="D694" t="n">
        <v>-0.026306</v>
      </c>
      <c r="E694" t="n">
        <v>0.45896</v>
      </c>
      <c r="F694" t="n">
        <v>1.5195</v>
      </c>
      <c r="G694" t="n">
        <v>0.041173</v>
      </c>
      <c r="H694" t="n">
        <v>0.5011</v>
      </c>
      <c r="I694" t="n">
        <v>0.093621</v>
      </c>
      <c r="J694" t="n">
        <v>0.7012699999999999</v>
      </c>
      <c r="K694" t="n">
        <v>-0.062494</v>
      </c>
      <c r="L694" t="n">
        <v>0.32943</v>
      </c>
      <c r="M694" t="n">
        <v>-0.49559</v>
      </c>
      <c r="N694" t="n">
        <v>-2.0694</v>
      </c>
      <c r="O694" t="n">
        <v>-1.3332</v>
      </c>
      <c r="P694" t="n">
        <v>-0.019482</v>
      </c>
      <c r="Q694" t="n">
        <v>0.88002</v>
      </c>
      <c r="R694" t="n">
        <v>0.33062</v>
      </c>
      <c r="S694" t="n">
        <v>0.16443</v>
      </c>
      <c r="T694" t="n">
        <v>0.60041</v>
      </c>
      <c r="U694" t="n">
        <v>0.17867</v>
      </c>
      <c r="V694" t="n">
        <v>-0.5653</v>
      </c>
      <c r="W694" t="n">
        <v>-0.62398</v>
      </c>
      <c r="X694" t="n">
        <v>-0.63169</v>
      </c>
      <c r="Y694" t="n">
        <v>0.13868</v>
      </c>
      <c r="Z694" t="n">
        <v>-0.57115</v>
      </c>
    </row>
    <row r="695">
      <c r="A695" t="inlineStr">
        <is>
          <t>ceremony</t>
        </is>
      </c>
      <c r="B695" t="n">
        <v>-0.73146</v>
      </c>
      <c r="C695" t="n">
        <v>-0.0051592</v>
      </c>
      <c r="D695" t="n">
        <v>0.68897</v>
      </c>
      <c r="E695" t="n">
        <v>-0.95819</v>
      </c>
      <c r="F695" t="n">
        <v>0.25592</v>
      </c>
      <c r="G695" t="n">
        <v>-1.0435</v>
      </c>
      <c r="H695" t="n">
        <v>1.2265</v>
      </c>
      <c r="I695" t="n">
        <v>-0.92313</v>
      </c>
      <c r="J695" t="n">
        <v>-0.15638</v>
      </c>
      <c r="K695" t="n">
        <v>-0.83894</v>
      </c>
      <c r="L695" t="n">
        <v>0.38954</v>
      </c>
      <c r="M695" t="n">
        <v>0.63642</v>
      </c>
      <c r="N695" t="n">
        <v>-2.4876</v>
      </c>
      <c r="O695" t="n">
        <v>1.6442</v>
      </c>
      <c r="P695" t="n">
        <v>0.31797</v>
      </c>
      <c r="Q695" t="n">
        <v>0.23035</v>
      </c>
      <c r="R695" t="n">
        <v>-0.42295</v>
      </c>
      <c r="S695" t="n">
        <v>-0.22832</v>
      </c>
      <c r="T695" t="n">
        <v>-0.95177</v>
      </c>
      <c r="U695" t="n">
        <v>0.021195</v>
      </c>
      <c r="V695" t="n">
        <v>-1.5199</v>
      </c>
      <c r="W695" t="n">
        <v>0.46875</v>
      </c>
      <c r="X695" t="n">
        <v>-0.68199</v>
      </c>
      <c r="Y695" t="n">
        <v>-0.57075</v>
      </c>
      <c r="Z695" t="n">
        <v>0.23611</v>
      </c>
    </row>
    <row r="696">
      <c r="A696" t="inlineStr">
        <is>
          <t>featuring</t>
        </is>
      </c>
      <c r="B696" t="n">
        <v>-0.59329</v>
      </c>
      <c r="C696" t="n">
        <v>0.28682</v>
      </c>
      <c r="D696" t="n">
        <v>0.60751</v>
      </c>
      <c r="E696" t="n">
        <v>0.14109</v>
      </c>
      <c r="F696" t="n">
        <v>0.29597</v>
      </c>
      <c r="G696" t="n">
        <v>-0.51424</v>
      </c>
      <c r="H696" t="n">
        <v>0.77068</v>
      </c>
      <c r="I696" t="n">
        <v>0.24349</v>
      </c>
      <c r="J696" t="n">
        <v>0.33795</v>
      </c>
      <c r="K696" t="n">
        <v>-1.4097</v>
      </c>
      <c r="L696" t="n">
        <v>0.27523</v>
      </c>
      <c r="M696" t="n">
        <v>1.2642</v>
      </c>
      <c r="N696" t="n">
        <v>-2.7639</v>
      </c>
      <c r="O696" t="n">
        <v>-0.67727</v>
      </c>
      <c r="P696" t="n">
        <v>-0.059079</v>
      </c>
      <c r="Q696" t="n">
        <v>0.1706</v>
      </c>
      <c r="R696" t="n">
        <v>0.16004</v>
      </c>
      <c r="S696" t="n">
        <v>0.21457</v>
      </c>
      <c r="T696" t="n">
        <v>-0.38309</v>
      </c>
      <c r="U696" t="n">
        <v>1.0036</v>
      </c>
      <c r="V696" t="n">
        <v>-0.77796</v>
      </c>
      <c r="W696" t="n">
        <v>-0.87109</v>
      </c>
      <c r="X696" t="n">
        <v>-0.33559</v>
      </c>
      <c r="Y696" t="n">
        <v>-0.7359</v>
      </c>
      <c r="Z696" t="n">
        <v>0.22361</v>
      </c>
    </row>
    <row r="697">
      <c r="A697" t="inlineStr">
        <is>
          <t>wasting</t>
        </is>
      </c>
      <c r="B697" t="n">
        <v>0.037906</v>
      </c>
      <c r="C697" t="n">
        <v>1.8579</v>
      </c>
      <c r="D697" t="n">
        <v>0.01057</v>
      </c>
      <c r="E697" t="n">
        <v>0.99914</v>
      </c>
      <c r="F697" t="n">
        <v>-0.21294</v>
      </c>
      <c r="G697" t="n">
        <v>0.86187</v>
      </c>
      <c r="H697" t="n">
        <v>0.84872</v>
      </c>
      <c r="I697" t="n">
        <v>-1.7584</v>
      </c>
      <c r="J697" t="n">
        <v>-0.7492799999999999</v>
      </c>
      <c r="K697" t="n">
        <v>0.50721</v>
      </c>
      <c r="L697" t="n">
        <v>-1.0681</v>
      </c>
      <c r="M697" t="n">
        <v>0.18335</v>
      </c>
      <c r="N697" t="n">
        <v>-2.991</v>
      </c>
      <c r="O697" t="n">
        <v>0.0057595</v>
      </c>
      <c r="P697" t="n">
        <v>0.44753</v>
      </c>
      <c r="Q697" t="n">
        <v>0.58873</v>
      </c>
      <c r="R697" t="n">
        <v>-0.71983</v>
      </c>
      <c r="S697" t="n">
        <v>0.15387</v>
      </c>
      <c r="T697" t="n">
        <v>0.5559500000000001</v>
      </c>
      <c r="U697" t="n">
        <v>-0.89857</v>
      </c>
      <c r="V697" t="n">
        <v>-0.2489</v>
      </c>
      <c r="W697" t="n">
        <v>0.10253</v>
      </c>
      <c r="X697" t="n">
        <v>-0.44198</v>
      </c>
      <c r="Y697" t="n">
        <v>0.33692</v>
      </c>
      <c r="Z697" t="n">
        <v>-0.81531</v>
      </c>
    </row>
    <row r="698">
      <c r="A698" t="inlineStr">
        <is>
          <t>agency</t>
        </is>
      </c>
      <c r="B698" t="n">
        <v>-0.33309</v>
      </c>
      <c r="C698" t="n">
        <v>1.2865</v>
      </c>
      <c r="D698" t="n">
        <v>-1.0961</v>
      </c>
      <c r="E698" t="n">
        <v>-1.1232</v>
      </c>
      <c r="F698" t="n">
        <v>1.0132</v>
      </c>
      <c r="G698" t="n">
        <v>-1.3178</v>
      </c>
      <c r="H698" t="n">
        <v>0.59817</v>
      </c>
      <c r="I698" t="n">
        <v>0.13512</v>
      </c>
      <c r="J698" t="n">
        <v>1.8419</v>
      </c>
      <c r="K698" t="n">
        <v>0.30285</v>
      </c>
      <c r="L698" t="n">
        <v>0.74551</v>
      </c>
      <c r="M698" t="n">
        <v>0.48974</v>
      </c>
      <c r="N698" t="n">
        <v>-2.3977</v>
      </c>
      <c r="O698" t="n">
        <v>-0.14095</v>
      </c>
      <c r="P698" t="n">
        <v>0.2221</v>
      </c>
      <c r="Q698" t="n">
        <v>-0.41044</v>
      </c>
      <c r="R698" t="n">
        <v>-0.32187</v>
      </c>
      <c r="S698" t="n">
        <v>-0.64095</v>
      </c>
      <c r="T698" t="n">
        <v>-0.12548</v>
      </c>
      <c r="U698" t="n">
        <v>0.061048</v>
      </c>
      <c r="V698" t="n">
        <v>-0.31238</v>
      </c>
      <c r="W698" t="n">
        <v>-0.83001</v>
      </c>
      <c r="X698" t="n">
        <v>-1.4049</v>
      </c>
      <c r="Y698" t="n">
        <v>-0.57897</v>
      </c>
      <c r="Z698" t="n">
        <v>-1.2858</v>
      </c>
    </row>
    <row r="699">
      <c r="A699" t="inlineStr">
        <is>
          <t>smartphone</t>
        </is>
      </c>
      <c r="B699" t="n">
        <v>1.1631</v>
      </c>
      <c r="C699" t="n">
        <v>-0.1533</v>
      </c>
      <c r="D699" t="n">
        <v>-0.15229</v>
      </c>
      <c r="E699" t="n">
        <v>-0.83774</v>
      </c>
      <c r="F699" t="n">
        <v>1.3562</v>
      </c>
      <c r="G699" t="n">
        <v>0.20509</v>
      </c>
      <c r="H699" t="n">
        <v>-0.5036</v>
      </c>
      <c r="I699" t="n">
        <v>0.44092</v>
      </c>
      <c r="J699" t="n">
        <v>1.2964</v>
      </c>
      <c r="K699" t="n">
        <v>0.26132</v>
      </c>
      <c r="L699" t="n">
        <v>1.7295</v>
      </c>
      <c r="M699" t="n">
        <v>-0.28614</v>
      </c>
      <c r="N699" t="n">
        <v>-2.3302</v>
      </c>
      <c r="O699" t="n">
        <v>-0.86798</v>
      </c>
      <c r="P699" t="n">
        <v>-0.26929</v>
      </c>
      <c r="Q699" t="n">
        <v>0.55863</v>
      </c>
      <c r="R699" t="n">
        <v>0.24549</v>
      </c>
      <c r="S699" t="n">
        <v>0.25418</v>
      </c>
      <c r="T699" t="n">
        <v>0.21161</v>
      </c>
      <c r="U699" t="n">
        <v>-0.12486</v>
      </c>
      <c r="V699" t="n">
        <v>-1.4155</v>
      </c>
      <c r="W699" t="n">
        <v>-1.1205</v>
      </c>
      <c r="X699" t="n">
        <v>0.11915</v>
      </c>
      <c r="Y699" t="n">
        <v>-0.62725</v>
      </c>
      <c r="Z699" t="n">
        <v>-1.0726</v>
      </c>
    </row>
    <row r="700">
      <c r="A700" t="inlineStr">
        <is>
          <t>homecoming</t>
        </is>
      </c>
      <c r="B700" t="n">
        <v>-0.82652</v>
      </c>
      <c r="C700" t="n">
        <v>0.91042</v>
      </c>
      <c r="D700" t="n">
        <v>0.8512999999999999</v>
      </c>
      <c r="E700" t="n">
        <v>-2.1811</v>
      </c>
      <c r="F700" t="n">
        <v>-0.022625</v>
      </c>
      <c r="G700" t="n">
        <v>-0.48983</v>
      </c>
      <c r="H700" t="n">
        <v>1.0131</v>
      </c>
      <c r="I700" t="n">
        <v>-0.98559</v>
      </c>
      <c r="J700" t="n">
        <v>-0.18541</v>
      </c>
      <c r="K700" t="n">
        <v>-0.83304</v>
      </c>
      <c r="L700" t="n">
        <v>-1.089</v>
      </c>
      <c r="M700" t="n">
        <v>-0.12387</v>
      </c>
      <c r="N700" t="n">
        <v>-2.785</v>
      </c>
      <c r="O700" t="n">
        <v>0.74815</v>
      </c>
      <c r="P700" t="n">
        <v>0.12282</v>
      </c>
      <c r="Q700" t="n">
        <v>0.021958</v>
      </c>
      <c r="R700" t="n">
        <v>0.044962</v>
      </c>
      <c r="S700" t="n">
        <v>-1.6831</v>
      </c>
      <c r="T700" t="n">
        <v>-0.73149</v>
      </c>
      <c r="U700" t="n">
        <v>1.0625</v>
      </c>
      <c r="V700" t="n">
        <v>-0.4576</v>
      </c>
      <c r="W700" t="n">
        <v>0.43826</v>
      </c>
      <c r="X700" t="n">
        <v>0.25292</v>
      </c>
      <c r="Y700" t="n">
        <v>-0.7304</v>
      </c>
      <c r="Z700" t="n">
        <v>0.25023</v>
      </c>
    </row>
    <row r="701">
      <c r="A701" t="inlineStr">
        <is>
          <t>clutch</t>
        </is>
      </c>
      <c r="B701" t="n">
        <v>-0.69312</v>
      </c>
      <c r="C701" t="n">
        <v>0.053904</v>
      </c>
      <c r="D701" t="n">
        <v>0.57643</v>
      </c>
      <c r="E701" t="n">
        <v>-0.77847</v>
      </c>
      <c r="F701" t="n">
        <v>0.76758</v>
      </c>
      <c r="G701" t="n">
        <v>0.6734599999999999</v>
      </c>
      <c r="H701" t="n">
        <v>-0.20527</v>
      </c>
      <c r="I701" t="n">
        <v>-0.9167999999999999</v>
      </c>
      <c r="J701" t="n">
        <v>-0.084595</v>
      </c>
      <c r="K701" t="n">
        <v>-0.80816</v>
      </c>
      <c r="L701" t="n">
        <v>0.64989</v>
      </c>
      <c r="M701" t="n">
        <v>0.8397</v>
      </c>
      <c r="N701" t="n">
        <v>-2.6623</v>
      </c>
      <c r="O701" t="n">
        <v>-0.14828</v>
      </c>
      <c r="P701" t="n">
        <v>0.48667</v>
      </c>
      <c r="Q701" t="n">
        <v>-0.35831</v>
      </c>
      <c r="R701" t="n">
        <v>0.61972</v>
      </c>
      <c r="S701" t="n">
        <v>-0.99509</v>
      </c>
      <c r="T701" t="n">
        <v>-0.24146</v>
      </c>
      <c r="U701" t="n">
        <v>0.57229</v>
      </c>
      <c r="V701" t="n">
        <v>-0.33806</v>
      </c>
      <c r="W701" t="n">
        <v>0.76165</v>
      </c>
      <c r="X701" t="n">
        <v>1.7782</v>
      </c>
      <c r="Y701" t="n">
        <v>0.25764</v>
      </c>
      <c r="Z701" t="n">
        <v>-0.51003</v>
      </c>
    </row>
    <row r="702">
      <c r="A702" t="inlineStr">
        <is>
          <t>matthew</t>
        </is>
      </c>
      <c r="B702" t="n">
        <v>-0.88239</v>
      </c>
      <c r="C702" t="n">
        <v>0.00064588</v>
      </c>
      <c r="D702" t="n">
        <v>0.19912</v>
      </c>
      <c r="E702" t="n">
        <v>0.7982399999999999</v>
      </c>
      <c r="F702" t="n">
        <v>-1.0765</v>
      </c>
      <c r="G702" t="n">
        <v>-1.1188</v>
      </c>
      <c r="H702" t="n">
        <v>0.34268</v>
      </c>
      <c r="I702" t="n">
        <v>0.41277</v>
      </c>
      <c r="J702" t="n">
        <v>-0.41601</v>
      </c>
      <c r="K702" t="n">
        <v>-1.7279</v>
      </c>
      <c r="L702" t="n">
        <v>-0.01603</v>
      </c>
      <c r="M702" t="n">
        <v>1.2135</v>
      </c>
      <c r="N702" t="n">
        <v>-2.7074</v>
      </c>
      <c r="O702" t="n">
        <v>-0.43518</v>
      </c>
      <c r="P702" t="n">
        <v>0.43531</v>
      </c>
      <c r="Q702" t="n">
        <v>-0.59126</v>
      </c>
      <c r="R702" t="n">
        <v>-0.60587</v>
      </c>
      <c r="S702" t="n">
        <v>0.37093</v>
      </c>
      <c r="T702" t="n">
        <v>0.34464</v>
      </c>
      <c r="U702" t="n">
        <v>-0.0071934</v>
      </c>
      <c r="V702" t="n">
        <v>0.18434</v>
      </c>
      <c r="W702" t="n">
        <v>0.039723</v>
      </c>
      <c r="X702" t="n">
        <v>-0.59134</v>
      </c>
      <c r="Y702" t="n">
        <v>-0.21121</v>
      </c>
      <c r="Z702" t="n">
        <v>-0.55777</v>
      </c>
    </row>
    <row r="703">
      <c r="A703" t="inlineStr">
        <is>
          <t>fired</t>
        </is>
      </c>
      <c r="B703" t="n">
        <v>-0.41442</v>
      </c>
      <c r="C703" t="n">
        <v>1.3114</v>
      </c>
      <c r="D703" t="n">
        <v>0.39901</v>
      </c>
      <c r="E703" t="n">
        <v>-0.49772</v>
      </c>
      <c r="F703" t="n">
        <v>-0.13067</v>
      </c>
      <c r="G703" t="n">
        <v>-0.42391</v>
      </c>
      <c r="H703" t="n">
        <v>0.1561</v>
      </c>
      <c r="I703" t="n">
        <v>-0.92619</v>
      </c>
      <c r="J703" t="n">
        <v>0.005328</v>
      </c>
      <c r="K703" t="n">
        <v>0.1484</v>
      </c>
      <c r="L703" t="n">
        <v>0.88562</v>
      </c>
      <c r="M703" t="n">
        <v>1.2748</v>
      </c>
      <c r="N703" t="n">
        <v>-3.0211</v>
      </c>
      <c r="O703" t="n">
        <v>-0.34506</v>
      </c>
      <c r="P703" t="n">
        <v>1.2958</v>
      </c>
      <c r="Q703" t="n">
        <v>-0.9005300000000001</v>
      </c>
      <c r="R703" t="n">
        <v>0.69204</v>
      </c>
      <c r="S703" t="n">
        <v>-0.28393</v>
      </c>
      <c r="T703" t="n">
        <v>0.15023</v>
      </c>
      <c r="U703" t="n">
        <v>-1.3867</v>
      </c>
      <c r="V703" t="n">
        <v>0.96919</v>
      </c>
      <c r="W703" t="n">
        <v>0.61822</v>
      </c>
      <c r="X703" t="n">
        <v>0.56102</v>
      </c>
      <c r="Y703" t="n">
        <v>-1.4319</v>
      </c>
      <c r="Z703" t="n">
        <v>0.00012153</v>
      </c>
    </row>
    <row r="704">
      <c r="A704" t="inlineStr">
        <is>
          <t>thanx</t>
        </is>
      </c>
      <c r="B704" t="n">
        <v>-0.8582</v>
      </c>
      <c r="C704" t="n">
        <v>1.249</v>
      </c>
      <c r="D704" t="n">
        <v>-0.30658</v>
      </c>
      <c r="E704" t="n">
        <v>-0.32656</v>
      </c>
      <c r="F704" t="n">
        <v>-0.27376</v>
      </c>
      <c r="G704" t="n">
        <v>-0.59116</v>
      </c>
      <c r="H704" t="n">
        <v>0.53207</v>
      </c>
      <c r="I704" t="n">
        <v>0.14441</v>
      </c>
      <c r="J704" t="n">
        <v>-1.2568</v>
      </c>
      <c r="K704" t="n">
        <v>-0.23492</v>
      </c>
      <c r="L704" t="n">
        <v>-1.4018</v>
      </c>
      <c r="M704" t="n">
        <v>0.77916</v>
      </c>
      <c r="N704" t="n">
        <v>-2.2503</v>
      </c>
      <c r="O704" t="n">
        <v>-0.32554</v>
      </c>
      <c r="P704" t="n">
        <v>-0.07059600000000001</v>
      </c>
      <c r="Q704" t="n">
        <v>-0.4152</v>
      </c>
      <c r="R704" t="n">
        <v>0.8894</v>
      </c>
      <c r="S704" t="n">
        <v>-0.68303</v>
      </c>
      <c r="T704" t="n">
        <v>-0.80774</v>
      </c>
      <c r="U704" t="n">
        <v>0.74488</v>
      </c>
      <c r="V704" t="n">
        <v>0.3702</v>
      </c>
      <c r="W704" t="n">
        <v>-0.59755</v>
      </c>
      <c r="X704" t="n">
        <v>-0.95494</v>
      </c>
      <c r="Y704" t="n">
        <v>1.5109</v>
      </c>
      <c r="Z704" t="n">
        <v>-0.42116</v>
      </c>
    </row>
    <row r="705">
      <c r="A705" t="inlineStr">
        <is>
          <t>cray</t>
        </is>
      </c>
      <c r="B705" t="n">
        <v>-0.25625</v>
      </c>
      <c r="C705" t="n">
        <v>0.33093</v>
      </c>
      <c r="D705" t="n">
        <v>0.72059</v>
      </c>
      <c r="E705" t="n">
        <v>-1.0911</v>
      </c>
      <c r="F705" t="n">
        <v>0.18415</v>
      </c>
      <c r="G705" t="n">
        <v>0.30443</v>
      </c>
      <c r="H705" t="n">
        <v>0.81929</v>
      </c>
      <c r="I705" t="n">
        <v>-0.79464</v>
      </c>
      <c r="J705" t="n">
        <v>-0.90738</v>
      </c>
      <c r="K705" t="n">
        <v>-0.10191</v>
      </c>
      <c r="L705" t="n">
        <v>-1.7449</v>
      </c>
      <c r="M705" t="n">
        <v>1.143</v>
      </c>
      <c r="N705" t="n">
        <v>-2.3395</v>
      </c>
      <c r="O705" t="n">
        <v>-0.42396</v>
      </c>
      <c r="P705" t="n">
        <v>0.42191</v>
      </c>
      <c r="Q705" t="n">
        <v>0.42703</v>
      </c>
      <c r="R705" t="n">
        <v>0.54606</v>
      </c>
      <c r="S705" t="n">
        <v>-0.34715</v>
      </c>
      <c r="T705" t="n">
        <v>-0.14766</v>
      </c>
      <c r="U705" t="n">
        <v>0.64294</v>
      </c>
      <c r="V705" t="n">
        <v>1.1065</v>
      </c>
      <c r="W705" t="n">
        <v>0.65474</v>
      </c>
      <c r="X705" t="n">
        <v>0.77417</v>
      </c>
      <c r="Y705" t="n">
        <v>0.22706</v>
      </c>
      <c r="Z705" t="n">
        <v>0.633</v>
      </c>
    </row>
    <row r="706">
      <c r="A706" t="inlineStr">
        <is>
          <t>creep</t>
        </is>
      </c>
      <c r="B706" t="n">
        <v>-0.14547</v>
      </c>
      <c r="C706" t="n">
        <v>0.39481</v>
      </c>
      <c r="D706" t="n">
        <v>0.48703</v>
      </c>
      <c r="E706" t="n">
        <v>0.15237</v>
      </c>
      <c r="F706" t="n">
        <v>0.6846100000000001</v>
      </c>
      <c r="G706" t="n">
        <v>-0.061384</v>
      </c>
      <c r="H706" t="n">
        <v>1.2519</v>
      </c>
      <c r="I706" t="n">
        <v>-0.55676</v>
      </c>
      <c r="J706" t="n">
        <v>-0.47694</v>
      </c>
      <c r="K706" t="n">
        <v>0.1427</v>
      </c>
      <c r="L706" t="n">
        <v>-1.1944</v>
      </c>
      <c r="M706" t="n">
        <v>0.95564</v>
      </c>
      <c r="N706" t="n">
        <v>-2.2152</v>
      </c>
      <c r="O706" t="n">
        <v>-1.1916</v>
      </c>
      <c r="P706" t="n">
        <v>0.44074</v>
      </c>
      <c r="Q706" t="n">
        <v>1.3544</v>
      </c>
      <c r="R706" t="n">
        <v>0.2636</v>
      </c>
      <c r="S706" t="n">
        <v>-0.63445</v>
      </c>
      <c r="T706" t="n">
        <v>0.18538</v>
      </c>
      <c r="U706" t="n">
        <v>-0.6869499999999999</v>
      </c>
      <c r="V706" t="n">
        <v>0.9811</v>
      </c>
      <c r="W706" t="n">
        <v>0.13691</v>
      </c>
      <c r="X706" t="n">
        <v>0.74192</v>
      </c>
      <c r="Y706" t="n">
        <v>-0.54392</v>
      </c>
      <c r="Z706" t="n">
        <v>0.05616</v>
      </c>
    </row>
    <row r="707">
      <c r="A707" t="inlineStr">
        <is>
          <t>cheated</t>
        </is>
      </c>
      <c r="B707" t="n">
        <v>-0.11169</v>
      </c>
      <c r="C707" t="n">
        <v>0.67992</v>
      </c>
      <c r="D707" t="n">
        <v>0.98966</v>
      </c>
      <c r="E707" t="n">
        <v>-0.051821</v>
      </c>
      <c r="F707" t="n">
        <v>-0.32624</v>
      </c>
      <c r="G707" t="n">
        <v>-0.51824</v>
      </c>
      <c r="H707" t="n">
        <v>0.074867</v>
      </c>
      <c r="I707" t="n">
        <v>0.114</v>
      </c>
      <c r="J707" t="n">
        <v>-1.6481</v>
      </c>
      <c r="K707" t="n">
        <v>0.32346</v>
      </c>
      <c r="L707" t="n">
        <v>-0.26789</v>
      </c>
      <c r="M707" t="n">
        <v>1.4743</v>
      </c>
      <c r="N707" t="n">
        <v>-2.8538</v>
      </c>
      <c r="O707" t="n">
        <v>0.033404</v>
      </c>
      <c r="P707" t="n">
        <v>-0.30394</v>
      </c>
      <c r="Q707" t="n">
        <v>0.94116</v>
      </c>
      <c r="R707" t="n">
        <v>0.18318</v>
      </c>
      <c r="S707" t="n">
        <v>-0.09560399999999999</v>
      </c>
      <c r="T707" t="n">
        <v>1.4867</v>
      </c>
      <c r="U707" t="n">
        <v>-1.5562</v>
      </c>
      <c r="V707" t="n">
        <v>1.0693</v>
      </c>
      <c r="W707" t="n">
        <v>1.6135</v>
      </c>
      <c r="X707" t="n">
        <v>0.50247</v>
      </c>
      <c r="Y707" t="n">
        <v>-0.70946</v>
      </c>
      <c r="Z707" t="n">
        <v>-1.2797</v>
      </c>
    </row>
    <row r="708">
      <c r="A708" t="inlineStr">
        <is>
          <t>acts</t>
        </is>
      </c>
      <c r="B708" t="n">
        <v>-0.14329</v>
      </c>
      <c r="C708" t="n">
        <v>-0.013123</v>
      </c>
      <c r="D708" t="n">
        <v>0.020624</v>
      </c>
      <c r="E708" t="n">
        <v>0.23578</v>
      </c>
      <c r="F708" t="n">
        <v>0.86751</v>
      </c>
      <c r="G708" t="n">
        <v>-0.36769</v>
      </c>
      <c r="H708" t="n">
        <v>1.3414</v>
      </c>
      <c r="I708" t="n">
        <v>-1.3096</v>
      </c>
      <c r="J708" t="n">
        <v>-0.59491</v>
      </c>
      <c r="K708" t="n">
        <v>-0.64432</v>
      </c>
      <c r="L708" t="n">
        <v>-0.4793</v>
      </c>
      <c r="M708" t="n">
        <v>0.89478</v>
      </c>
      <c r="N708" t="n">
        <v>-2.8871</v>
      </c>
      <c r="O708" t="n">
        <v>0.5553399999999999</v>
      </c>
      <c r="P708" t="n">
        <v>-0.34559</v>
      </c>
      <c r="Q708" t="n">
        <v>0.74374</v>
      </c>
      <c r="R708" t="n">
        <v>-0.22345</v>
      </c>
      <c r="S708" t="n">
        <v>0.36722</v>
      </c>
      <c r="T708" t="n">
        <v>0.35889</v>
      </c>
      <c r="U708" t="n">
        <v>-0.54837</v>
      </c>
      <c r="V708" t="n">
        <v>0.9919</v>
      </c>
      <c r="W708" t="n">
        <v>0.73848</v>
      </c>
      <c r="X708" t="n">
        <v>-0.78821</v>
      </c>
      <c r="Y708" t="n">
        <v>-0.8994</v>
      </c>
      <c r="Z708" t="n">
        <v>-0.35832</v>
      </c>
    </row>
    <row r="709">
      <c r="A709" t="inlineStr">
        <is>
          <t>mothers</t>
        </is>
      </c>
      <c r="B709" t="n">
        <v>-1.5467</v>
      </c>
      <c r="C709" t="n">
        <v>0.9821</v>
      </c>
      <c r="D709" t="n">
        <v>0.096001</v>
      </c>
      <c r="E709" t="n">
        <v>0.61933</v>
      </c>
      <c r="F709" t="n">
        <v>0.74069</v>
      </c>
      <c r="G709" t="n">
        <v>-0.65373</v>
      </c>
      <c r="H709" t="n">
        <v>1.1238</v>
      </c>
      <c r="I709" t="n">
        <v>-1.0385</v>
      </c>
      <c r="J709" t="n">
        <v>-0.75134</v>
      </c>
      <c r="K709" t="n">
        <v>0.058103</v>
      </c>
      <c r="L709" t="n">
        <v>-0.34579</v>
      </c>
      <c r="M709" t="n">
        <v>-0.46458</v>
      </c>
      <c r="N709" t="n">
        <v>-2.9268</v>
      </c>
      <c r="O709" t="n">
        <v>0.8649</v>
      </c>
      <c r="P709" t="n">
        <v>-1.2443</v>
      </c>
      <c r="Q709" t="n">
        <v>-0.24259</v>
      </c>
      <c r="R709" t="n">
        <v>0.90232</v>
      </c>
      <c r="S709" t="n">
        <v>-0.87064</v>
      </c>
      <c r="T709" t="n">
        <v>0.21492</v>
      </c>
      <c r="U709" t="n">
        <v>-0.049812</v>
      </c>
      <c r="V709" t="n">
        <v>0.56663</v>
      </c>
      <c r="W709" t="n">
        <v>0.64335</v>
      </c>
      <c r="X709" t="n">
        <v>-1.0838</v>
      </c>
      <c r="Y709" t="n">
        <v>-0.60292</v>
      </c>
      <c r="Z709" t="n">
        <v>-0.10209</v>
      </c>
    </row>
    <row r="710">
      <c r="A710" t="inlineStr">
        <is>
          <t>countries</t>
        </is>
      </c>
      <c r="B710" t="n">
        <v>1.0814</v>
      </c>
      <c r="C710" t="n">
        <v>0.13292</v>
      </c>
      <c r="D710" t="n">
        <v>-0.41502</v>
      </c>
      <c r="E710" t="n">
        <v>-1.1223</v>
      </c>
      <c r="F710" t="n">
        <v>-0.63156</v>
      </c>
      <c r="G710" t="n">
        <v>-0.25922</v>
      </c>
      <c r="H710" t="n">
        <v>1.0263</v>
      </c>
      <c r="I710" t="n">
        <v>-1.8188</v>
      </c>
      <c r="J710" t="n">
        <v>-0.34777</v>
      </c>
      <c r="K710" t="n">
        <v>0.54588</v>
      </c>
      <c r="L710" t="n">
        <v>0.13041</v>
      </c>
      <c r="M710" t="n">
        <v>-0.81768</v>
      </c>
      <c r="N710" t="n">
        <v>-3.1137</v>
      </c>
      <c r="O710" t="n">
        <v>1.5443</v>
      </c>
      <c r="P710" t="n">
        <v>-0.47104</v>
      </c>
      <c r="Q710" t="n">
        <v>-0.25921</v>
      </c>
      <c r="R710" t="n">
        <v>-0.20613</v>
      </c>
      <c r="S710" t="n">
        <v>-0.18406</v>
      </c>
      <c r="T710" t="n">
        <v>1.3562</v>
      </c>
      <c r="U710" t="n">
        <v>-0.14524</v>
      </c>
      <c r="V710" t="n">
        <v>-0.48394</v>
      </c>
      <c r="W710" t="n">
        <v>-0.58941</v>
      </c>
      <c r="X710" t="n">
        <v>-1.1526</v>
      </c>
      <c r="Y710" t="n">
        <v>-1.5061</v>
      </c>
      <c r="Z710" t="n">
        <v>-0.32481</v>
      </c>
    </row>
    <row r="711">
      <c r="A711" t="inlineStr">
        <is>
          <t>smooth</t>
        </is>
      </c>
      <c r="B711" t="n">
        <v>-1.4153</v>
      </c>
      <c r="C711" t="n">
        <v>-0.048189</v>
      </c>
      <c r="D711" t="n">
        <v>-0.10226</v>
      </c>
      <c r="E711" t="n">
        <v>0.28234</v>
      </c>
      <c r="F711" t="n">
        <v>0.62696</v>
      </c>
      <c r="G711" t="n">
        <v>1.5496</v>
      </c>
      <c r="H711" t="n">
        <v>0.5686600000000001</v>
      </c>
      <c r="I711" t="n">
        <v>-0.43358</v>
      </c>
      <c r="J711" t="n">
        <v>0.46382</v>
      </c>
      <c r="K711" t="n">
        <v>-0.55754</v>
      </c>
      <c r="L711" t="n">
        <v>-0.30293</v>
      </c>
      <c r="M711" t="n">
        <v>1.0705</v>
      </c>
      <c r="N711" t="n">
        <v>-2.794</v>
      </c>
      <c r="O711" t="n">
        <v>-0.74488</v>
      </c>
      <c r="P711" t="n">
        <v>-0.13805</v>
      </c>
      <c r="Q711" t="n">
        <v>0.1543</v>
      </c>
      <c r="R711" t="n">
        <v>0.24699</v>
      </c>
      <c r="S711" t="n">
        <v>-0.21378</v>
      </c>
      <c r="T711" t="n">
        <v>0.43527</v>
      </c>
      <c r="U711" t="n">
        <v>0.19036</v>
      </c>
      <c r="V711" t="n">
        <v>-0.28111</v>
      </c>
      <c r="W711" t="n">
        <v>0.57175</v>
      </c>
      <c r="X711" t="n">
        <v>0.53842</v>
      </c>
      <c r="Y711" t="n">
        <v>0.08841300000000001</v>
      </c>
      <c r="Z711" t="n">
        <v>0.055827</v>
      </c>
    </row>
    <row r="712">
      <c r="A712" t="inlineStr">
        <is>
          <t>replay</t>
        </is>
      </c>
      <c r="B712" t="n">
        <v>0.77538</v>
      </c>
      <c r="C712" t="n">
        <v>0.4018</v>
      </c>
      <c r="D712" t="n">
        <v>0.61429</v>
      </c>
      <c r="E712" t="n">
        <v>0.055631</v>
      </c>
      <c r="F712" t="n">
        <v>0.11394</v>
      </c>
      <c r="G712" t="n">
        <v>-0.2826</v>
      </c>
      <c r="H712" t="n">
        <v>0.66514</v>
      </c>
      <c r="I712" t="n">
        <v>0.12233</v>
      </c>
      <c r="J712" t="n">
        <v>-0.33107</v>
      </c>
      <c r="K712" t="n">
        <v>-0.64913</v>
      </c>
      <c r="L712" t="n">
        <v>-0.37614</v>
      </c>
      <c r="M712" t="n">
        <v>0.23768</v>
      </c>
      <c r="N712" t="n">
        <v>-1.7452</v>
      </c>
      <c r="O712" t="n">
        <v>0.44863</v>
      </c>
      <c r="P712" t="n">
        <v>0.19506</v>
      </c>
      <c r="Q712" t="n">
        <v>1.1209</v>
      </c>
      <c r="R712" t="n">
        <v>-0.37841</v>
      </c>
      <c r="S712" t="n">
        <v>-0.34164</v>
      </c>
      <c r="T712" t="n">
        <v>-0.89071</v>
      </c>
      <c r="U712" t="n">
        <v>-0.11363</v>
      </c>
      <c r="V712" t="n">
        <v>-1.0674</v>
      </c>
      <c r="W712" t="n">
        <v>-0.22677</v>
      </c>
      <c r="X712" t="n">
        <v>0.5643899999999999</v>
      </c>
      <c r="Y712" t="n">
        <v>-0.30346</v>
      </c>
      <c r="Z712" t="n">
        <v>-0.5686099999999999</v>
      </c>
    </row>
    <row r="713">
      <c r="A713" t="inlineStr">
        <is>
          <t>teatro</t>
        </is>
      </c>
      <c r="B713" t="n">
        <v>-0.18753</v>
      </c>
      <c r="C713" t="n">
        <v>-0.10371</v>
      </c>
      <c r="D713" t="n">
        <v>0.93528</v>
      </c>
      <c r="E713" t="n">
        <v>-0.2978</v>
      </c>
      <c r="F713" t="n">
        <v>0.43162</v>
      </c>
      <c r="G713" t="n">
        <v>-0.37312</v>
      </c>
      <c r="H713" t="n">
        <v>-0.86863</v>
      </c>
      <c r="I713" t="n">
        <v>1.281</v>
      </c>
      <c r="J713" t="n">
        <v>0.43424</v>
      </c>
      <c r="K713" t="n">
        <v>-1.4641</v>
      </c>
      <c r="L713" t="n">
        <v>0.026116</v>
      </c>
      <c r="M713" t="n">
        <v>-1.9358</v>
      </c>
      <c r="N713" t="n">
        <v>-0.98968</v>
      </c>
      <c r="O713" t="n">
        <v>0.14908</v>
      </c>
      <c r="P713" t="n">
        <v>0.9203</v>
      </c>
      <c r="Q713" t="n">
        <v>-0.49025</v>
      </c>
      <c r="R713" t="n">
        <v>-0.16043</v>
      </c>
      <c r="S713" t="n">
        <v>1.3761</v>
      </c>
      <c r="T713" t="n">
        <v>-0.23772</v>
      </c>
      <c r="U713" t="n">
        <v>0.072815</v>
      </c>
      <c r="V713" t="n">
        <v>-0.75817</v>
      </c>
      <c r="W713" t="n">
        <v>-0.49951</v>
      </c>
      <c r="X713" t="n">
        <v>-0.071577</v>
      </c>
      <c r="Y713" t="n">
        <v>-0.6542</v>
      </c>
      <c r="Z713" t="n">
        <v>2.3712</v>
      </c>
    </row>
    <row r="714">
      <c r="A714" t="inlineStr">
        <is>
          <t>shoulda</t>
        </is>
      </c>
      <c r="B714" t="n">
        <v>-0.35554</v>
      </c>
      <c r="C714" t="n">
        <v>1.6273</v>
      </c>
      <c r="D714" t="n">
        <v>1.58</v>
      </c>
      <c r="E714" t="n">
        <v>-0.93157</v>
      </c>
      <c r="F714" t="n">
        <v>-0.84949</v>
      </c>
      <c r="G714" t="n">
        <v>-0.14652</v>
      </c>
      <c r="H714" t="n">
        <v>0.1197</v>
      </c>
      <c r="I714" t="n">
        <v>-0.44318</v>
      </c>
      <c r="J714" t="n">
        <v>-0.75437</v>
      </c>
      <c r="K714" t="n">
        <v>-0.31095</v>
      </c>
      <c r="L714" t="n">
        <v>0.47524</v>
      </c>
      <c r="M714" t="n">
        <v>1.1431</v>
      </c>
      <c r="N714" t="n">
        <v>-3.3419</v>
      </c>
      <c r="O714" t="n">
        <v>-0.047399</v>
      </c>
      <c r="P714" t="n">
        <v>0.17583</v>
      </c>
      <c r="Q714" t="n">
        <v>0.52569</v>
      </c>
      <c r="R714" t="n">
        <v>1.5156</v>
      </c>
      <c r="S714" t="n">
        <v>0.077763</v>
      </c>
      <c r="T714" t="n">
        <v>0.19436</v>
      </c>
      <c r="U714" t="n">
        <v>-0.06594700000000001</v>
      </c>
      <c r="V714" t="n">
        <v>1.4912</v>
      </c>
      <c r="W714" t="n">
        <v>1.1296</v>
      </c>
      <c r="X714" t="n">
        <v>1.2413</v>
      </c>
      <c r="Y714" t="n">
        <v>0.5885899999999999</v>
      </c>
      <c r="Z714" t="n">
        <v>-0.009789900000000001</v>
      </c>
    </row>
    <row r="715">
      <c r="A715" t="inlineStr">
        <is>
          <t>twitcon</t>
        </is>
      </c>
      <c r="B715" t="n">
        <v>-0.026431</v>
      </c>
      <c r="C715" t="n">
        <v>-1.0375</v>
      </c>
      <c r="D715" t="n">
        <v>0.76097</v>
      </c>
      <c r="E715" t="n">
        <v>-0.60867</v>
      </c>
      <c r="F715" t="n">
        <v>0.77002</v>
      </c>
      <c r="G715" t="n">
        <v>0.48885</v>
      </c>
      <c r="H715" t="n">
        <v>0.78109</v>
      </c>
      <c r="I715" t="n">
        <v>0.71082</v>
      </c>
      <c r="J715" t="n">
        <v>-0.31394</v>
      </c>
      <c r="K715" t="n">
        <v>0.32838</v>
      </c>
      <c r="L715" t="n">
        <v>-1.3056</v>
      </c>
      <c r="M715" t="n">
        <v>1.185</v>
      </c>
      <c r="N715" t="n">
        <v>-1.4391</v>
      </c>
      <c r="O715" t="n">
        <v>-1.5514</v>
      </c>
      <c r="P715" t="n">
        <v>-0.29754</v>
      </c>
      <c r="Q715" t="n">
        <v>0.5625</v>
      </c>
      <c r="R715" t="n">
        <v>1.3781</v>
      </c>
      <c r="S715" t="n">
        <v>-1.5144</v>
      </c>
      <c r="T715" t="n">
        <v>-1.014</v>
      </c>
      <c r="U715" t="n">
        <v>0.6772899999999999</v>
      </c>
      <c r="V715" t="n">
        <v>0.58113</v>
      </c>
      <c r="W715" t="n">
        <v>0.043671</v>
      </c>
      <c r="X715" t="n">
        <v>-0.39049</v>
      </c>
      <c r="Y715" t="n">
        <v>0.79425</v>
      </c>
      <c r="Z715" t="n">
        <v>-2.1197</v>
      </c>
    </row>
    <row r="716">
      <c r="A716" t="inlineStr">
        <is>
          <t>therefore</t>
        </is>
      </c>
      <c r="B716" t="n">
        <v>-0.0097765</v>
      </c>
      <c r="C716" t="n">
        <v>-0.081358</v>
      </c>
      <c r="D716" t="n">
        <v>-0.98183</v>
      </c>
      <c r="E716" t="n">
        <v>0.15965</v>
      </c>
      <c r="F716" t="n">
        <v>-0.5422</v>
      </c>
      <c r="G716" t="n">
        <v>-0.6119</v>
      </c>
      <c r="H716" t="n">
        <v>1.0156</v>
      </c>
      <c r="I716" t="n">
        <v>-1.4307</v>
      </c>
      <c r="J716" t="n">
        <v>-0.80768</v>
      </c>
      <c r="K716" t="n">
        <v>0.28718</v>
      </c>
      <c r="L716" t="n">
        <v>-0.4938</v>
      </c>
      <c r="M716" t="n">
        <v>0.22746</v>
      </c>
      <c r="N716" t="n">
        <v>-3.1766</v>
      </c>
      <c r="O716" t="n">
        <v>0.23273</v>
      </c>
      <c r="P716" t="n">
        <v>-0.36322</v>
      </c>
      <c r="Q716" t="n">
        <v>0.32067</v>
      </c>
      <c r="R716" t="n">
        <v>0.28897</v>
      </c>
      <c r="S716" t="n">
        <v>0.11974</v>
      </c>
      <c r="T716" t="n">
        <v>1.1837</v>
      </c>
      <c r="U716" t="n">
        <v>-0.83389</v>
      </c>
      <c r="V716" t="n">
        <v>0.57639</v>
      </c>
      <c r="W716" t="n">
        <v>0.51662</v>
      </c>
      <c r="X716" t="n">
        <v>-0.60509</v>
      </c>
      <c r="Y716" t="n">
        <v>0.63937</v>
      </c>
      <c r="Z716" t="n">
        <v>-0.19337</v>
      </c>
    </row>
    <row r="717">
      <c r="A717" t="inlineStr">
        <is>
          <t>cherry</t>
        </is>
      </c>
      <c r="B717" t="n">
        <v>-1.2654</v>
      </c>
      <c r="C717" t="n">
        <v>-0.36429</v>
      </c>
      <c r="D717" t="n">
        <v>0.48667</v>
      </c>
      <c r="E717" t="n">
        <v>0.79721</v>
      </c>
      <c r="F717" t="n">
        <v>-0.66596</v>
      </c>
      <c r="G717" t="n">
        <v>0.7279600000000001</v>
      </c>
      <c r="H717" t="n">
        <v>0.5561700000000001</v>
      </c>
      <c r="I717" t="n">
        <v>-0.28685</v>
      </c>
      <c r="J717" t="n">
        <v>0.98356</v>
      </c>
      <c r="K717" t="n">
        <v>-0.39622</v>
      </c>
      <c r="L717" t="n">
        <v>0.83814</v>
      </c>
      <c r="M717" t="n">
        <v>0.24097</v>
      </c>
      <c r="N717" t="n">
        <v>-2.5728</v>
      </c>
      <c r="O717" t="n">
        <v>-0.95701</v>
      </c>
      <c r="P717" t="n">
        <v>-0.51022</v>
      </c>
      <c r="Q717" t="n">
        <v>-0.4694</v>
      </c>
      <c r="R717" t="n">
        <v>0.70352</v>
      </c>
      <c r="S717" t="n">
        <v>-0.15192</v>
      </c>
      <c r="T717" t="n">
        <v>0.33872</v>
      </c>
      <c r="U717" t="n">
        <v>1.6613</v>
      </c>
      <c r="V717" t="n">
        <v>-0.86864</v>
      </c>
      <c r="W717" t="n">
        <v>0.053256</v>
      </c>
      <c r="X717" t="n">
        <v>0.2437</v>
      </c>
      <c r="Y717" t="n">
        <v>0.47105</v>
      </c>
      <c r="Z717" t="n">
        <v>0.60815</v>
      </c>
    </row>
    <row r="718">
      <c r="A718" t="inlineStr">
        <is>
          <t>wears</t>
        </is>
      </c>
      <c r="B718" t="n">
        <v>-0.81124</v>
      </c>
      <c r="C718" t="n">
        <v>-1.2295</v>
      </c>
      <c r="D718" t="n">
        <v>0.77013</v>
      </c>
      <c r="E718" t="n">
        <v>-0.93441</v>
      </c>
      <c r="F718" t="n">
        <v>-0.30372</v>
      </c>
      <c r="G718" t="n">
        <v>-0.06265</v>
      </c>
      <c r="H718" t="n">
        <v>0.52013</v>
      </c>
      <c r="I718" t="n">
        <v>-0.99734</v>
      </c>
      <c r="J718" t="n">
        <v>-0.48605</v>
      </c>
      <c r="K718" t="n">
        <v>-0.18186</v>
      </c>
      <c r="L718" t="n">
        <v>1.2042</v>
      </c>
      <c r="M718" t="n">
        <v>0.1499</v>
      </c>
      <c r="N718" t="n">
        <v>-3.4791</v>
      </c>
      <c r="O718" t="n">
        <v>-0.91092</v>
      </c>
      <c r="P718" t="n">
        <v>-0.97027</v>
      </c>
      <c r="Q718" t="n">
        <v>0.74366</v>
      </c>
      <c r="R718" t="n">
        <v>0.28848</v>
      </c>
      <c r="S718" t="n">
        <v>-0.71091</v>
      </c>
      <c r="T718" t="n">
        <v>0.58654</v>
      </c>
      <c r="U718" t="n">
        <v>0.82794</v>
      </c>
      <c r="V718" t="n">
        <v>0.53015</v>
      </c>
      <c r="W718" t="n">
        <v>1.1443</v>
      </c>
      <c r="X718" t="n">
        <v>0.6504799999999999</v>
      </c>
      <c r="Y718" t="n">
        <v>-0.39268</v>
      </c>
      <c r="Z718" t="n">
        <v>-1.2954</v>
      </c>
    </row>
    <row r="719">
      <c r="A719" t="inlineStr">
        <is>
          <t>sophia</t>
        </is>
      </c>
      <c r="B719" t="n">
        <v>-0.30314</v>
      </c>
      <c r="C719" t="n">
        <v>-0.48213</v>
      </c>
      <c r="D719" t="n">
        <v>1.4646</v>
      </c>
      <c r="E719" t="n">
        <v>0.24915</v>
      </c>
      <c r="F719" t="n">
        <v>-0.11689</v>
      </c>
      <c r="G719" t="n">
        <v>-1.0667</v>
      </c>
      <c r="H719" t="n">
        <v>0.09514599999999999</v>
      </c>
      <c r="I719" t="n">
        <v>0.6513099999999999</v>
      </c>
      <c r="J719" t="n">
        <v>-0.13147</v>
      </c>
      <c r="K719" t="n">
        <v>-1.9046</v>
      </c>
      <c r="L719" t="n">
        <v>-0.69811</v>
      </c>
      <c r="M719" t="n">
        <v>-0.90125</v>
      </c>
      <c r="N719" t="n">
        <v>-2.0312</v>
      </c>
      <c r="O719" t="n">
        <v>-1.259</v>
      </c>
      <c r="P719" t="n">
        <v>-0.7866300000000001</v>
      </c>
      <c r="Q719" t="n">
        <v>-0.17133</v>
      </c>
      <c r="R719" t="n">
        <v>-1.606</v>
      </c>
      <c r="S719" t="n">
        <v>-0.31814</v>
      </c>
      <c r="T719" t="n">
        <v>-0.59279</v>
      </c>
      <c r="U719" t="n">
        <v>0.10387</v>
      </c>
      <c r="V719" t="n">
        <v>0.18345</v>
      </c>
      <c r="W719" t="n">
        <v>0.52525</v>
      </c>
      <c r="X719" t="n">
        <v>-0.91012</v>
      </c>
      <c r="Y719" t="n">
        <v>-0.36237</v>
      </c>
      <c r="Z719" t="n">
        <v>-0.18458</v>
      </c>
    </row>
    <row r="720">
      <c r="A720" t="inlineStr">
        <is>
          <t>throws</t>
        </is>
      </c>
      <c r="B720" t="n">
        <v>-0.2433</v>
      </c>
      <c r="C720" t="n">
        <v>0.36815</v>
      </c>
      <c r="D720" t="n">
        <v>0.97793</v>
      </c>
      <c r="E720" t="n">
        <v>0.83855</v>
      </c>
      <c r="F720" t="n">
        <v>-0.10677</v>
      </c>
      <c r="G720" t="n">
        <v>-0.13214</v>
      </c>
      <c r="H720" t="n">
        <v>1.1438</v>
      </c>
      <c r="I720" t="n">
        <v>-0.96917</v>
      </c>
      <c r="J720" t="n">
        <v>0.10055</v>
      </c>
      <c r="K720" t="n">
        <v>-0.16997</v>
      </c>
      <c r="L720" t="n">
        <v>1.2818</v>
      </c>
      <c r="M720" t="n">
        <v>1.1972</v>
      </c>
      <c r="N720" t="n">
        <v>-2.6884</v>
      </c>
      <c r="O720" t="n">
        <v>0.21193</v>
      </c>
      <c r="P720" t="n">
        <v>0.49039</v>
      </c>
      <c r="Q720" t="n">
        <v>-0.6303299999999999</v>
      </c>
      <c r="R720" t="n">
        <v>0.37628</v>
      </c>
      <c r="S720" t="n">
        <v>-0.64125</v>
      </c>
      <c r="T720" t="n">
        <v>0.21072</v>
      </c>
      <c r="U720" t="n">
        <v>-0.21859</v>
      </c>
      <c r="V720" t="n">
        <v>0.25384</v>
      </c>
      <c r="W720" t="n">
        <v>0.93746</v>
      </c>
      <c r="X720" t="n">
        <v>2.2769</v>
      </c>
      <c r="Y720" t="n">
        <v>-0.35615</v>
      </c>
      <c r="Z720" t="n">
        <v>-1.1038</v>
      </c>
    </row>
    <row r="721">
      <c r="A721" t="inlineStr">
        <is>
          <t>physical</t>
        </is>
      </c>
      <c r="B721" t="n">
        <v>-0.074167</v>
      </c>
      <c r="C721" t="n">
        <v>0.26837</v>
      </c>
      <c r="D721" t="n">
        <v>-1.3175</v>
      </c>
      <c r="E721" t="n">
        <v>0.42023</v>
      </c>
      <c r="F721" t="n">
        <v>1.4389</v>
      </c>
      <c r="G721" t="n">
        <v>0.38176</v>
      </c>
      <c r="H721" t="n">
        <v>1.2527</v>
      </c>
      <c r="I721" t="n">
        <v>-1.2291</v>
      </c>
      <c r="J721" t="n">
        <v>0.82012</v>
      </c>
      <c r="K721" t="n">
        <v>-0.44951</v>
      </c>
      <c r="L721" t="n">
        <v>-0.43872</v>
      </c>
      <c r="M721" t="n">
        <v>-0.063459</v>
      </c>
      <c r="N721" t="n">
        <v>-3.165</v>
      </c>
      <c r="O721" t="n">
        <v>0.83686</v>
      </c>
      <c r="P721" t="n">
        <v>1.0472</v>
      </c>
      <c r="Q721" t="n">
        <v>-0.01589</v>
      </c>
      <c r="R721" t="n">
        <v>0.18128</v>
      </c>
      <c r="S721" t="n">
        <v>0.6387699999999999</v>
      </c>
      <c r="T721" t="n">
        <v>0.88324</v>
      </c>
      <c r="U721" t="n">
        <v>-0.64608</v>
      </c>
      <c r="V721" t="n">
        <v>-0.7297</v>
      </c>
      <c r="W721" t="n">
        <v>0.14983</v>
      </c>
      <c r="X721" t="n">
        <v>-0.18884</v>
      </c>
      <c r="Y721" t="n">
        <v>-0.041494</v>
      </c>
      <c r="Z721" t="n">
        <v>-1.0101</v>
      </c>
    </row>
    <row r="722">
      <c r="A722" t="inlineStr">
        <is>
          <t>proyecto</t>
        </is>
      </c>
      <c r="B722" t="n">
        <v>0.22123</v>
      </c>
      <c r="C722" t="n">
        <v>0.9101399999999999</v>
      </c>
      <c r="D722" t="n">
        <v>-0.37973</v>
      </c>
      <c r="E722" t="n">
        <v>-0.29355</v>
      </c>
      <c r="F722" t="n">
        <v>2.0074</v>
      </c>
      <c r="G722" t="n">
        <v>-0.39695</v>
      </c>
      <c r="H722" t="n">
        <v>-0.73094</v>
      </c>
      <c r="I722" t="n">
        <v>1.9725</v>
      </c>
      <c r="J722" t="n">
        <v>0.29682</v>
      </c>
      <c r="K722" t="n">
        <v>-1.2277</v>
      </c>
      <c r="L722" t="n">
        <v>0.47544</v>
      </c>
      <c r="M722" t="n">
        <v>-1.9979</v>
      </c>
      <c r="N722" t="n">
        <v>-1.0315</v>
      </c>
      <c r="O722" t="n">
        <v>0.76495</v>
      </c>
      <c r="P722" t="n">
        <v>1.4449</v>
      </c>
      <c r="Q722" t="n">
        <v>-0.023917</v>
      </c>
      <c r="R722" t="n">
        <v>0.13605</v>
      </c>
      <c r="S722" t="n">
        <v>0.82851</v>
      </c>
      <c r="T722" t="n">
        <v>0.44021</v>
      </c>
      <c r="U722" t="n">
        <v>-0.41841</v>
      </c>
      <c r="V722" t="n">
        <v>0.23389</v>
      </c>
      <c r="W722" t="n">
        <v>-1.2081</v>
      </c>
      <c r="X722" t="n">
        <v>-0.1636</v>
      </c>
      <c r="Y722" t="n">
        <v>-0.78995</v>
      </c>
      <c r="Z722" t="n">
        <v>0.8105599999999999</v>
      </c>
    </row>
    <row r="723">
      <c r="A723" t="inlineStr">
        <is>
          <t>asf</t>
        </is>
      </c>
      <c r="B723" t="n">
        <v>-0.67952</v>
      </c>
      <c r="C723" t="n">
        <v>0.12818</v>
      </c>
      <c r="D723" t="n">
        <v>0.3061</v>
      </c>
      <c r="E723" t="n">
        <v>-0.47159</v>
      </c>
      <c r="F723" t="n">
        <v>1.6741</v>
      </c>
      <c r="G723" t="n">
        <v>0.79664</v>
      </c>
      <c r="H723" t="n">
        <v>0.55457</v>
      </c>
      <c r="I723" t="n">
        <v>-0.68734</v>
      </c>
      <c r="J723" t="n">
        <v>-0.45075</v>
      </c>
      <c r="K723" t="n">
        <v>0.53892</v>
      </c>
      <c r="L723" t="n">
        <v>-2.3664</v>
      </c>
      <c r="M723" t="n">
        <v>1.1464</v>
      </c>
      <c r="N723" t="n">
        <v>-2.0143</v>
      </c>
      <c r="O723" t="n">
        <v>-0.19738</v>
      </c>
      <c r="P723" t="n">
        <v>0.63614</v>
      </c>
      <c r="Q723" t="n">
        <v>0.32322</v>
      </c>
      <c r="R723" t="n">
        <v>0.33863</v>
      </c>
      <c r="S723" t="n">
        <v>-1.3596</v>
      </c>
      <c r="T723" t="n">
        <v>-0.13318</v>
      </c>
      <c r="U723" t="n">
        <v>0.27403</v>
      </c>
      <c r="V723" t="n">
        <v>1.7451</v>
      </c>
      <c r="W723" t="n">
        <v>0.48705</v>
      </c>
      <c r="X723" t="n">
        <v>1.3981</v>
      </c>
      <c r="Y723" t="n">
        <v>0.31973</v>
      </c>
      <c r="Z723" t="n">
        <v>0.95544</v>
      </c>
    </row>
    <row r="724">
      <c r="A724" t="inlineStr">
        <is>
          <t>greater</t>
        </is>
      </c>
      <c r="B724" t="n">
        <v>-0.69148</v>
      </c>
      <c r="C724" t="n">
        <v>0.56982</v>
      </c>
      <c r="D724" t="n">
        <v>-1.5038</v>
      </c>
      <c r="E724" t="n">
        <v>0.61644</v>
      </c>
      <c r="F724" t="n">
        <v>-0.78333</v>
      </c>
      <c r="G724" t="n">
        <v>0.47267</v>
      </c>
      <c r="H724" t="n">
        <v>0.44213</v>
      </c>
      <c r="I724" t="n">
        <v>-0.93686</v>
      </c>
      <c r="J724" t="n">
        <v>0.23454</v>
      </c>
      <c r="K724" t="n">
        <v>-0.7088</v>
      </c>
      <c r="L724" t="n">
        <v>-0.62866</v>
      </c>
      <c r="M724" t="n">
        <v>0.2907</v>
      </c>
      <c r="N724" t="n">
        <v>-3.7559</v>
      </c>
      <c r="O724" t="n">
        <v>1.5825</v>
      </c>
      <c r="P724" t="n">
        <v>0.64489</v>
      </c>
      <c r="Q724" t="n">
        <v>-0.46562</v>
      </c>
      <c r="R724" t="n">
        <v>0.14396</v>
      </c>
      <c r="S724" t="n">
        <v>1.0335</v>
      </c>
      <c r="T724" t="n">
        <v>1.4738</v>
      </c>
      <c r="U724" t="n">
        <v>-0.36822</v>
      </c>
      <c r="V724" t="n">
        <v>-0.36688</v>
      </c>
      <c r="W724" t="n">
        <v>-0.87012</v>
      </c>
      <c r="X724" t="n">
        <v>-0.6027</v>
      </c>
      <c r="Y724" t="n">
        <v>-0.14869</v>
      </c>
      <c r="Z724" t="n">
        <v>-0.65263</v>
      </c>
    </row>
    <row r="725">
      <c r="A725" t="inlineStr">
        <is>
          <t>bust</t>
        </is>
      </c>
      <c r="B725" t="n">
        <v>-0.269</v>
      </c>
      <c r="C725" t="n">
        <v>1.2375</v>
      </c>
      <c r="D725" t="n">
        <v>0.23842</v>
      </c>
      <c r="E725" t="n">
        <v>0.42502</v>
      </c>
      <c r="F725" t="n">
        <v>0.16281</v>
      </c>
      <c r="G725" t="n">
        <v>0.10902</v>
      </c>
      <c r="H725" t="n">
        <v>0.098618</v>
      </c>
      <c r="I725" t="n">
        <v>-1.1266</v>
      </c>
      <c r="J725" t="n">
        <v>0.60407</v>
      </c>
      <c r="K725" t="n">
        <v>0.26304</v>
      </c>
      <c r="L725" t="n">
        <v>0.078567</v>
      </c>
      <c r="M725" t="n">
        <v>1.0309</v>
      </c>
      <c r="N725" t="n">
        <v>-3.0162</v>
      </c>
      <c r="O725" t="n">
        <v>-0.45395</v>
      </c>
      <c r="P725" t="n">
        <v>-0.21945</v>
      </c>
      <c r="Q725" t="n">
        <v>0.12015</v>
      </c>
      <c r="R725" t="n">
        <v>0.59621</v>
      </c>
      <c r="S725" t="n">
        <v>-0.68345</v>
      </c>
      <c r="T725" t="n">
        <v>-0.19962</v>
      </c>
      <c r="U725" t="n">
        <v>-0.49801</v>
      </c>
      <c r="V725" t="n">
        <v>0.13089</v>
      </c>
      <c r="W725" t="n">
        <v>1.0653</v>
      </c>
      <c r="X725" t="n">
        <v>1.868</v>
      </c>
      <c r="Y725" t="n">
        <v>-0.34727</v>
      </c>
      <c r="Z725" t="n">
        <v>0.65333</v>
      </c>
    </row>
    <row r="726">
      <c r="A726" t="inlineStr">
        <is>
          <t>bottles</t>
        </is>
      </c>
      <c r="B726" t="n">
        <v>-0.70494</v>
      </c>
      <c r="C726" t="n">
        <v>1.3958</v>
      </c>
      <c r="D726" t="n">
        <v>0.78643</v>
      </c>
      <c r="E726" t="n">
        <v>0.74007</v>
      </c>
      <c r="F726" t="n">
        <v>0.068569</v>
      </c>
      <c r="G726" t="n">
        <v>0.92833</v>
      </c>
      <c r="H726" t="n">
        <v>-0.038752</v>
      </c>
      <c r="I726" t="n">
        <v>-1.8332</v>
      </c>
      <c r="J726" t="n">
        <v>-0.34283</v>
      </c>
      <c r="K726" t="n">
        <v>0.5119899999999999</v>
      </c>
      <c r="L726" t="n">
        <v>1.1849</v>
      </c>
      <c r="M726" t="n">
        <v>0.062803</v>
      </c>
      <c r="N726" t="n">
        <v>-3.1074</v>
      </c>
      <c r="O726" t="n">
        <v>-0.26877</v>
      </c>
      <c r="P726" t="n">
        <v>-0.70477</v>
      </c>
      <c r="Q726" t="n">
        <v>-0.17638</v>
      </c>
      <c r="R726" t="n">
        <v>0.7109799999999999</v>
      </c>
      <c r="S726" t="n">
        <v>-0.80248</v>
      </c>
      <c r="T726" t="n">
        <v>0.59383</v>
      </c>
      <c r="U726" t="n">
        <v>1.1704</v>
      </c>
      <c r="V726" t="n">
        <v>-0.75317</v>
      </c>
      <c r="W726" t="n">
        <v>-0.46375</v>
      </c>
      <c r="X726" t="n">
        <v>0.94596</v>
      </c>
      <c r="Y726" t="n">
        <v>0.42977</v>
      </c>
      <c r="Z726" t="n">
        <v>1.0838</v>
      </c>
    </row>
    <row r="727">
      <c r="A727" t="inlineStr">
        <is>
          <t>shocked</t>
        </is>
      </c>
      <c r="B727" t="n">
        <v>-0.053865</v>
      </c>
      <c r="C727" t="n">
        <v>-0.03131</v>
      </c>
      <c r="D727" t="n">
        <v>0.25483</v>
      </c>
      <c r="E727" t="n">
        <v>-0.8648</v>
      </c>
      <c r="F727" t="n">
        <v>-0.38389</v>
      </c>
      <c r="G727" t="n">
        <v>0.010567</v>
      </c>
      <c r="H727" t="n">
        <v>1.1968</v>
      </c>
      <c r="I727" t="n">
        <v>-0.51556</v>
      </c>
      <c r="J727" t="n">
        <v>-0.76289</v>
      </c>
      <c r="K727" t="n">
        <v>-0.051348</v>
      </c>
      <c r="L727" t="n">
        <v>-0.6624</v>
      </c>
      <c r="M727" t="n">
        <v>1.4946</v>
      </c>
      <c r="N727" t="n">
        <v>-2.3113</v>
      </c>
      <c r="O727" t="n">
        <v>0.0031757</v>
      </c>
      <c r="P727" t="n">
        <v>0.47136</v>
      </c>
      <c r="Q727" t="n">
        <v>-0.097681</v>
      </c>
      <c r="R727" t="n">
        <v>0.58294</v>
      </c>
      <c r="S727" t="n">
        <v>0.16179</v>
      </c>
      <c r="T727" t="n">
        <v>0.26173</v>
      </c>
      <c r="U727" t="n">
        <v>-1.5789</v>
      </c>
      <c r="V727" t="n">
        <v>1.1994</v>
      </c>
      <c r="W727" t="n">
        <v>0.4767</v>
      </c>
      <c r="X727" t="n">
        <v>0.08822000000000001</v>
      </c>
      <c r="Y727" t="n">
        <v>-0.31428</v>
      </c>
      <c r="Z727" t="n">
        <v>-0.6482</v>
      </c>
    </row>
    <row r="728">
      <c r="A728" t="inlineStr">
        <is>
          <t>searching</t>
        </is>
      </c>
      <c r="B728" t="n">
        <v>-0.52096</v>
      </c>
      <c r="C728" t="n">
        <v>1.4531</v>
      </c>
      <c r="D728" t="n">
        <v>0.41556</v>
      </c>
      <c r="E728" t="n">
        <v>0.24158</v>
      </c>
      <c r="F728" t="n">
        <v>-0.011108</v>
      </c>
      <c r="G728" t="n">
        <v>0.009003799999999999</v>
      </c>
      <c r="H728" t="n">
        <v>0.85992</v>
      </c>
      <c r="I728" t="n">
        <v>-0.79319</v>
      </c>
      <c r="J728" t="n">
        <v>0.53416</v>
      </c>
      <c r="K728" t="n">
        <v>0.63227</v>
      </c>
      <c r="L728" t="n">
        <v>0.035475</v>
      </c>
      <c r="M728" t="n">
        <v>0.58195</v>
      </c>
      <c r="N728" t="n">
        <v>-2.6846</v>
      </c>
      <c r="O728" t="n">
        <v>-0.14992</v>
      </c>
      <c r="P728" t="n">
        <v>0.0058024</v>
      </c>
      <c r="Q728" t="n">
        <v>0.75385</v>
      </c>
      <c r="R728" t="n">
        <v>0.44109</v>
      </c>
      <c r="S728" t="n">
        <v>0.033279</v>
      </c>
      <c r="T728" t="n">
        <v>0.17928</v>
      </c>
      <c r="U728" t="n">
        <v>-0.96089</v>
      </c>
      <c r="V728" t="n">
        <v>-0.16995</v>
      </c>
      <c r="W728" t="n">
        <v>-0.6967</v>
      </c>
      <c r="X728" t="n">
        <v>-0.84365</v>
      </c>
      <c r="Y728" t="n">
        <v>-0.3404</v>
      </c>
      <c r="Z728" t="n">
        <v>-0.45881</v>
      </c>
    </row>
    <row r="729">
      <c r="A729" t="inlineStr">
        <is>
          <t>phrase</t>
        </is>
      </c>
      <c r="B729" t="n">
        <v>0.97973</v>
      </c>
      <c r="C729" t="n">
        <v>-0.81515</v>
      </c>
      <c r="D729" t="n">
        <v>-1.1237</v>
      </c>
      <c r="E729" t="n">
        <v>0.83331</v>
      </c>
      <c r="F729" t="n">
        <v>0.41081</v>
      </c>
      <c r="G729" t="n">
        <v>-0.42394</v>
      </c>
      <c r="H729" t="n">
        <v>1.2672</v>
      </c>
      <c r="I729" t="n">
        <v>-0.72811</v>
      </c>
      <c r="J729" t="n">
        <v>-0.0092464</v>
      </c>
      <c r="K729" t="n">
        <v>-0.37115</v>
      </c>
      <c r="L729" t="n">
        <v>-0.24495</v>
      </c>
      <c r="M729" t="n">
        <v>-0.022369</v>
      </c>
      <c r="N729" t="n">
        <v>-2.6045</v>
      </c>
      <c r="O729" t="n">
        <v>-0.013354</v>
      </c>
      <c r="P729" t="n">
        <v>0.35628</v>
      </c>
      <c r="Q729" t="n">
        <v>2.0123</v>
      </c>
      <c r="R729" t="n">
        <v>0.72538</v>
      </c>
      <c r="S729" t="n">
        <v>0.45767</v>
      </c>
      <c r="T729" t="n">
        <v>-1.3714</v>
      </c>
      <c r="U729" t="n">
        <v>0.79083</v>
      </c>
      <c r="V729" t="n">
        <v>0.82414</v>
      </c>
      <c r="W729" t="n">
        <v>-0.11647</v>
      </c>
      <c r="X729" t="n">
        <v>-0.22797</v>
      </c>
      <c r="Y729" t="n">
        <v>-0.47862</v>
      </c>
      <c r="Z729" t="n">
        <v>-0.48161</v>
      </c>
    </row>
    <row r="730">
      <c r="A730" t="inlineStr">
        <is>
          <t>focused</t>
        </is>
      </c>
      <c r="B730" t="n">
        <v>-0.95939</v>
      </c>
      <c r="C730" t="n">
        <v>1.3359</v>
      </c>
      <c r="D730" t="n">
        <v>-0.69578</v>
      </c>
      <c r="E730" t="n">
        <v>-0.8023400000000001</v>
      </c>
      <c r="F730" t="n">
        <v>0.64101</v>
      </c>
      <c r="G730" t="n">
        <v>1.0064</v>
      </c>
      <c r="H730" t="n">
        <v>0.42284</v>
      </c>
      <c r="I730" t="n">
        <v>-0.96496</v>
      </c>
      <c r="J730" t="n">
        <v>0.19603</v>
      </c>
      <c r="K730" t="n">
        <v>-0.9166</v>
      </c>
      <c r="L730" t="n">
        <v>-1.7273</v>
      </c>
      <c r="M730" t="n">
        <v>1.3493</v>
      </c>
      <c r="N730" t="n">
        <v>-3.1861</v>
      </c>
      <c r="O730" t="n">
        <v>0.63329</v>
      </c>
      <c r="P730" t="n">
        <v>0.009896200000000001</v>
      </c>
      <c r="Q730" t="n">
        <v>0.57029</v>
      </c>
      <c r="R730" t="n">
        <v>-1.0481</v>
      </c>
      <c r="S730" t="n">
        <v>0.31225</v>
      </c>
      <c r="T730" t="n">
        <v>0.65228</v>
      </c>
      <c r="U730" t="n">
        <v>-1.1369</v>
      </c>
      <c r="V730" t="n">
        <v>-0.06794799999999999</v>
      </c>
      <c r="W730" t="n">
        <v>-0.25769</v>
      </c>
      <c r="X730" t="n">
        <v>-0.34523</v>
      </c>
      <c r="Y730" t="n">
        <v>0.14542</v>
      </c>
      <c r="Z730" t="n">
        <v>-0.54836</v>
      </c>
    </row>
    <row r="731">
      <c r="A731" t="inlineStr">
        <is>
          <t>arts</t>
        </is>
      </c>
      <c r="B731" t="n">
        <v>-0.2521</v>
      </c>
      <c r="C731" t="n">
        <v>-0.14943</v>
      </c>
      <c r="D731" t="n">
        <v>-0.28174</v>
      </c>
      <c r="E731" t="n">
        <v>-0.96072</v>
      </c>
      <c r="F731" t="n">
        <v>0.88772</v>
      </c>
      <c r="G731" t="n">
        <v>-0.50646</v>
      </c>
      <c r="H731" t="n">
        <v>0.43921</v>
      </c>
      <c r="I731" t="n">
        <v>-0.9068000000000001</v>
      </c>
      <c r="J731" t="n">
        <v>1.4346</v>
      </c>
      <c r="K731" t="n">
        <v>-0.86111</v>
      </c>
      <c r="L731" t="n">
        <v>-0.22498</v>
      </c>
      <c r="M731" t="n">
        <v>-0.15699</v>
      </c>
      <c r="N731" t="n">
        <v>-3.1231</v>
      </c>
      <c r="O731" t="n">
        <v>0.75546</v>
      </c>
      <c r="P731" t="n">
        <v>0.73532</v>
      </c>
      <c r="Q731" t="n">
        <v>-0.052597</v>
      </c>
      <c r="R731" t="n">
        <v>0.10274</v>
      </c>
      <c r="S731" t="n">
        <v>0.5073</v>
      </c>
      <c r="T731" t="n">
        <v>-0.33923</v>
      </c>
      <c r="U731" t="n">
        <v>1.0922</v>
      </c>
      <c r="V731" t="n">
        <v>-0.80822</v>
      </c>
      <c r="W731" t="n">
        <v>-0.84509</v>
      </c>
      <c r="X731" t="n">
        <v>-1.5052</v>
      </c>
      <c r="Y731" t="n">
        <v>-0.67965</v>
      </c>
      <c r="Z731" t="n">
        <v>0.51378</v>
      </c>
    </row>
    <row r="732">
      <c r="A732" t="inlineStr">
        <is>
          <t>thin</t>
        </is>
      </c>
      <c r="B732" t="n">
        <v>-0.44972</v>
      </c>
      <c r="C732" t="n">
        <v>-0.75806</v>
      </c>
      <c r="D732" t="n">
        <v>-0.16004</v>
      </c>
      <c r="E732" t="n">
        <v>0.16438</v>
      </c>
      <c r="F732" t="n">
        <v>0.34255</v>
      </c>
      <c r="G732" t="n">
        <v>1.1661</v>
      </c>
      <c r="H732" t="n">
        <v>0.54018</v>
      </c>
      <c r="I732" t="n">
        <v>-1.3711</v>
      </c>
      <c r="J732" t="n">
        <v>-0.027449</v>
      </c>
      <c r="K732" t="n">
        <v>0.37206</v>
      </c>
      <c r="L732" t="n">
        <v>-0.26738</v>
      </c>
      <c r="M732" t="n">
        <v>0.29586</v>
      </c>
      <c r="N732" t="n">
        <v>-3.0339</v>
      </c>
      <c r="O732" t="n">
        <v>-0.53051</v>
      </c>
      <c r="P732" t="n">
        <v>-0.81713</v>
      </c>
      <c r="Q732" t="n">
        <v>-0.07853599999999999</v>
      </c>
      <c r="R732" t="n">
        <v>0.78752</v>
      </c>
      <c r="S732" t="n">
        <v>-0.27014</v>
      </c>
      <c r="T732" t="n">
        <v>0.93076</v>
      </c>
      <c r="U732" t="n">
        <v>0.53428</v>
      </c>
      <c r="V732" t="n">
        <v>-0.2326</v>
      </c>
      <c r="W732" t="n">
        <v>0.82562</v>
      </c>
      <c r="X732" t="n">
        <v>0.50504</v>
      </c>
      <c r="Y732" t="n">
        <v>0.4142</v>
      </c>
      <c r="Z732" t="n">
        <v>-0.7366</v>
      </c>
    </row>
    <row r="733">
      <c r="A733" t="inlineStr">
        <is>
          <t>leadership</t>
        </is>
      </c>
      <c r="B733" t="n">
        <v>-0.037378</v>
      </c>
      <c r="C733" t="n">
        <v>0.43556</v>
      </c>
      <c r="D733" t="n">
        <v>-1.7064</v>
      </c>
      <c r="E733" t="n">
        <v>-0.44372</v>
      </c>
      <c r="F733" t="n">
        <v>1.2476</v>
      </c>
      <c r="G733" t="n">
        <v>-0.6506999999999999</v>
      </c>
      <c r="H733" t="n">
        <v>0.43085</v>
      </c>
      <c r="I733" t="n">
        <v>-0.7847499999999999</v>
      </c>
      <c r="J733" t="n">
        <v>1.2703</v>
      </c>
      <c r="K733" t="n">
        <v>-1.3435</v>
      </c>
      <c r="L733" t="n">
        <v>-0.57962</v>
      </c>
      <c r="M733" t="n">
        <v>0.44004</v>
      </c>
      <c r="N733" t="n">
        <v>-3.4728</v>
      </c>
      <c r="O733" t="n">
        <v>0.91314</v>
      </c>
      <c r="P733" t="n">
        <v>0.39958</v>
      </c>
      <c r="Q733" t="n">
        <v>-0.26535</v>
      </c>
      <c r="R733" t="n">
        <v>-0.85791</v>
      </c>
      <c r="S733" t="n">
        <v>0.61547</v>
      </c>
      <c r="T733" t="n">
        <v>0.5744899999999999</v>
      </c>
      <c r="U733" t="n">
        <v>0.061242</v>
      </c>
      <c r="V733" t="n">
        <v>-0.19569</v>
      </c>
      <c r="W733" t="n">
        <v>0.011561</v>
      </c>
      <c r="X733" t="n">
        <v>-1.8368</v>
      </c>
      <c r="Y733" t="n">
        <v>-0.50704</v>
      </c>
      <c r="Z733" t="n">
        <v>-0.75541</v>
      </c>
    </row>
    <row r="734">
      <c r="A734" t="inlineStr">
        <is>
          <t>toys</t>
        </is>
      </c>
      <c r="B734" t="n">
        <v>-0.59096</v>
      </c>
      <c r="C734" t="n">
        <v>-0.052383</v>
      </c>
      <c r="D734" t="n">
        <v>0.54725</v>
      </c>
      <c r="E734" t="n">
        <v>-0.16981</v>
      </c>
      <c r="F734" t="n">
        <v>0.85959</v>
      </c>
      <c r="G734" t="n">
        <v>-0.34817</v>
      </c>
      <c r="H734" t="n">
        <v>0.63049</v>
      </c>
      <c r="I734" t="n">
        <v>-1.0391</v>
      </c>
      <c r="J734" t="n">
        <v>-0.13435</v>
      </c>
      <c r="K734" t="n">
        <v>-0.22134</v>
      </c>
      <c r="L734" t="n">
        <v>0.75986</v>
      </c>
      <c r="M734" t="n">
        <v>-0.25347</v>
      </c>
      <c r="N734" t="n">
        <v>-2.7815</v>
      </c>
      <c r="O734" t="n">
        <v>-0.72456</v>
      </c>
      <c r="P734" t="n">
        <v>-0.45699</v>
      </c>
      <c r="Q734" t="n">
        <v>0.26307</v>
      </c>
      <c r="R734" t="n">
        <v>1.0235</v>
      </c>
      <c r="S734" t="n">
        <v>-0.82125</v>
      </c>
      <c r="T734" t="n">
        <v>1.055</v>
      </c>
      <c r="U734" t="n">
        <v>0.43087</v>
      </c>
      <c r="V734" t="n">
        <v>-0.8035099999999999</v>
      </c>
      <c r="W734" t="n">
        <v>-0.50943</v>
      </c>
      <c r="X734" t="n">
        <v>-0.31833</v>
      </c>
      <c r="Y734" t="n">
        <v>-0.65518</v>
      </c>
      <c r="Z734" t="n">
        <v>0.35314</v>
      </c>
    </row>
    <row r="735">
      <c r="A735" t="inlineStr">
        <is>
          <t>nephew</t>
        </is>
      </c>
      <c r="B735" t="n">
        <v>-2.1214</v>
      </c>
      <c r="C735" t="n">
        <v>0.84493</v>
      </c>
      <c r="D735" t="n">
        <v>1.5447</v>
      </c>
      <c r="E735" t="n">
        <v>0.2488</v>
      </c>
      <c r="F735" t="n">
        <v>0.10172</v>
      </c>
      <c r="G735" t="n">
        <v>-0.93726</v>
      </c>
      <c r="H735" t="n">
        <v>0.90721</v>
      </c>
      <c r="I735" t="n">
        <v>-0.15871</v>
      </c>
      <c r="J735" t="n">
        <v>-0.77285</v>
      </c>
      <c r="K735" t="n">
        <v>-0.6065</v>
      </c>
      <c r="L735" t="n">
        <v>-0.52895</v>
      </c>
      <c r="M735" t="n">
        <v>0.59267</v>
      </c>
      <c r="N735" t="n">
        <v>-2.919</v>
      </c>
      <c r="O735" t="n">
        <v>-0.31225</v>
      </c>
      <c r="P735" t="n">
        <v>-0.0833</v>
      </c>
      <c r="Q735" t="n">
        <v>-0.40881</v>
      </c>
      <c r="R735" t="n">
        <v>1.2265</v>
      </c>
      <c r="S735" t="n">
        <v>-0.69994</v>
      </c>
      <c r="T735" t="n">
        <v>-0.63761</v>
      </c>
      <c r="U735" t="n">
        <v>0.21424</v>
      </c>
      <c r="V735" t="n">
        <v>0.96374</v>
      </c>
      <c r="W735" t="n">
        <v>0.74237</v>
      </c>
      <c r="X735" t="n">
        <v>-0.091944</v>
      </c>
      <c r="Y735" t="n">
        <v>-0.29184</v>
      </c>
      <c r="Z735" t="n">
        <v>-0.284</v>
      </c>
    </row>
    <row r="736">
      <c r="A736" t="inlineStr">
        <is>
          <t>tou</t>
        </is>
      </c>
      <c r="B736" t="n">
        <v>0.7562</v>
      </c>
      <c r="C736" t="n">
        <v>-0.6847800000000001</v>
      </c>
      <c r="D736" t="n">
        <v>-0.15033</v>
      </c>
      <c r="E736" t="n">
        <v>-0.66229</v>
      </c>
      <c r="F736" t="n">
        <v>-1.2987</v>
      </c>
      <c r="G736" t="n">
        <v>0.17608</v>
      </c>
      <c r="H736" t="n">
        <v>-1.0232</v>
      </c>
      <c r="I736" t="n">
        <v>-0.30288</v>
      </c>
      <c r="J736" t="n">
        <v>0.39472</v>
      </c>
      <c r="K736" t="n">
        <v>-0.40859</v>
      </c>
      <c r="L736" t="n">
        <v>-1.4828</v>
      </c>
      <c r="M736" t="n">
        <v>-1.7072</v>
      </c>
      <c r="N736" t="n">
        <v>-1.7803</v>
      </c>
      <c r="O736" t="n">
        <v>0.16219</v>
      </c>
      <c r="P736" t="n">
        <v>-0.36197</v>
      </c>
      <c r="Q736" t="n">
        <v>0.18837</v>
      </c>
      <c r="R736" t="n">
        <v>-0.18416</v>
      </c>
      <c r="S736" t="n">
        <v>-0.098483</v>
      </c>
      <c r="T736" t="n">
        <v>-2.0301</v>
      </c>
      <c r="U736" t="n">
        <v>-0.2451</v>
      </c>
      <c r="V736" t="n">
        <v>0.08991499999999999</v>
      </c>
      <c r="W736" t="n">
        <v>0.55022</v>
      </c>
      <c r="X736" t="n">
        <v>0.60311</v>
      </c>
      <c r="Y736" t="n">
        <v>1.191</v>
      </c>
      <c r="Z736" t="n">
        <v>-0.75868</v>
      </c>
    </row>
    <row r="737">
      <c r="A737" t="inlineStr">
        <is>
          <t>philly</t>
        </is>
      </c>
      <c r="B737" t="n">
        <v>-0.50582</v>
      </c>
      <c r="C737" t="n">
        <v>1.4947</v>
      </c>
      <c r="D737" t="n">
        <v>0.21048</v>
      </c>
      <c r="E737" t="n">
        <v>-0.97837</v>
      </c>
      <c r="F737" t="n">
        <v>-0.7915</v>
      </c>
      <c r="G737" t="n">
        <v>0.11162</v>
      </c>
      <c r="H737" t="n">
        <v>0.57624</v>
      </c>
      <c r="I737" t="n">
        <v>-0.77776</v>
      </c>
      <c r="J737" t="n">
        <v>0.25992</v>
      </c>
      <c r="K737" t="n">
        <v>-0.41124</v>
      </c>
      <c r="L737" t="n">
        <v>-0.49774</v>
      </c>
      <c r="M737" t="n">
        <v>0.34562</v>
      </c>
      <c r="N737" t="n">
        <v>-3.0711</v>
      </c>
      <c r="O737" t="n">
        <v>0.1669</v>
      </c>
      <c r="P737" t="n">
        <v>0.77302</v>
      </c>
      <c r="Q737" t="n">
        <v>-0.82504</v>
      </c>
      <c r="R737" t="n">
        <v>0.34286</v>
      </c>
      <c r="S737" t="n">
        <v>-1.2407</v>
      </c>
      <c r="T737" t="n">
        <v>0.099716</v>
      </c>
      <c r="U737" t="n">
        <v>1.1142</v>
      </c>
      <c r="V737" t="n">
        <v>0.26957</v>
      </c>
      <c r="W737" t="n">
        <v>-0.42852</v>
      </c>
      <c r="X737" t="n">
        <v>0.47083</v>
      </c>
      <c r="Y737" t="n">
        <v>-1.459</v>
      </c>
      <c r="Z737" t="n">
        <v>1.0905</v>
      </c>
    </row>
    <row r="738">
      <c r="A738" t="inlineStr">
        <is>
          <t>busco</t>
        </is>
      </c>
      <c r="B738" t="n">
        <v>0.021401</v>
      </c>
      <c r="C738" t="n">
        <v>-0.27704</v>
      </c>
      <c r="D738" t="n">
        <v>-0.17512</v>
      </c>
      <c r="E738" t="n">
        <v>0.99488</v>
      </c>
      <c r="F738" t="n">
        <v>0.4498</v>
      </c>
      <c r="G738" t="n">
        <v>-0.19962</v>
      </c>
      <c r="H738" t="n">
        <v>-0.18356</v>
      </c>
      <c r="I738" t="n">
        <v>1.3579</v>
      </c>
      <c r="J738" t="n">
        <v>-0.29524</v>
      </c>
      <c r="K738" t="n">
        <v>-1.0944</v>
      </c>
      <c r="L738" t="n">
        <v>0.45951</v>
      </c>
      <c r="M738" t="n">
        <v>-2.7842</v>
      </c>
      <c r="N738" t="n">
        <v>-0.51617</v>
      </c>
      <c r="O738" t="n">
        <v>-0.23734</v>
      </c>
      <c r="P738" t="n">
        <v>0.0042129</v>
      </c>
      <c r="Q738" t="n">
        <v>0.20804</v>
      </c>
      <c r="R738" t="n">
        <v>0.68609</v>
      </c>
      <c r="S738" t="n">
        <v>0.47979</v>
      </c>
      <c r="T738" t="n">
        <v>0.88645</v>
      </c>
      <c r="U738" t="n">
        <v>-0.67797</v>
      </c>
      <c r="V738" t="n">
        <v>0.8972599999999999</v>
      </c>
      <c r="W738" t="n">
        <v>-1.4148</v>
      </c>
      <c r="X738" t="n">
        <v>0.46947</v>
      </c>
      <c r="Y738" t="n">
        <v>1.0817</v>
      </c>
      <c r="Z738" t="n">
        <v>0.081874</v>
      </c>
    </row>
    <row r="739">
      <c r="A739" t="inlineStr">
        <is>
          <t>testing</t>
        </is>
      </c>
      <c r="B739" t="n">
        <v>0.37797</v>
      </c>
      <c r="C739" t="n">
        <v>1.1288</v>
      </c>
      <c r="D739" t="n">
        <v>-0.5209</v>
      </c>
      <c r="E739" t="n">
        <v>-0.28164</v>
      </c>
      <c r="F739" t="n">
        <v>0.84288</v>
      </c>
      <c r="G739" t="n">
        <v>-0.18925</v>
      </c>
      <c r="H739" t="n">
        <v>0.77858</v>
      </c>
      <c r="I739" t="n">
        <v>-1.6585</v>
      </c>
      <c r="J739" t="n">
        <v>1.1572</v>
      </c>
      <c r="K739" t="n">
        <v>0.36567</v>
      </c>
      <c r="L739" t="n">
        <v>0.25681</v>
      </c>
      <c r="M739" t="n">
        <v>0.29508</v>
      </c>
      <c r="N739" t="n">
        <v>-2.6922</v>
      </c>
      <c r="O739" t="n">
        <v>-0.080627</v>
      </c>
      <c r="P739" t="n">
        <v>1.1306</v>
      </c>
      <c r="Q739" t="n">
        <v>0.21562</v>
      </c>
      <c r="R739" t="n">
        <v>-0.038753</v>
      </c>
      <c r="S739" t="n">
        <v>0.32735</v>
      </c>
      <c r="T739" t="n">
        <v>0.25037</v>
      </c>
      <c r="U739" t="n">
        <v>-0.3783</v>
      </c>
      <c r="V739" t="n">
        <v>-0.68714</v>
      </c>
      <c r="W739" t="n">
        <v>-0.47562</v>
      </c>
      <c r="X739" t="n">
        <v>-0.34941</v>
      </c>
      <c r="Y739" t="n">
        <v>0.30012</v>
      </c>
      <c r="Z739" t="n">
        <v>-0.44136</v>
      </c>
    </row>
    <row r="740">
      <c r="A740" t="inlineStr">
        <is>
          <t>terry</t>
        </is>
      </c>
      <c r="B740" t="n">
        <v>-0.48406</v>
      </c>
      <c r="C740" t="n">
        <v>0.034973</v>
      </c>
      <c r="D740" t="n">
        <v>0.38061</v>
      </c>
      <c r="E740" t="n">
        <v>-0.092987</v>
      </c>
      <c r="F740" t="n">
        <v>-0.95124</v>
      </c>
      <c r="G740" t="n">
        <v>-0.0227</v>
      </c>
      <c r="H740" t="n">
        <v>-0.49245</v>
      </c>
      <c r="I740" t="n">
        <v>0.48438</v>
      </c>
      <c r="J740" t="n">
        <v>0.16061</v>
      </c>
      <c r="K740" t="n">
        <v>-0.7718699999999999</v>
      </c>
      <c r="L740" t="n">
        <v>0.90879</v>
      </c>
      <c r="M740" t="n">
        <v>1.1401</v>
      </c>
      <c r="N740" t="n">
        <v>-2.7714</v>
      </c>
      <c r="O740" t="n">
        <v>-0.49192</v>
      </c>
      <c r="P740" t="n">
        <v>0.9024799999999999</v>
      </c>
      <c r="Q740" t="n">
        <v>-0.49164</v>
      </c>
      <c r="R740" t="n">
        <v>-0.4696</v>
      </c>
      <c r="S740" t="n">
        <v>-0.3851</v>
      </c>
      <c r="T740" t="n">
        <v>-0.026713</v>
      </c>
      <c r="U740" t="n">
        <v>-0.24362</v>
      </c>
      <c r="V740" t="n">
        <v>-0.13586</v>
      </c>
      <c r="W740" t="n">
        <v>1.0288</v>
      </c>
      <c r="X740" t="n">
        <v>-0.43316</v>
      </c>
      <c r="Y740" t="n">
        <v>-0.93763</v>
      </c>
      <c r="Z740" t="n">
        <v>-1.1996</v>
      </c>
    </row>
    <row r="741">
      <c r="A741" t="inlineStr">
        <is>
          <t>strawberry</t>
        </is>
      </c>
      <c r="B741" t="n">
        <v>-1.2466</v>
      </c>
      <c r="C741" t="n">
        <v>-0.40412</v>
      </c>
      <c r="D741" t="n">
        <v>0.57131</v>
      </c>
      <c r="E741" t="n">
        <v>1.2515</v>
      </c>
      <c r="F741" t="n">
        <v>-0.88296</v>
      </c>
      <c r="G741" t="n">
        <v>1.5285</v>
      </c>
      <c r="H741" t="n">
        <v>1.3238</v>
      </c>
      <c r="I741" t="n">
        <v>-0.78972</v>
      </c>
      <c r="J741" t="n">
        <v>0.69226</v>
      </c>
      <c r="K741" t="n">
        <v>-0.11082</v>
      </c>
      <c r="L741" t="n">
        <v>0.96483</v>
      </c>
      <c r="M741" t="n">
        <v>-0.23456</v>
      </c>
      <c r="N741" t="n">
        <v>-2.3293</v>
      </c>
      <c r="O741" t="n">
        <v>-1.6841</v>
      </c>
      <c r="P741" t="n">
        <v>-0.11424</v>
      </c>
      <c r="Q741" t="n">
        <v>-0.092625</v>
      </c>
      <c r="R741" t="n">
        <v>1.4142</v>
      </c>
      <c r="S741" t="n">
        <v>-0.72055</v>
      </c>
      <c r="T741" t="n">
        <v>0.41955</v>
      </c>
      <c r="U741" t="n">
        <v>1.392</v>
      </c>
      <c r="V741" t="n">
        <v>-1.1832</v>
      </c>
      <c r="W741" t="n">
        <v>0.19229</v>
      </c>
      <c r="X741" t="n">
        <v>-0.49939</v>
      </c>
      <c r="Y741" t="n">
        <v>0.93837</v>
      </c>
      <c r="Z741" t="n">
        <v>0.91473</v>
      </c>
    </row>
    <row r="742">
      <c r="A742" t="inlineStr">
        <is>
          <t>touching</t>
        </is>
      </c>
      <c r="B742" t="n">
        <v>-0.69289</v>
      </c>
      <c r="C742" t="n">
        <v>-0.5526799999999999</v>
      </c>
      <c r="D742" t="n">
        <v>0.49729</v>
      </c>
      <c r="E742" t="n">
        <v>0.9331199999999999</v>
      </c>
      <c r="F742" t="n">
        <v>0.2941</v>
      </c>
      <c r="G742" t="n">
        <v>0.67406</v>
      </c>
      <c r="H742" t="n">
        <v>0.81541</v>
      </c>
      <c r="I742" t="n">
        <v>-0.74102</v>
      </c>
      <c r="J742" t="n">
        <v>-0.0022189</v>
      </c>
      <c r="K742" t="n">
        <v>0.64008</v>
      </c>
      <c r="L742" t="n">
        <v>-0.69017</v>
      </c>
      <c r="M742" t="n">
        <v>1.0597</v>
      </c>
      <c r="N742" t="n">
        <v>-2.3281</v>
      </c>
      <c r="O742" t="n">
        <v>-0.5363599999999999</v>
      </c>
      <c r="P742" t="n">
        <v>-0.10974</v>
      </c>
      <c r="Q742" t="n">
        <v>0.9423</v>
      </c>
      <c r="R742" t="n">
        <v>0.19139</v>
      </c>
      <c r="S742" t="n">
        <v>-0.60028</v>
      </c>
      <c r="T742" t="n">
        <v>-0.53771</v>
      </c>
      <c r="U742" t="n">
        <v>-1.0229</v>
      </c>
      <c r="V742" t="n">
        <v>0.13227</v>
      </c>
      <c r="W742" t="n">
        <v>0.59726</v>
      </c>
      <c r="X742" t="n">
        <v>-0.14286</v>
      </c>
      <c r="Y742" t="n">
        <v>-0.41519</v>
      </c>
      <c r="Z742" t="n">
        <v>-1.4559</v>
      </c>
    </row>
    <row r="743">
      <c r="A743" t="inlineStr">
        <is>
          <t>unknown</t>
        </is>
      </c>
      <c r="B743" t="n">
        <v>0.29619</v>
      </c>
      <c r="C743" t="n">
        <v>-0.081689</v>
      </c>
      <c r="D743" t="n">
        <v>-0.14397</v>
      </c>
      <c r="E743" t="n">
        <v>0.60443</v>
      </c>
      <c r="F743" t="n">
        <v>0.5919</v>
      </c>
      <c r="G743" t="n">
        <v>-0.056767</v>
      </c>
      <c r="H743" t="n">
        <v>1.066</v>
      </c>
      <c r="I743" t="n">
        <v>-0.47057</v>
      </c>
      <c r="J743" t="n">
        <v>0.41832</v>
      </c>
      <c r="K743" t="n">
        <v>-0.09300899999999999</v>
      </c>
      <c r="L743" t="n">
        <v>-0.59253</v>
      </c>
      <c r="M743" t="n">
        <v>1.0084</v>
      </c>
      <c r="N743" t="n">
        <v>-2.5865</v>
      </c>
      <c r="O743" t="n">
        <v>0.88125</v>
      </c>
      <c r="P743" t="n">
        <v>-0.16074</v>
      </c>
      <c r="Q743" t="n">
        <v>0.1987</v>
      </c>
      <c r="R743" t="n">
        <v>0.38009</v>
      </c>
      <c r="S743" t="n">
        <v>0.81597</v>
      </c>
      <c r="T743" t="n">
        <v>0.8440800000000001</v>
      </c>
      <c r="U743" t="n">
        <v>-0.075713</v>
      </c>
      <c r="V743" t="n">
        <v>0.29935</v>
      </c>
      <c r="W743" t="n">
        <v>-0.44577</v>
      </c>
      <c r="X743" t="n">
        <v>-0.28039</v>
      </c>
      <c r="Y743" t="n">
        <v>-0.85248</v>
      </c>
      <c r="Z743" t="n">
        <v>-0.69651</v>
      </c>
    </row>
    <row r="744">
      <c r="A744" t="inlineStr">
        <is>
          <t>invisible</t>
        </is>
      </c>
      <c r="B744" t="n">
        <v>-0.76287</v>
      </c>
      <c r="C744" t="n">
        <v>-0.80056</v>
      </c>
      <c r="D744" t="n">
        <v>-0.38646</v>
      </c>
      <c r="E744" t="n">
        <v>1.048</v>
      </c>
      <c r="F744" t="n">
        <v>0.33649</v>
      </c>
      <c r="G744" t="n">
        <v>0.60511</v>
      </c>
      <c r="H744" t="n">
        <v>0.37891</v>
      </c>
      <c r="I744" t="n">
        <v>0.20993</v>
      </c>
      <c r="J744" t="n">
        <v>-0.37349</v>
      </c>
      <c r="K744" t="n">
        <v>-0.39802</v>
      </c>
      <c r="L744" t="n">
        <v>0.40808</v>
      </c>
      <c r="M744" t="n">
        <v>-0.93613</v>
      </c>
      <c r="N744" t="n">
        <v>-2.472</v>
      </c>
      <c r="O744" t="n">
        <v>-0.43832</v>
      </c>
      <c r="P744" t="n">
        <v>-0.05403</v>
      </c>
      <c r="Q744" t="n">
        <v>1.2186</v>
      </c>
      <c r="R744" t="n">
        <v>0.35931</v>
      </c>
      <c r="S744" t="n">
        <v>0.73342</v>
      </c>
      <c r="T744" t="n">
        <v>0.81208</v>
      </c>
      <c r="U744" t="n">
        <v>-0.28289</v>
      </c>
      <c r="V744" t="n">
        <v>0.020327</v>
      </c>
      <c r="W744" t="n">
        <v>0.25916</v>
      </c>
      <c r="X744" t="n">
        <v>0.1529</v>
      </c>
      <c r="Y744" t="n">
        <v>-0.46526</v>
      </c>
      <c r="Z744" t="n">
        <v>-0.48802</v>
      </c>
    </row>
    <row r="745">
      <c r="A745" t="inlineStr">
        <is>
          <t>htc</t>
        </is>
      </c>
      <c r="B745" t="n">
        <v>0.92725</v>
      </c>
      <c r="C745" t="n">
        <v>-0.13655</v>
      </c>
      <c r="D745" t="n">
        <v>-0.25313</v>
      </c>
      <c r="E745" t="n">
        <v>-1.4086</v>
      </c>
      <c r="F745" t="n">
        <v>0.009188399999999999</v>
      </c>
      <c r="G745" t="n">
        <v>-0.58126</v>
      </c>
      <c r="H745" t="n">
        <v>-0.09411</v>
      </c>
      <c r="I745" t="n">
        <v>-0.0039384</v>
      </c>
      <c r="J745" t="n">
        <v>0.71423</v>
      </c>
      <c r="K745" t="n">
        <v>0.18618</v>
      </c>
      <c r="L745" t="n">
        <v>1.2344</v>
      </c>
      <c r="M745" t="n">
        <v>0.082542</v>
      </c>
      <c r="N745" t="n">
        <v>-1.8266</v>
      </c>
      <c r="O745" t="n">
        <v>-1.7611</v>
      </c>
      <c r="P745" t="n">
        <v>-0.21656</v>
      </c>
      <c r="Q745" t="n">
        <v>0.028802</v>
      </c>
      <c r="R745" t="n">
        <v>0.55433</v>
      </c>
      <c r="S745" t="n">
        <v>0.31509</v>
      </c>
      <c r="T745" t="n">
        <v>0.63483</v>
      </c>
      <c r="U745" t="n">
        <v>0.87969</v>
      </c>
      <c r="V745" t="n">
        <v>-1.1753</v>
      </c>
      <c r="W745" t="n">
        <v>-1.3082</v>
      </c>
      <c r="X745" t="n">
        <v>0.5762699999999999</v>
      </c>
      <c r="Y745" t="n">
        <v>-1.0713</v>
      </c>
      <c r="Z745" t="n">
        <v>-0.37109</v>
      </c>
    </row>
    <row r="746">
      <c r="A746" t="inlineStr">
        <is>
          <t>soundcloud</t>
        </is>
      </c>
      <c r="B746" t="n">
        <v>0.32545</v>
      </c>
      <c r="C746" t="n">
        <v>0.75849</v>
      </c>
      <c r="D746" t="n">
        <v>0.42132</v>
      </c>
      <c r="E746" t="n">
        <v>-0.30098</v>
      </c>
      <c r="F746" t="n">
        <v>1.2086</v>
      </c>
      <c r="G746" t="n">
        <v>-1.1219</v>
      </c>
      <c r="H746" t="n">
        <v>0.51098</v>
      </c>
      <c r="I746" t="n">
        <v>0.48624</v>
      </c>
      <c r="J746" t="n">
        <v>0.46931</v>
      </c>
      <c r="K746" t="n">
        <v>-0.69233</v>
      </c>
      <c r="L746" t="n">
        <v>-0.25088</v>
      </c>
      <c r="M746" t="n">
        <v>0.9605900000000001</v>
      </c>
      <c r="N746" t="n">
        <v>-2.1284</v>
      </c>
      <c r="O746" t="n">
        <v>-0.81329</v>
      </c>
      <c r="P746" t="n">
        <v>0.091752</v>
      </c>
      <c r="Q746" t="n">
        <v>0.67339</v>
      </c>
      <c r="R746" t="n">
        <v>-0.04278</v>
      </c>
      <c r="S746" t="n">
        <v>-0.2878</v>
      </c>
      <c r="T746" t="n">
        <v>0.078427</v>
      </c>
      <c r="U746" t="n">
        <v>0.6259400000000001</v>
      </c>
      <c r="V746" t="n">
        <v>-0.72136</v>
      </c>
      <c r="W746" t="n">
        <v>-1.3237</v>
      </c>
      <c r="X746" t="n">
        <v>-0.16053</v>
      </c>
      <c r="Y746" t="n">
        <v>-0.0048987</v>
      </c>
      <c r="Z746" t="n">
        <v>-0.02773</v>
      </c>
    </row>
    <row r="747">
      <c r="A747" t="inlineStr">
        <is>
          <t>owh</t>
        </is>
      </c>
      <c r="B747" t="n">
        <v>0.81994</v>
      </c>
      <c r="C747" t="n">
        <v>0.68222</v>
      </c>
      <c r="D747" t="n">
        <v>0.051912</v>
      </c>
      <c r="E747" t="n">
        <v>-0.55764</v>
      </c>
      <c r="F747" t="n">
        <v>-0.97043</v>
      </c>
      <c r="G747" t="n">
        <v>0.3878</v>
      </c>
      <c r="H747" t="n">
        <v>0.35534</v>
      </c>
      <c r="I747" t="n">
        <v>0.7527199999999999</v>
      </c>
      <c r="J747" t="n">
        <v>0.86568</v>
      </c>
      <c r="K747" t="n">
        <v>1.1179</v>
      </c>
      <c r="L747" t="n">
        <v>-0.96787</v>
      </c>
      <c r="M747" t="n">
        <v>0.30239</v>
      </c>
      <c r="N747" t="n">
        <v>-1.0079</v>
      </c>
      <c r="O747" t="n">
        <v>-0.36851</v>
      </c>
      <c r="P747" t="n">
        <v>0.88031</v>
      </c>
      <c r="Q747" t="n">
        <v>-0.25574</v>
      </c>
      <c r="R747" t="n">
        <v>0.85875</v>
      </c>
      <c r="S747" t="n">
        <v>-0.202</v>
      </c>
      <c r="T747" t="n">
        <v>-1.1185</v>
      </c>
      <c r="U747" t="n">
        <v>1.0782</v>
      </c>
      <c r="V747" t="n">
        <v>0.62586</v>
      </c>
      <c r="W747" t="n">
        <v>0.3745</v>
      </c>
      <c r="X747" t="n">
        <v>-0.96116</v>
      </c>
      <c r="Y747" t="n">
        <v>1.9645</v>
      </c>
      <c r="Z747" t="n">
        <v>-0.54048</v>
      </c>
    </row>
    <row r="748">
      <c r="A748" t="inlineStr">
        <is>
          <t>foods</t>
        </is>
      </c>
      <c r="B748" t="n">
        <v>-0.32429</v>
      </c>
      <c r="C748" t="n">
        <v>0.034707</v>
      </c>
      <c r="D748" t="n">
        <v>-0.50535</v>
      </c>
      <c r="E748" t="n">
        <v>0.21253</v>
      </c>
      <c r="F748" t="n">
        <v>0.74975</v>
      </c>
      <c r="G748" t="n">
        <v>0.49224</v>
      </c>
      <c r="H748" t="n">
        <v>1.2861</v>
      </c>
      <c r="I748" t="n">
        <v>-2.1377</v>
      </c>
      <c r="J748" t="n">
        <v>0.70969</v>
      </c>
      <c r="K748" t="n">
        <v>0.35791</v>
      </c>
      <c r="L748" t="n">
        <v>0.58854</v>
      </c>
      <c r="M748" t="n">
        <v>-1.0427</v>
      </c>
      <c r="N748" t="n">
        <v>-2.6241</v>
      </c>
      <c r="O748" t="n">
        <v>-0.061794</v>
      </c>
      <c r="P748" t="n">
        <v>0.23232</v>
      </c>
      <c r="Q748" t="n">
        <v>-1.1482</v>
      </c>
      <c r="R748" t="n">
        <v>1.2534</v>
      </c>
      <c r="S748" t="n">
        <v>-0.6836100000000001</v>
      </c>
      <c r="T748" t="n">
        <v>1.2657</v>
      </c>
      <c r="U748" t="n">
        <v>0.10029</v>
      </c>
      <c r="V748" t="n">
        <v>-0.37492</v>
      </c>
      <c r="W748" t="n">
        <v>-0.12695</v>
      </c>
      <c r="X748" t="n">
        <v>-1.203</v>
      </c>
      <c r="Y748" t="n">
        <v>0.67197</v>
      </c>
      <c r="Z748" t="n">
        <v>0.41238</v>
      </c>
    </row>
    <row r="749">
      <c r="A749" t="inlineStr">
        <is>
          <t>slightly</t>
        </is>
      </c>
      <c r="B749" t="n">
        <v>-0.6132300000000001</v>
      </c>
      <c r="C749" t="n">
        <v>-1.523</v>
      </c>
      <c r="D749" t="n">
        <v>0.33551</v>
      </c>
      <c r="E749" t="n">
        <v>-0.31101</v>
      </c>
      <c r="F749" t="n">
        <v>0.19228</v>
      </c>
      <c r="G749" t="n">
        <v>1.4352</v>
      </c>
      <c r="H749" t="n">
        <v>1.255</v>
      </c>
      <c r="I749" t="n">
        <v>-1.5813</v>
      </c>
      <c r="J749" t="n">
        <v>-0.6363</v>
      </c>
      <c r="K749" t="n">
        <v>0.031843</v>
      </c>
      <c r="L749" t="n">
        <v>-0.28658</v>
      </c>
      <c r="M749" t="n">
        <v>1.3595</v>
      </c>
      <c r="N749" t="n">
        <v>-2.3417</v>
      </c>
      <c r="O749" t="n">
        <v>-0.0375</v>
      </c>
      <c r="P749" t="n">
        <v>0.18292</v>
      </c>
      <c r="Q749" t="n">
        <v>-0.7653799999999999</v>
      </c>
      <c r="R749" t="n">
        <v>0.62751</v>
      </c>
      <c r="S749" t="n">
        <v>0.403</v>
      </c>
      <c r="T749" t="n">
        <v>-0.093707</v>
      </c>
      <c r="U749" t="n">
        <v>-2.2431</v>
      </c>
      <c r="V749" t="n">
        <v>0.31331</v>
      </c>
      <c r="W749" t="n">
        <v>0.025693</v>
      </c>
      <c r="X749" t="n">
        <v>0.89158</v>
      </c>
      <c r="Y749" t="n">
        <v>0.44156</v>
      </c>
      <c r="Z749" t="n">
        <v>-1.317</v>
      </c>
    </row>
    <row r="750">
      <c r="A750" t="inlineStr">
        <is>
          <t>forced</t>
        </is>
      </c>
      <c r="B750" t="n">
        <v>-0.42493</v>
      </c>
      <c r="C750" t="n">
        <v>0.8741</v>
      </c>
      <c r="D750" t="n">
        <v>-0.37793</v>
      </c>
      <c r="E750" t="n">
        <v>-0.21329</v>
      </c>
      <c r="F750" t="n">
        <v>-0.11957</v>
      </c>
      <c r="G750" t="n">
        <v>-0.56185</v>
      </c>
      <c r="H750" t="n">
        <v>0.68502</v>
      </c>
      <c r="I750" t="n">
        <v>-1.6177</v>
      </c>
      <c r="J750" t="n">
        <v>0.25029</v>
      </c>
      <c r="K750" t="n">
        <v>0.16112</v>
      </c>
      <c r="L750" t="n">
        <v>0.20411</v>
      </c>
      <c r="M750" t="n">
        <v>0.23172</v>
      </c>
      <c r="N750" t="n">
        <v>-2.8398</v>
      </c>
      <c r="O750" t="n">
        <v>0.27557</v>
      </c>
      <c r="P750" t="n">
        <v>0.060561</v>
      </c>
      <c r="Q750" t="n">
        <v>0.22671</v>
      </c>
      <c r="R750" t="n">
        <v>0.22374</v>
      </c>
      <c r="S750" t="n">
        <v>-0.19937</v>
      </c>
      <c r="T750" t="n">
        <v>0.27352</v>
      </c>
      <c r="U750" t="n">
        <v>-2.0179</v>
      </c>
      <c r="V750" t="n">
        <v>0.50027</v>
      </c>
      <c r="W750" t="n">
        <v>0.77957</v>
      </c>
      <c r="X750" t="n">
        <v>0.10714</v>
      </c>
      <c r="Y750" t="n">
        <v>-1.1134</v>
      </c>
      <c r="Z750" t="n">
        <v>-0.3406</v>
      </c>
    </row>
    <row r="751">
      <c r="A751" t="inlineStr">
        <is>
          <t>foo</t>
        </is>
      </c>
      <c r="B751" t="n">
        <v>-0.17553</v>
      </c>
      <c r="C751" t="n">
        <v>0.9785700000000001</v>
      </c>
      <c r="D751" t="n">
        <v>0.48698</v>
      </c>
      <c r="E751" t="n">
        <v>0.30753</v>
      </c>
      <c r="F751" t="n">
        <v>0.1431</v>
      </c>
      <c r="G751" t="n">
        <v>0.04826</v>
      </c>
      <c r="H751" t="n">
        <v>0.4192</v>
      </c>
      <c r="I751" t="n">
        <v>0.018135</v>
      </c>
      <c r="J751" t="n">
        <v>-0.01482</v>
      </c>
      <c r="K751" t="n">
        <v>-0.41879</v>
      </c>
      <c r="L751" t="n">
        <v>-1.1116</v>
      </c>
      <c r="M751" t="n">
        <v>-0.13998</v>
      </c>
      <c r="N751" t="n">
        <v>-2.5427</v>
      </c>
      <c r="O751" t="n">
        <v>-0.84056</v>
      </c>
      <c r="P751" t="n">
        <v>0.55064</v>
      </c>
      <c r="Q751" t="n">
        <v>0.11062</v>
      </c>
      <c r="R751" t="n">
        <v>0.42332</v>
      </c>
      <c r="S751" t="n">
        <v>-0.69364</v>
      </c>
      <c r="T751" t="n">
        <v>0.56268</v>
      </c>
      <c r="U751" t="n">
        <v>0.64885</v>
      </c>
      <c r="V751" t="n">
        <v>0.58696</v>
      </c>
      <c r="W751" t="n">
        <v>0.27723</v>
      </c>
      <c r="X751" t="n">
        <v>0.27652</v>
      </c>
      <c r="Y751" t="n">
        <v>0.35926</v>
      </c>
      <c r="Z751" t="n">
        <v>1.1068</v>
      </c>
    </row>
    <row r="752">
      <c r="A752" t="inlineStr">
        <is>
          <t>spears</t>
        </is>
      </c>
      <c r="B752" t="n">
        <v>-0.096987</v>
      </c>
      <c r="C752" t="n">
        <v>0.217</v>
      </c>
      <c r="D752" t="n">
        <v>0.97763</v>
      </c>
      <c r="E752" t="n">
        <v>0.2626</v>
      </c>
      <c r="F752" t="n">
        <v>-0.46687</v>
      </c>
      <c r="G752" t="n">
        <v>-0.73537</v>
      </c>
      <c r="H752" t="n">
        <v>0.50041</v>
      </c>
      <c r="I752" t="n">
        <v>0.47147</v>
      </c>
      <c r="J752" t="n">
        <v>-0.53174</v>
      </c>
      <c r="K752" t="n">
        <v>-1.6797</v>
      </c>
      <c r="L752" t="n">
        <v>0.4722</v>
      </c>
      <c r="M752" t="n">
        <v>0.22833</v>
      </c>
      <c r="N752" t="n">
        <v>-2.0277</v>
      </c>
      <c r="O752" t="n">
        <v>-0.89184</v>
      </c>
      <c r="P752" t="n">
        <v>-0.81404</v>
      </c>
      <c r="Q752" t="n">
        <v>0.49397</v>
      </c>
      <c r="R752" t="n">
        <v>-1.5525</v>
      </c>
      <c r="S752" t="n">
        <v>-0.1923</v>
      </c>
      <c r="T752" t="n">
        <v>0.32596</v>
      </c>
      <c r="U752" t="n">
        <v>0.36908</v>
      </c>
      <c r="V752" t="n">
        <v>-0.21046</v>
      </c>
      <c r="W752" t="n">
        <v>0.82511</v>
      </c>
      <c r="X752" t="n">
        <v>-0.020085</v>
      </c>
      <c r="Y752" t="n">
        <v>-1.0861</v>
      </c>
      <c r="Z752" t="n">
        <v>0.095314</v>
      </c>
    </row>
    <row r="753">
      <c r="A753" t="inlineStr">
        <is>
          <t>secretly</t>
        </is>
      </c>
      <c r="B753" t="n">
        <v>-0.64691</v>
      </c>
      <c r="C753" t="n">
        <v>0.75029</v>
      </c>
      <c r="D753" t="n">
        <v>0.35262</v>
      </c>
      <c r="E753" t="n">
        <v>-0.5458499999999999</v>
      </c>
      <c r="F753" t="n">
        <v>-0.41523</v>
      </c>
      <c r="G753" t="n">
        <v>-0.34229</v>
      </c>
      <c r="H753" t="n">
        <v>1.2681</v>
      </c>
      <c r="I753" t="n">
        <v>-0.92096</v>
      </c>
      <c r="J753" t="n">
        <v>-0.63114</v>
      </c>
      <c r="K753" t="n">
        <v>0.26823</v>
      </c>
      <c r="L753" t="n">
        <v>0.41222</v>
      </c>
      <c r="M753" t="n">
        <v>0.25238</v>
      </c>
      <c r="N753" t="n">
        <v>-2.7263</v>
      </c>
      <c r="O753" t="n">
        <v>-0.85499</v>
      </c>
      <c r="P753" t="n">
        <v>-0.70938</v>
      </c>
      <c r="Q753" t="n">
        <v>1.29</v>
      </c>
      <c r="R753" t="n">
        <v>-0.1329</v>
      </c>
      <c r="S753" t="n">
        <v>0.34873</v>
      </c>
      <c r="T753" t="n">
        <v>0.65965</v>
      </c>
      <c r="U753" t="n">
        <v>-1.3062</v>
      </c>
      <c r="V753" t="n">
        <v>1.3273</v>
      </c>
      <c r="W753" t="n">
        <v>0.44548</v>
      </c>
      <c r="X753" t="n">
        <v>-0.83873</v>
      </c>
      <c r="Y753" t="n">
        <v>-0.69856</v>
      </c>
      <c r="Z753" t="n">
        <v>-1.4363</v>
      </c>
    </row>
    <row r="754">
      <c r="A754" t="inlineStr">
        <is>
          <t>shorty</t>
        </is>
      </c>
      <c r="B754" t="n">
        <v>-0.6533600000000001</v>
      </c>
      <c r="C754" t="n">
        <v>1.438</v>
      </c>
      <c r="D754" t="n">
        <v>0.63189</v>
      </c>
      <c r="E754" t="n">
        <v>-0.5169</v>
      </c>
      <c r="F754" t="n">
        <v>1.1059</v>
      </c>
      <c r="G754" t="n">
        <v>-0.8192700000000001</v>
      </c>
      <c r="H754" t="n">
        <v>-0.17906</v>
      </c>
      <c r="I754" t="n">
        <v>0.07296999999999999</v>
      </c>
      <c r="J754" t="n">
        <v>-0.32373</v>
      </c>
      <c r="K754" t="n">
        <v>-0.82743</v>
      </c>
      <c r="L754" t="n">
        <v>-1.2695</v>
      </c>
      <c r="M754" t="n">
        <v>0.28234</v>
      </c>
      <c r="N754" t="n">
        <v>-2.9367</v>
      </c>
      <c r="O754" t="n">
        <v>-0.8194900000000001</v>
      </c>
      <c r="P754" t="n">
        <v>-0.37022</v>
      </c>
      <c r="Q754" t="n">
        <v>0.29739</v>
      </c>
      <c r="R754" t="n">
        <v>-0.31613</v>
      </c>
      <c r="S754" t="n">
        <v>-0.75465</v>
      </c>
      <c r="T754" t="n">
        <v>0.14305</v>
      </c>
      <c r="U754" t="n">
        <v>0.65932</v>
      </c>
      <c r="V754" t="n">
        <v>0.52968</v>
      </c>
      <c r="W754" t="n">
        <v>0.91427</v>
      </c>
      <c r="X754" t="n">
        <v>0.34759</v>
      </c>
      <c r="Y754" t="n">
        <v>-0.28056</v>
      </c>
      <c r="Z754" t="n">
        <v>-0.07653600000000001</v>
      </c>
    </row>
    <row r="755">
      <c r="A755" t="inlineStr">
        <is>
          <t>southern</t>
        </is>
      </c>
      <c r="B755" t="n">
        <v>-0.85814</v>
      </c>
      <c r="C755" t="n">
        <v>-0.3361</v>
      </c>
      <c r="D755" t="n">
        <v>-0.62414</v>
      </c>
      <c r="E755" t="n">
        <v>-0.61693</v>
      </c>
      <c r="F755" t="n">
        <v>-0.92238</v>
      </c>
      <c r="G755" t="n">
        <v>0.32745</v>
      </c>
      <c r="H755" t="n">
        <v>1.1324</v>
      </c>
      <c r="I755" t="n">
        <v>-0.98256</v>
      </c>
      <c r="J755" t="n">
        <v>0.67411</v>
      </c>
      <c r="K755" t="n">
        <v>0.054487</v>
      </c>
      <c r="L755" t="n">
        <v>-0.26167</v>
      </c>
      <c r="M755" t="n">
        <v>-0.21744</v>
      </c>
      <c r="N755" t="n">
        <v>-3.2326</v>
      </c>
      <c r="O755" t="n">
        <v>1.0329</v>
      </c>
      <c r="P755" t="n">
        <v>0.2592</v>
      </c>
      <c r="Q755" t="n">
        <v>-0.9767</v>
      </c>
      <c r="R755" t="n">
        <v>0.70168</v>
      </c>
      <c r="S755" t="n">
        <v>-0.026827</v>
      </c>
      <c r="T755" t="n">
        <v>0.4798</v>
      </c>
      <c r="U755" t="n">
        <v>1.2995</v>
      </c>
      <c r="V755" t="n">
        <v>0.1685</v>
      </c>
      <c r="W755" t="n">
        <v>0.15732</v>
      </c>
      <c r="X755" t="n">
        <v>0.052139</v>
      </c>
      <c r="Y755" t="n">
        <v>-1.7091</v>
      </c>
      <c r="Z755" t="n">
        <v>0.50403</v>
      </c>
    </row>
    <row r="756">
      <c r="A756" t="inlineStr">
        <is>
          <t>eachother</t>
        </is>
      </c>
      <c r="B756" t="n">
        <v>0.08756899999999999</v>
      </c>
      <c r="C756" t="n">
        <v>0.63808</v>
      </c>
      <c r="D756" t="n">
        <v>0.64521</v>
      </c>
      <c r="E756" t="n">
        <v>0.93213</v>
      </c>
      <c r="F756" t="n">
        <v>-0.29769</v>
      </c>
      <c r="G756" t="n">
        <v>-0.21511</v>
      </c>
      <c r="H756" t="n">
        <v>0.083689</v>
      </c>
      <c r="I756" t="n">
        <v>-1.1164</v>
      </c>
      <c r="J756" t="n">
        <v>-1.4329</v>
      </c>
      <c r="K756" t="n">
        <v>0.76764</v>
      </c>
      <c r="L756" t="n">
        <v>-1.7771</v>
      </c>
      <c r="M756" t="n">
        <v>0.51234</v>
      </c>
      <c r="N756" t="n">
        <v>-3.3624</v>
      </c>
      <c r="O756" t="n">
        <v>-0.41204</v>
      </c>
      <c r="P756" t="n">
        <v>-0.35679</v>
      </c>
      <c r="Q756" t="n">
        <v>1.2298</v>
      </c>
      <c r="R756" t="n">
        <v>-0.532</v>
      </c>
      <c r="S756" t="n">
        <v>-2.0416</v>
      </c>
      <c r="T756" t="n">
        <v>0.12905</v>
      </c>
      <c r="U756" t="n">
        <v>-0.5915</v>
      </c>
      <c r="V756" t="n">
        <v>0.017463</v>
      </c>
      <c r="W756" t="n">
        <v>-0.13483</v>
      </c>
      <c r="X756" t="n">
        <v>-0.067659</v>
      </c>
      <c r="Y756" t="n">
        <v>-0.60681</v>
      </c>
      <c r="Z756" t="n">
        <v>-0.72505</v>
      </c>
    </row>
    <row r="757">
      <c r="A757" t="inlineStr">
        <is>
          <t>beard</t>
        </is>
      </c>
      <c r="B757" t="n">
        <v>-1.4494</v>
      </c>
      <c r="C757" t="n">
        <v>-0.61899</v>
      </c>
      <c r="D757" t="n">
        <v>-0.16262</v>
      </c>
      <c r="E757" t="n">
        <v>0.20695</v>
      </c>
      <c r="F757" t="n">
        <v>0.74638</v>
      </c>
      <c r="G757" t="n">
        <v>0.02967</v>
      </c>
      <c r="H757" t="n">
        <v>0.68625</v>
      </c>
      <c r="I757" t="n">
        <v>-0.91093</v>
      </c>
      <c r="J757" t="n">
        <v>-0.49157</v>
      </c>
      <c r="K757" t="n">
        <v>-0.59115</v>
      </c>
      <c r="L757" t="n">
        <v>0.6764</v>
      </c>
      <c r="M757" t="n">
        <v>0.69667</v>
      </c>
      <c r="N757" t="n">
        <v>-2.841</v>
      </c>
      <c r="O757" t="n">
        <v>-0.49914</v>
      </c>
      <c r="P757" t="n">
        <v>0.1475</v>
      </c>
      <c r="Q757" t="n">
        <v>-0.18065</v>
      </c>
      <c r="R757" t="n">
        <v>0.16009</v>
      </c>
      <c r="S757" t="n">
        <v>-0.64978</v>
      </c>
      <c r="T757" t="n">
        <v>-0.065042</v>
      </c>
      <c r="U757" t="n">
        <v>0.097625</v>
      </c>
      <c r="V757" t="n">
        <v>-0.21091</v>
      </c>
      <c r="W757" t="n">
        <v>2.1257</v>
      </c>
      <c r="X757" t="n">
        <v>0.785</v>
      </c>
      <c r="Y757" t="n">
        <v>0.024653</v>
      </c>
      <c r="Z757" t="n">
        <v>-0.65604</v>
      </c>
    </row>
    <row r="758">
      <c r="A758" t="inlineStr">
        <is>
          <t>chipotle</t>
        </is>
      </c>
      <c r="B758" t="n">
        <v>-1.1126</v>
      </c>
      <c r="C758" t="n">
        <v>1.3188</v>
      </c>
      <c r="D758" t="n">
        <v>0.42558</v>
      </c>
      <c r="E758" t="n">
        <v>0.25094</v>
      </c>
      <c r="F758" t="n">
        <v>-0.48043</v>
      </c>
      <c r="G758" t="n">
        <v>0.25358</v>
      </c>
      <c r="H758" t="n">
        <v>0.68211</v>
      </c>
      <c r="I758" t="n">
        <v>-1.6991</v>
      </c>
      <c r="J758" t="n">
        <v>-0.51554</v>
      </c>
      <c r="K758" t="n">
        <v>0.16322</v>
      </c>
      <c r="L758" t="n">
        <v>0.45722</v>
      </c>
      <c r="M758" t="n">
        <v>-0.81005</v>
      </c>
      <c r="N758" t="n">
        <v>-2.9343</v>
      </c>
      <c r="O758" t="n">
        <v>-1.2714</v>
      </c>
      <c r="P758" t="n">
        <v>1.1473</v>
      </c>
      <c r="Q758" t="n">
        <v>-0.21209</v>
      </c>
      <c r="R758" t="n">
        <v>1.6159</v>
      </c>
      <c r="S758" t="n">
        <v>-1.211</v>
      </c>
      <c r="T758" t="n">
        <v>0.42425</v>
      </c>
      <c r="U758" t="n">
        <v>0.029614</v>
      </c>
      <c r="V758" t="n">
        <v>-0.098221</v>
      </c>
      <c r="W758" t="n">
        <v>-0.34668</v>
      </c>
      <c r="X758" t="n">
        <v>-0.17834</v>
      </c>
      <c r="Y758" t="n">
        <v>0.25047</v>
      </c>
      <c r="Z758" t="n">
        <v>1.2287</v>
      </c>
    </row>
    <row r="759">
      <c r="A759" t="inlineStr">
        <is>
          <t>theyre</t>
        </is>
      </c>
      <c r="B759" t="n">
        <v>0.34213</v>
      </c>
      <c r="C759" t="n">
        <v>0.27852</v>
      </c>
      <c r="D759" t="n">
        <v>0.94582</v>
      </c>
      <c r="E759" t="n">
        <v>-0.94034</v>
      </c>
      <c r="F759" t="n">
        <v>-0.43496</v>
      </c>
      <c r="G759" t="n">
        <v>0.67871</v>
      </c>
      <c r="H759" t="n">
        <v>1.1986</v>
      </c>
      <c r="I759" t="n">
        <v>-1.3173</v>
      </c>
      <c r="J759" t="n">
        <v>-1.4919</v>
      </c>
      <c r="K759" t="n">
        <v>0.19872</v>
      </c>
      <c r="L759" t="n">
        <v>-0.49838</v>
      </c>
      <c r="M759" t="n">
        <v>0.35852</v>
      </c>
      <c r="N759" t="n">
        <v>-3.2898</v>
      </c>
      <c r="O759" t="n">
        <v>-0.7206399999999999</v>
      </c>
      <c r="P759" t="n">
        <v>-0.32188</v>
      </c>
      <c r="Q759" t="n">
        <v>0.75201</v>
      </c>
      <c r="R759" t="n">
        <v>-0.10797</v>
      </c>
      <c r="S759" t="n">
        <v>-0.85133</v>
      </c>
      <c r="T759" t="n">
        <v>0.33141</v>
      </c>
      <c r="U759" t="n">
        <v>-0.21626</v>
      </c>
      <c r="V759" t="n">
        <v>0.61638</v>
      </c>
      <c r="W759" t="n">
        <v>0.57167</v>
      </c>
      <c r="X759" t="n">
        <v>-0.43996</v>
      </c>
      <c r="Y759" t="n">
        <v>-0.046757</v>
      </c>
      <c r="Z759" t="n">
        <v>-0.66821</v>
      </c>
    </row>
    <row r="760">
      <c r="A760" t="inlineStr">
        <is>
          <t>shared</t>
        </is>
      </c>
      <c r="B760" t="n">
        <v>0.20861</v>
      </c>
      <c r="C760" t="n">
        <v>0.52</v>
      </c>
      <c r="D760" t="n">
        <v>0.538</v>
      </c>
      <c r="E760" t="n">
        <v>0.57729</v>
      </c>
      <c r="F760" t="n">
        <v>0.48356</v>
      </c>
      <c r="G760" t="n">
        <v>-0.70667</v>
      </c>
      <c r="H760" t="n">
        <v>0.5477</v>
      </c>
      <c r="I760" t="n">
        <v>-0.80979</v>
      </c>
      <c r="J760" t="n">
        <v>0.012553</v>
      </c>
      <c r="K760" t="n">
        <v>-0.49185</v>
      </c>
      <c r="L760" t="n">
        <v>0.06525300000000001</v>
      </c>
      <c r="M760" t="n">
        <v>0.2963</v>
      </c>
      <c r="N760" t="n">
        <v>-2.7739</v>
      </c>
      <c r="O760" t="n">
        <v>0.10598</v>
      </c>
      <c r="P760" t="n">
        <v>-0.36017</v>
      </c>
      <c r="Q760" t="n">
        <v>0.41824</v>
      </c>
      <c r="R760" t="n">
        <v>0.19848</v>
      </c>
      <c r="S760" t="n">
        <v>0.6813</v>
      </c>
      <c r="T760" t="n">
        <v>0.1673</v>
      </c>
      <c r="U760" t="n">
        <v>-0.53085</v>
      </c>
      <c r="V760" t="n">
        <v>-0.34758</v>
      </c>
      <c r="W760" t="n">
        <v>-0.84721</v>
      </c>
      <c r="X760" t="n">
        <v>-1.0983</v>
      </c>
      <c r="Y760" t="n">
        <v>0.40729</v>
      </c>
      <c r="Z760" t="n">
        <v>-0.7668199999999999</v>
      </c>
    </row>
    <row r="761">
      <c r="A761" t="inlineStr">
        <is>
          <t>terms</t>
        </is>
      </c>
      <c r="B761" t="n">
        <v>1.0732</v>
      </c>
      <c r="C761" t="n">
        <v>0.35481</v>
      </c>
      <c r="D761" t="n">
        <v>-0.85042</v>
      </c>
      <c r="E761" t="n">
        <v>-0.13115</v>
      </c>
      <c r="F761" t="n">
        <v>0.53412</v>
      </c>
      <c r="G761" t="n">
        <v>-0.51225</v>
      </c>
      <c r="H761" t="n">
        <v>0.33513</v>
      </c>
      <c r="I761" t="n">
        <v>-1.509</v>
      </c>
      <c r="J761" t="n">
        <v>-0.034593</v>
      </c>
      <c r="K761" t="n">
        <v>-0.39218</v>
      </c>
      <c r="L761" t="n">
        <v>-0.010185</v>
      </c>
      <c r="M761" t="n">
        <v>0.45202</v>
      </c>
      <c r="N761" t="n">
        <v>-3.2186</v>
      </c>
      <c r="O761" t="n">
        <v>0.70064</v>
      </c>
      <c r="P761" t="n">
        <v>0.99294</v>
      </c>
      <c r="Q761" t="n">
        <v>-0.29146</v>
      </c>
      <c r="R761" t="n">
        <v>0.0837</v>
      </c>
      <c r="S761" t="n">
        <v>-0.12783</v>
      </c>
      <c r="T761" t="n">
        <v>0.43983</v>
      </c>
      <c r="U761" t="n">
        <v>-0.44377</v>
      </c>
      <c r="V761" t="n">
        <v>-0.29058</v>
      </c>
      <c r="W761" t="n">
        <v>-0.02683</v>
      </c>
      <c r="X761" t="n">
        <v>-0.44513</v>
      </c>
      <c r="Y761" t="n">
        <v>0.07642599999999999</v>
      </c>
      <c r="Z761" t="n">
        <v>-1.4819</v>
      </c>
    </row>
    <row r="762">
      <c r="A762" t="inlineStr">
        <is>
          <t>blown</t>
        </is>
      </c>
      <c r="B762" t="n">
        <v>-0.42755</v>
      </c>
      <c r="C762" t="n">
        <v>0.16477</v>
      </c>
      <c r="D762" t="n">
        <v>0.59482</v>
      </c>
      <c r="E762" t="n">
        <v>-0.16392</v>
      </c>
      <c r="F762" t="n">
        <v>0.21881</v>
      </c>
      <c r="G762" t="n">
        <v>0.51878</v>
      </c>
      <c r="H762" t="n">
        <v>1.0184</v>
      </c>
      <c r="I762" t="n">
        <v>-1.0375</v>
      </c>
      <c r="J762" t="n">
        <v>-0.80626</v>
      </c>
      <c r="K762" t="n">
        <v>0.012367</v>
      </c>
      <c r="L762" t="n">
        <v>-0.06743</v>
      </c>
      <c r="M762" t="n">
        <v>1.497</v>
      </c>
      <c r="N762" t="n">
        <v>-2.3731</v>
      </c>
      <c r="O762" t="n">
        <v>0.22958</v>
      </c>
      <c r="P762" t="n">
        <v>0.3694</v>
      </c>
      <c r="Q762" t="n">
        <v>0.67247</v>
      </c>
      <c r="R762" t="n">
        <v>0.54559</v>
      </c>
      <c r="S762" t="n">
        <v>0.24667</v>
      </c>
      <c r="T762" t="n">
        <v>0.29043</v>
      </c>
      <c r="U762" t="n">
        <v>-0.7388400000000001</v>
      </c>
      <c r="V762" t="n">
        <v>-0.20505</v>
      </c>
      <c r="W762" t="n">
        <v>0.32176</v>
      </c>
      <c r="X762" t="n">
        <v>1.4725</v>
      </c>
      <c r="Y762" t="n">
        <v>-0.20507</v>
      </c>
      <c r="Z762" t="n">
        <v>-0.08190699999999999</v>
      </c>
    </row>
    <row r="763">
      <c r="A763" t="inlineStr">
        <is>
          <t>lease</t>
        </is>
      </c>
      <c r="B763" t="n">
        <v>-0.52411</v>
      </c>
      <c r="C763" t="n">
        <v>1.4016</v>
      </c>
      <c r="D763" t="n">
        <v>-0.36758</v>
      </c>
      <c r="E763" t="n">
        <v>-0.53496</v>
      </c>
      <c r="F763" t="n">
        <v>0.4675</v>
      </c>
      <c r="G763" t="n">
        <v>-0.59163</v>
      </c>
      <c r="H763" t="n">
        <v>-0.42665</v>
      </c>
      <c r="I763" t="n">
        <v>-0.7260799999999999</v>
      </c>
      <c r="J763" t="n">
        <v>0.54835</v>
      </c>
      <c r="K763" t="n">
        <v>-0.29763</v>
      </c>
      <c r="L763" t="n">
        <v>0.40408</v>
      </c>
      <c r="M763" t="n">
        <v>-0.09427000000000001</v>
      </c>
      <c r="N763" t="n">
        <v>-2.0708</v>
      </c>
      <c r="O763" t="n">
        <v>-0.28556</v>
      </c>
      <c r="P763" t="n">
        <v>0.42845</v>
      </c>
      <c r="Q763" t="n">
        <v>-0.14276</v>
      </c>
      <c r="R763" t="n">
        <v>0.76635</v>
      </c>
      <c r="S763" t="n">
        <v>-0.69148</v>
      </c>
      <c r="T763" t="n">
        <v>0.46101</v>
      </c>
      <c r="U763" t="n">
        <v>-0.0078093</v>
      </c>
      <c r="V763" t="n">
        <v>-0.35836</v>
      </c>
      <c r="W763" t="n">
        <v>-1.5441</v>
      </c>
      <c r="X763" t="n">
        <v>0.85701</v>
      </c>
      <c r="Y763" t="n">
        <v>0.092526</v>
      </c>
      <c r="Z763" t="n">
        <v>-0.71356</v>
      </c>
    </row>
    <row r="764">
      <c r="A764" t="inlineStr">
        <is>
          <t>hechos</t>
        </is>
      </c>
      <c r="B764" t="n">
        <v>1.3533</v>
      </c>
      <c r="C764" t="n">
        <v>-0.17492</v>
      </c>
      <c r="D764" t="n">
        <v>0.2334</v>
      </c>
      <c r="E764" t="n">
        <v>0.72946</v>
      </c>
      <c r="F764" t="n">
        <v>0.32553</v>
      </c>
      <c r="G764" t="n">
        <v>0.36209</v>
      </c>
      <c r="H764" t="n">
        <v>-0.54456</v>
      </c>
      <c r="I764" t="n">
        <v>1.6663</v>
      </c>
      <c r="J764" t="n">
        <v>-2.1395</v>
      </c>
      <c r="K764" t="n">
        <v>-1.2877</v>
      </c>
      <c r="L764" t="n">
        <v>0.39959</v>
      </c>
      <c r="M764" t="n">
        <v>-0.85724</v>
      </c>
      <c r="N764" t="n">
        <v>-0.48355</v>
      </c>
      <c r="O764" t="n">
        <v>0.6696299999999999</v>
      </c>
      <c r="P764" t="n">
        <v>-0.20653</v>
      </c>
      <c r="Q764" t="n">
        <v>1.0137</v>
      </c>
      <c r="R764" t="n">
        <v>-0.63629</v>
      </c>
      <c r="S764" t="n">
        <v>0.62899</v>
      </c>
      <c r="T764" t="n">
        <v>1.1071</v>
      </c>
      <c r="U764" t="n">
        <v>0.47713</v>
      </c>
      <c r="V764" t="n">
        <v>0.17556</v>
      </c>
      <c r="W764" t="n">
        <v>-0.1068</v>
      </c>
      <c r="X764" t="n">
        <v>-0.10755</v>
      </c>
      <c r="Y764" t="n">
        <v>-0.73664</v>
      </c>
      <c r="Z764" t="n">
        <v>0.215</v>
      </c>
    </row>
    <row r="765">
      <c r="A765" t="inlineStr">
        <is>
          <t>seasons</t>
        </is>
      </c>
      <c r="B765" t="n">
        <v>0.38046</v>
      </c>
      <c r="C765" t="n">
        <v>0.44939</v>
      </c>
      <c r="D765" t="n">
        <v>1.1372</v>
      </c>
      <c r="E765" t="n">
        <v>-0.62519</v>
      </c>
      <c r="F765" t="n">
        <v>-0.40446</v>
      </c>
      <c r="G765" t="n">
        <v>0.33231</v>
      </c>
      <c r="H765" t="n">
        <v>1.183</v>
      </c>
      <c r="I765" t="n">
        <v>-1.11</v>
      </c>
      <c r="J765" t="n">
        <v>-0.40444</v>
      </c>
      <c r="K765" t="n">
        <v>-1.0276</v>
      </c>
      <c r="L765" t="n">
        <v>0.24615</v>
      </c>
      <c r="M765" t="n">
        <v>0.46003</v>
      </c>
      <c r="N765" t="n">
        <v>-2.7036</v>
      </c>
      <c r="O765" t="n">
        <v>1.3431</v>
      </c>
      <c r="P765" t="n">
        <v>0.66012</v>
      </c>
      <c r="Q765" t="n">
        <v>-0.13657</v>
      </c>
      <c r="R765" t="n">
        <v>-0.1398</v>
      </c>
      <c r="S765" t="n">
        <v>0.032248</v>
      </c>
      <c r="T765" t="n">
        <v>0.28854</v>
      </c>
      <c r="U765" t="n">
        <v>0.36773</v>
      </c>
      <c r="V765" t="n">
        <v>-1.4298</v>
      </c>
      <c r="W765" t="n">
        <v>-0.012363</v>
      </c>
      <c r="X765" t="n">
        <v>0.15159</v>
      </c>
      <c r="Y765" t="n">
        <v>-0.50769</v>
      </c>
      <c r="Z765" t="n">
        <v>0.19073</v>
      </c>
    </row>
    <row r="766">
      <c r="A766" t="inlineStr">
        <is>
          <t>athletes</t>
        </is>
      </c>
      <c r="B766" t="n">
        <v>0.16415</v>
      </c>
      <c r="C766" t="n">
        <v>0.86887</v>
      </c>
      <c r="D766" t="n">
        <v>-1.0624</v>
      </c>
      <c r="E766" t="n">
        <v>-1.4452</v>
      </c>
      <c r="F766" t="n">
        <v>0.48208</v>
      </c>
      <c r="G766" t="n">
        <v>0.12721</v>
      </c>
      <c r="H766" t="n">
        <v>0.8541</v>
      </c>
      <c r="I766" t="n">
        <v>-1.1287</v>
      </c>
      <c r="J766" t="n">
        <v>-0.5583900000000001</v>
      </c>
      <c r="K766" t="n">
        <v>-0.75475</v>
      </c>
      <c r="L766" t="n">
        <v>0.0015167</v>
      </c>
      <c r="M766" t="n">
        <v>0.039295</v>
      </c>
      <c r="N766" t="n">
        <v>-2.9451</v>
      </c>
      <c r="O766" t="n">
        <v>0.64758</v>
      </c>
      <c r="P766" t="n">
        <v>-0.48026</v>
      </c>
      <c r="Q766" t="n">
        <v>0.35787</v>
      </c>
      <c r="R766" t="n">
        <v>-0.33017</v>
      </c>
      <c r="S766" t="n">
        <v>-1.5113</v>
      </c>
      <c r="T766" t="n">
        <v>1.0469</v>
      </c>
      <c r="U766" t="n">
        <v>-0.11322</v>
      </c>
      <c r="V766" t="n">
        <v>-0.68813</v>
      </c>
      <c r="W766" t="n">
        <v>0.71299</v>
      </c>
      <c r="X766" t="n">
        <v>-0.9564</v>
      </c>
      <c r="Y766" t="n">
        <v>-1.6008</v>
      </c>
      <c r="Z766" t="n">
        <v>-0.10736</v>
      </c>
    </row>
    <row r="767">
      <c r="A767" t="inlineStr">
        <is>
          <t>thai</t>
        </is>
      </c>
      <c r="B767" t="n">
        <v>-0.41841</v>
      </c>
      <c r="C767" t="n">
        <v>-0.32121</v>
      </c>
      <c r="D767" t="n">
        <v>0.3102</v>
      </c>
      <c r="E767" t="n">
        <v>-0.45108</v>
      </c>
      <c r="F767" t="n">
        <v>-0.19859</v>
      </c>
      <c r="G767" t="n">
        <v>-0.53023</v>
      </c>
      <c r="H767" t="n">
        <v>1.1416</v>
      </c>
      <c r="I767" t="n">
        <v>-0.39633</v>
      </c>
      <c r="J767" t="n">
        <v>1.1106</v>
      </c>
      <c r="K767" t="n">
        <v>-0.36523</v>
      </c>
      <c r="L767" t="n">
        <v>-0.19764</v>
      </c>
      <c r="M767" t="n">
        <v>-0.72825</v>
      </c>
      <c r="N767" t="n">
        <v>-1.9269</v>
      </c>
      <c r="O767" t="n">
        <v>-0.37549</v>
      </c>
      <c r="P767" t="n">
        <v>-0.31419</v>
      </c>
      <c r="Q767" t="n">
        <v>-0.94193</v>
      </c>
      <c r="R767" t="n">
        <v>0.27542</v>
      </c>
      <c r="S767" t="n">
        <v>-0.6224499999999999</v>
      </c>
      <c r="T767" t="n">
        <v>-0.42671</v>
      </c>
      <c r="U767" t="n">
        <v>0.93566</v>
      </c>
      <c r="V767" t="n">
        <v>-0.70965</v>
      </c>
      <c r="W767" t="n">
        <v>0.36455</v>
      </c>
      <c r="X767" t="n">
        <v>-0.92787</v>
      </c>
      <c r="Y767" t="n">
        <v>-0.88037</v>
      </c>
      <c r="Z767" t="n">
        <v>0.40018</v>
      </c>
    </row>
    <row r="768">
      <c r="A768" t="inlineStr">
        <is>
          <t>highest</t>
        </is>
      </c>
      <c r="B768" t="n">
        <v>0.45938</v>
      </c>
      <c r="C768" t="n">
        <v>0.12827</v>
      </c>
      <c r="D768" t="n">
        <v>-0.59315</v>
      </c>
      <c r="E768" t="n">
        <v>-0.61127</v>
      </c>
      <c r="F768" t="n">
        <v>0.70292</v>
      </c>
      <c r="G768" t="n">
        <v>0.33376</v>
      </c>
      <c r="H768" t="n">
        <v>0.25233</v>
      </c>
      <c r="I768" t="n">
        <v>-0.96631</v>
      </c>
      <c r="J768" t="n">
        <v>0.048494</v>
      </c>
      <c r="K768" t="n">
        <v>-0.56074</v>
      </c>
      <c r="L768" t="n">
        <v>0.68597</v>
      </c>
      <c r="M768" t="n">
        <v>0.39506</v>
      </c>
      <c r="N768" t="n">
        <v>-3.0794</v>
      </c>
      <c r="O768" t="n">
        <v>2.4308</v>
      </c>
      <c r="P768" t="n">
        <v>-0.29192</v>
      </c>
      <c r="Q768" t="n">
        <v>-0.53228</v>
      </c>
      <c r="R768" t="n">
        <v>0.50132</v>
      </c>
      <c r="S768" t="n">
        <v>0.8198</v>
      </c>
      <c r="T768" t="n">
        <v>0.43684</v>
      </c>
      <c r="U768" t="n">
        <v>-0.41101</v>
      </c>
      <c r="V768" t="n">
        <v>-1.0701</v>
      </c>
      <c r="W768" t="n">
        <v>0.56062</v>
      </c>
      <c r="X768" t="n">
        <v>0.30204</v>
      </c>
      <c r="Y768" t="n">
        <v>-0.22668</v>
      </c>
      <c r="Z768" t="n">
        <v>-1.353</v>
      </c>
    </row>
    <row r="769">
      <c r="A769" t="inlineStr">
        <is>
          <t>aight</t>
        </is>
      </c>
      <c r="B769" t="n">
        <v>-0.068937</v>
      </c>
      <c r="C769" t="n">
        <v>1.3338</v>
      </c>
      <c r="D769" t="n">
        <v>-0.42917</v>
      </c>
      <c r="E769" t="n">
        <v>-0.42645</v>
      </c>
      <c r="F769" t="n">
        <v>-0.84304</v>
      </c>
      <c r="G769" t="n">
        <v>0.26509</v>
      </c>
      <c r="H769" t="n">
        <v>0.51233</v>
      </c>
      <c r="I769" t="n">
        <v>-0.67726</v>
      </c>
      <c r="J769" t="n">
        <v>-0.63613</v>
      </c>
      <c r="K769" t="n">
        <v>-0.08740000000000001</v>
      </c>
      <c r="L769" t="n">
        <v>-1.3327</v>
      </c>
      <c r="M769" t="n">
        <v>0.85754</v>
      </c>
      <c r="N769" t="n">
        <v>-2.2134</v>
      </c>
      <c r="O769" t="n">
        <v>-0.76593</v>
      </c>
      <c r="P769" t="n">
        <v>1.0255</v>
      </c>
      <c r="Q769" t="n">
        <v>0.25809</v>
      </c>
      <c r="R769" t="n">
        <v>1.0829</v>
      </c>
      <c r="S769" t="n">
        <v>-0.7229100000000001</v>
      </c>
      <c r="T769" t="n">
        <v>-1.2643</v>
      </c>
      <c r="U769" t="n">
        <v>0.84057</v>
      </c>
      <c r="V769" t="n">
        <v>1.686</v>
      </c>
      <c r="W769" t="n">
        <v>0.35889</v>
      </c>
      <c r="X769" t="n">
        <v>0.83</v>
      </c>
      <c r="Y769" t="n">
        <v>1.0227</v>
      </c>
      <c r="Z769" t="n">
        <v>0.70073</v>
      </c>
    </row>
    <row r="770">
      <c r="A770" t="inlineStr">
        <is>
          <t>hhe</t>
        </is>
      </c>
      <c r="B770" t="n">
        <v>0.39976</v>
      </c>
      <c r="C770" t="n">
        <v>1.7708</v>
      </c>
      <c r="D770" t="n">
        <v>-0.18053</v>
      </c>
      <c r="E770" t="n">
        <v>0.087327</v>
      </c>
      <c r="F770" t="n">
        <v>-0.43324</v>
      </c>
      <c r="G770" t="n">
        <v>-0.4142</v>
      </c>
      <c r="H770" t="n">
        <v>-0.13667</v>
      </c>
      <c r="I770" t="n">
        <v>1.5452</v>
      </c>
      <c r="J770" t="n">
        <v>1.1415</v>
      </c>
      <c r="K770" t="n">
        <v>1.3347</v>
      </c>
      <c r="L770" t="n">
        <v>-0.54027</v>
      </c>
      <c r="M770" t="n">
        <v>0.35104</v>
      </c>
      <c r="N770" t="n">
        <v>-0.98949</v>
      </c>
      <c r="O770" t="n">
        <v>0.055249</v>
      </c>
      <c r="P770" t="n">
        <v>0.45362</v>
      </c>
      <c r="Q770" t="n">
        <v>-0.5837</v>
      </c>
      <c r="R770" t="n">
        <v>0.4453</v>
      </c>
      <c r="S770" t="n">
        <v>-0.30672</v>
      </c>
      <c r="T770" t="n">
        <v>-0.91245</v>
      </c>
      <c r="U770" t="n">
        <v>0.7275700000000001</v>
      </c>
      <c r="V770" t="n">
        <v>-0.29438</v>
      </c>
      <c r="W770" t="n">
        <v>0.57459</v>
      </c>
      <c r="X770" t="n">
        <v>-1.2543</v>
      </c>
      <c r="Y770" t="n">
        <v>2.5392</v>
      </c>
      <c r="Z770" t="n">
        <v>0.11245</v>
      </c>
    </row>
    <row r="771">
      <c r="A771" t="inlineStr">
        <is>
          <t>treatment</t>
        </is>
      </c>
      <c r="B771" t="n">
        <v>-1.0536</v>
      </c>
      <c r="C771" t="n">
        <v>0.33993</v>
      </c>
      <c r="D771" t="n">
        <v>-1.6533</v>
      </c>
      <c r="E771" t="n">
        <v>0.72677</v>
      </c>
      <c r="F771" t="n">
        <v>1.6151</v>
      </c>
      <c r="G771" t="n">
        <v>-0.246</v>
      </c>
      <c r="H771" t="n">
        <v>0.73138</v>
      </c>
      <c r="I771" t="n">
        <v>-1.3175</v>
      </c>
      <c r="J771" t="n">
        <v>0.83556</v>
      </c>
      <c r="K771" t="n">
        <v>0.43208</v>
      </c>
      <c r="L771" t="n">
        <v>1.1173</v>
      </c>
      <c r="M771" t="n">
        <v>0.11189</v>
      </c>
      <c r="N771" t="n">
        <v>-2.4085</v>
      </c>
      <c r="O771" t="n">
        <v>-0.030988</v>
      </c>
      <c r="P771" t="n">
        <v>0.91793</v>
      </c>
      <c r="Q771" t="n">
        <v>-0.50125</v>
      </c>
      <c r="R771" t="n">
        <v>0.3393</v>
      </c>
      <c r="S771" t="n">
        <v>-0.07191</v>
      </c>
      <c r="T771" t="n">
        <v>0.60641</v>
      </c>
      <c r="U771" t="n">
        <v>-1.1049</v>
      </c>
      <c r="V771" t="n">
        <v>-0.5920299999999999</v>
      </c>
      <c r="W771" t="n">
        <v>0.46091</v>
      </c>
      <c r="X771" t="n">
        <v>-0.18504</v>
      </c>
      <c r="Y771" t="n">
        <v>0.2209</v>
      </c>
      <c r="Z771" t="n">
        <v>-0.033183</v>
      </c>
    </row>
    <row r="772">
      <c r="A772" t="inlineStr">
        <is>
          <t>appear</t>
        </is>
      </c>
      <c r="B772" t="n">
        <v>-0.36164</v>
      </c>
      <c r="C772" t="n">
        <v>-0.83927</v>
      </c>
      <c r="D772" t="n">
        <v>-0.028942</v>
      </c>
      <c r="E772" t="n">
        <v>-0.47781</v>
      </c>
      <c r="F772" t="n">
        <v>-0.29206</v>
      </c>
      <c r="G772" t="n">
        <v>0.1366</v>
      </c>
      <c r="H772" t="n">
        <v>0.93915</v>
      </c>
      <c r="I772" t="n">
        <v>-1.0614</v>
      </c>
      <c r="J772" t="n">
        <v>0.12035</v>
      </c>
      <c r="K772" t="n">
        <v>-0.5857599999999999</v>
      </c>
      <c r="L772" t="n">
        <v>-0.090737</v>
      </c>
      <c r="M772" t="n">
        <v>1.2468</v>
      </c>
      <c r="N772" t="n">
        <v>-2.9485</v>
      </c>
      <c r="O772" t="n">
        <v>0.40274</v>
      </c>
      <c r="P772" t="n">
        <v>-0.77407</v>
      </c>
      <c r="Q772" t="n">
        <v>0.96791</v>
      </c>
      <c r="R772" t="n">
        <v>0.03614</v>
      </c>
      <c r="S772" t="n">
        <v>-0.18194</v>
      </c>
      <c r="T772" t="n">
        <v>0.52024</v>
      </c>
      <c r="U772" t="n">
        <v>-1.8555</v>
      </c>
      <c r="V772" t="n">
        <v>0.09633899999999999</v>
      </c>
      <c r="W772" t="n">
        <v>-0.19065</v>
      </c>
      <c r="X772" t="n">
        <v>-0.15019</v>
      </c>
      <c r="Y772" t="n">
        <v>-0.49443</v>
      </c>
      <c r="Z772" t="n">
        <v>-0.89327</v>
      </c>
    </row>
    <row r="773">
      <c r="A773" t="inlineStr">
        <is>
          <t>sherlock</t>
        </is>
      </c>
      <c r="B773" t="n">
        <v>0.095106</v>
      </c>
      <c r="C773" t="n">
        <v>-0.21847</v>
      </c>
      <c r="D773" t="n">
        <v>1.2434</v>
      </c>
      <c r="E773" t="n">
        <v>0.21751</v>
      </c>
      <c r="F773" t="n">
        <v>-0.38819</v>
      </c>
      <c r="G773" t="n">
        <v>-0.66553</v>
      </c>
      <c r="H773" t="n">
        <v>1.1537</v>
      </c>
      <c r="I773" t="n">
        <v>0.1957</v>
      </c>
      <c r="J773" t="n">
        <v>-0.17436</v>
      </c>
      <c r="K773" t="n">
        <v>-1.316</v>
      </c>
      <c r="L773" t="n">
        <v>0.27212</v>
      </c>
      <c r="M773" t="n">
        <v>0.61954</v>
      </c>
      <c r="N773" t="n">
        <v>-2.0613</v>
      </c>
      <c r="O773" t="n">
        <v>-0.23911</v>
      </c>
      <c r="P773" t="n">
        <v>0.41022</v>
      </c>
      <c r="Q773" t="n">
        <v>0.17356</v>
      </c>
      <c r="R773" t="n">
        <v>-0.085054</v>
      </c>
      <c r="S773" t="n">
        <v>0.68105</v>
      </c>
      <c r="T773" t="n">
        <v>-0.31722</v>
      </c>
      <c r="U773" t="n">
        <v>-0.059156</v>
      </c>
      <c r="V773" t="n">
        <v>-0.37865</v>
      </c>
      <c r="W773" t="n">
        <v>0.29505</v>
      </c>
      <c r="X773" t="n">
        <v>-0.77218</v>
      </c>
      <c r="Y773" t="n">
        <v>-0.58273</v>
      </c>
      <c r="Z773" t="n">
        <v>0.24714</v>
      </c>
    </row>
    <row r="774">
      <c r="A774" t="inlineStr">
        <is>
          <t>tons</t>
        </is>
      </c>
      <c r="B774" t="n">
        <v>0.54211</v>
      </c>
      <c r="C774" t="n">
        <v>0.33878</v>
      </c>
      <c r="D774" t="n">
        <v>0.54943</v>
      </c>
      <c r="E774" t="n">
        <v>0.54855</v>
      </c>
      <c r="F774" t="n">
        <v>0.51849</v>
      </c>
      <c r="G774" t="n">
        <v>0.34782</v>
      </c>
      <c r="H774" t="n">
        <v>0.5862000000000001</v>
      </c>
      <c r="I774" t="n">
        <v>-1.2603</v>
      </c>
      <c r="J774" t="n">
        <v>-0.85134</v>
      </c>
      <c r="K774" t="n">
        <v>-0.39469</v>
      </c>
      <c r="L774" t="n">
        <v>0.23849</v>
      </c>
      <c r="M774" t="n">
        <v>-1.3285</v>
      </c>
      <c r="N774" t="n">
        <v>-2.5122</v>
      </c>
      <c r="O774" t="n">
        <v>-0.22122</v>
      </c>
      <c r="P774" t="n">
        <v>-0.4218</v>
      </c>
      <c r="Q774" t="n">
        <v>-0.50145</v>
      </c>
      <c r="R774" t="n">
        <v>0.28961</v>
      </c>
      <c r="S774" t="n">
        <v>-0.51197</v>
      </c>
      <c r="T774" t="n">
        <v>0.12426</v>
      </c>
      <c r="U774" t="n">
        <v>-0.25824</v>
      </c>
      <c r="V774" t="n">
        <v>-0.7134</v>
      </c>
      <c r="W774" t="n">
        <v>-0.55052</v>
      </c>
      <c r="X774" t="n">
        <v>-0.046839</v>
      </c>
      <c r="Y774" t="n">
        <v>0.5131599999999999</v>
      </c>
      <c r="Z774" t="n">
        <v>-0.40953</v>
      </c>
    </row>
    <row r="775">
      <c r="A775" t="inlineStr">
        <is>
          <t>eaten</t>
        </is>
      </c>
      <c r="B775" t="n">
        <v>-0.07449</v>
      </c>
      <c r="C775" t="n">
        <v>0.4052</v>
      </c>
      <c r="D775" t="n">
        <v>1.2718</v>
      </c>
      <c r="E775" t="n">
        <v>0.21793</v>
      </c>
      <c r="F775" t="n">
        <v>-0.56551</v>
      </c>
      <c r="G775" t="n">
        <v>0.57831</v>
      </c>
      <c r="H775" t="n">
        <v>1.0059</v>
      </c>
      <c r="I775" t="n">
        <v>-2.1591</v>
      </c>
      <c r="J775" t="n">
        <v>-1.4639</v>
      </c>
      <c r="K775" t="n">
        <v>0.62902</v>
      </c>
      <c r="L775" t="n">
        <v>1.0839</v>
      </c>
      <c r="M775" t="n">
        <v>0.067787</v>
      </c>
      <c r="N775" t="n">
        <v>-2.55</v>
      </c>
      <c r="O775" t="n">
        <v>-0.0073717</v>
      </c>
      <c r="P775" t="n">
        <v>0.19922</v>
      </c>
      <c r="Q775" t="n">
        <v>-0.23434</v>
      </c>
      <c r="R775" t="n">
        <v>2.2933</v>
      </c>
      <c r="S775" t="n">
        <v>-0.15032</v>
      </c>
      <c r="T775" t="n">
        <v>0.48304</v>
      </c>
      <c r="U775" t="n">
        <v>-1.2039</v>
      </c>
      <c r="V775" t="n">
        <v>-0.31253</v>
      </c>
      <c r="W775" t="n">
        <v>0.8244899999999999</v>
      </c>
      <c r="X775" t="n">
        <v>0.012235</v>
      </c>
      <c r="Y775" t="n">
        <v>0.53244</v>
      </c>
      <c r="Z775" t="n">
        <v>1.1697</v>
      </c>
    </row>
    <row r="776">
      <c r="A776" t="inlineStr">
        <is>
          <t>expectations</t>
        </is>
      </c>
      <c r="B776" t="n">
        <v>0.5605599999999999</v>
      </c>
      <c r="C776" t="n">
        <v>-0.07309</v>
      </c>
      <c r="D776" t="n">
        <v>-0.86226</v>
      </c>
      <c r="E776" t="n">
        <v>0.18463</v>
      </c>
      <c r="F776" t="n">
        <v>0.11188</v>
      </c>
      <c r="G776" t="n">
        <v>0.72311</v>
      </c>
      <c r="H776" t="n">
        <v>1.0686</v>
      </c>
      <c r="I776" t="n">
        <v>-1.2608</v>
      </c>
      <c r="J776" t="n">
        <v>-0.16783</v>
      </c>
      <c r="K776" t="n">
        <v>-0.74829</v>
      </c>
      <c r="L776" t="n">
        <v>-0.74281</v>
      </c>
      <c r="M776" t="n">
        <v>0.30007</v>
      </c>
      <c r="N776" t="n">
        <v>-2.7706</v>
      </c>
      <c r="O776" t="n">
        <v>1.77</v>
      </c>
      <c r="P776" t="n">
        <v>0.34474</v>
      </c>
      <c r="Q776" t="n">
        <v>-0.09136</v>
      </c>
      <c r="R776" t="n">
        <v>-0.5937</v>
      </c>
      <c r="S776" t="n">
        <v>-0.24344</v>
      </c>
      <c r="T776" t="n">
        <v>1.9496</v>
      </c>
      <c r="U776" t="n">
        <v>-0.63728</v>
      </c>
      <c r="V776" t="n">
        <v>-0.45595</v>
      </c>
      <c r="W776" t="n">
        <v>-0.14611</v>
      </c>
      <c r="X776" t="n">
        <v>0.1587</v>
      </c>
      <c r="Y776" t="n">
        <v>0.45123</v>
      </c>
      <c r="Z776" t="n">
        <v>-1.8588</v>
      </c>
    </row>
    <row r="777">
      <c r="A777" t="inlineStr">
        <is>
          <t>hosting</t>
        </is>
      </c>
      <c r="B777" t="n">
        <v>-0.35103</v>
      </c>
      <c r="C777" t="n">
        <v>1.4053</v>
      </c>
      <c r="D777" t="n">
        <v>0.26445</v>
      </c>
      <c r="E777" t="n">
        <v>-1.2805</v>
      </c>
      <c r="F777" t="n">
        <v>1.0997</v>
      </c>
      <c r="G777" t="n">
        <v>-0.23542</v>
      </c>
      <c r="H777" t="n">
        <v>-0.1547</v>
      </c>
      <c r="I777" t="n">
        <v>-0.72502</v>
      </c>
      <c r="J777" t="n">
        <v>0.52826</v>
      </c>
      <c r="K777" t="n">
        <v>-1.4802</v>
      </c>
      <c r="L777" t="n">
        <v>0.52034</v>
      </c>
      <c r="M777" t="n">
        <v>0.10212</v>
      </c>
      <c r="N777" t="n">
        <v>-2.9068</v>
      </c>
      <c r="O777" t="n">
        <v>-0.4705</v>
      </c>
      <c r="P777" t="n">
        <v>0.41178</v>
      </c>
      <c r="Q777" t="n">
        <v>-0.090807</v>
      </c>
      <c r="R777" t="n">
        <v>0.23987</v>
      </c>
      <c r="S777" t="n">
        <v>-0.62142</v>
      </c>
      <c r="T777" t="n">
        <v>0.0068723</v>
      </c>
      <c r="U777" t="n">
        <v>-0.021165</v>
      </c>
      <c r="V777" t="n">
        <v>-1.0027</v>
      </c>
      <c r="W777" t="n">
        <v>-1.4659</v>
      </c>
      <c r="X777" t="n">
        <v>-1.2058</v>
      </c>
      <c r="Y777" t="n">
        <v>-0.55166</v>
      </c>
      <c r="Z777" t="n">
        <v>-0.47644</v>
      </c>
    </row>
    <row r="778">
      <c r="A778" t="inlineStr">
        <is>
          <t>immediately</t>
        </is>
      </c>
      <c r="B778" t="n">
        <v>-0.30849</v>
      </c>
      <c r="C778" t="n">
        <v>0.43328</v>
      </c>
      <c r="D778" t="n">
        <v>-0.034877</v>
      </c>
      <c r="E778" t="n">
        <v>-0.12279</v>
      </c>
      <c r="F778" t="n">
        <v>-0.41154</v>
      </c>
      <c r="G778" t="n">
        <v>-0.86935</v>
      </c>
      <c r="H778" t="n">
        <v>0.71127</v>
      </c>
      <c r="I778" t="n">
        <v>-1.392</v>
      </c>
      <c r="J778" t="n">
        <v>-0.21981</v>
      </c>
      <c r="K778" t="n">
        <v>0.60402</v>
      </c>
      <c r="L778" t="n">
        <v>0.52151</v>
      </c>
      <c r="M778" t="n">
        <v>0.45692</v>
      </c>
      <c r="N778" t="n">
        <v>-2.9677</v>
      </c>
      <c r="O778" t="n">
        <v>-0.30908</v>
      </c>
      <c r="P778" t="n">
        <v>0.54089</v>
      </c>
      <c r="Q778" t="n">
        <v>0.72772</v>
      </c>
      <c r="R778" t="n">
        <v>0.005391</v>
      </c>
      <c r="S778" t="n">
        <v>-0.12875</v>
      </c>
      <c r="T778" t="n">
        <v>0.29155</v>
      </c>
      <c r="U778" t="n">
        <v>-2.0806</v>
      </c>
      <c r="V778" t="n">
        <v>0.12229</v>
      </c>
      <c r="W778" t="n">
        <v>-0.62943</v>
      </c>
      <c r="X778" t="n">
        <v>0.33877</v>
      </c>
      <c r="Y778" t="n">
        <v>-0.0020102</v>
      </c>
      <c r="Z778" t="n">
        <v>-0.84329</v>
      </c>
    </row>
    <row r="779">
      <c r="A779" t="inlineStr">
        <is>
          <t>pound</t>
        </is>
      </c>
      <c r="B779" t="n">
        <v>-0.28643</v>
      </c>
      <c r="C779" t="n">
        <v>0.841</v>
      </c>
      <c r="D779" t="n">
        <v>-0.046755</v>
      </c>
      <c r="E779" t="n">
        <v>0.57261</v>
      </c>
      <c r="F779" t="n">
        <v>0.007852</v>
      </c>
      <c r="G779" t="n">
        <v>0.32553</v>
      </c>
      <c r="H779" t="n">
        <v>0.15</v>
      </c>
      <c r="I779" t="n">
        <v>-0.94336</v>
      </c>
      <c r="J779" t="n">
        <v>-0.1202</v>
      </c>
      <c r="K779" t="n">
        <v>0.16085</v>
      </c>
      <c r="L779" t="n">
        <v>1.1565</v>
      </c>
      <c r="M779" t="n">
        <v>0.15629</v>
      </c>
      <c r="N779" t="n">
        <v>-2.6998</v>
      </c>
      <c r="O779" t="n">
        <v>-0.21459</v>
      </c>
      <c r="P779" t="n">
        <v>-0.2144</v>
      </c>
      <c r="Q779" t="n">
        <v>-0.87173</v>
      </c>
      <c r="R779" t="n">
        <v>0.87186</v>
      </c>
      <c r="S779" t="n">
        <v>-0.58051</v>
      </c>
      <c r="T779" t="n">
        <v>0.50643</v>
      </c>
      <c r="U779" t="n">
        <v>0.20354</v>
      </c>
      <c r="V779" t="n">
        <v>-0.78684</v>
      </c>
      <c r="W779" t="n">
        <v>0.6923</v>
      </c>
      <c r="X779" t="n">
        <v>1.0634</v>
      </c>
      <c r="Y779" t="n">
        <v>-0.53868</v>
      </c>
      <c r="Z779" t="n">
        <v>0.37326</v>
      </c>
    </row>
    <row r="780">
      <c r="A780" t="inlineStr">
        <is>
          <t>motion</t>
        </is>
      </c>
      <c r="B780" t="n">
        <v>-0.29824</v>
      </c>
      <c r="C780" t="n">
        <v>0.11326</v>
      </c>
      <c r="D780" t="n">
        <v>-0.10924</v>
      </c>
      <c r="E780" t="n">
        <v>0.078587</v>
      </c>
      <c r="F780" t="n">
        <v>0.81624</v>
      </c>
      <c r="G780" t="n">
        <v>-0.38104</v>
      </c>
      <c r="H780" t="n">
        <v>0.70665</v>
      </c>
      <c r="I780" t="n">
        <v>-0.41668</v>
      </c>
      <c r="J780" t="n">
        <v>1.2408</v>
      </c>
      <c r="K780" t="n">
        <v>-0.20627</v>
      </c>
      <c r="L780" t="n">
        <v>0.011152</v>
      </c>
      <c r="M780" t="n">
        <v>0.95221</v>
      </c>
      <c r="N780" t="n">
        <v>-2.4701</v>
      </c>
      <c r="O780" t="n">
        <v>0.23299</v>
      </c>
      <c r="P780" t="n">
        <v>0.13802</v>
      </c>
      <c r="Q780" t="n">
        <v>1.0223</v>
      </c>
      <c r="R780" t="n">
        <v>-0.2388</v>
      </c>
      <c r="S780" t="n">
        <v>0.61347</v>
      </c>
      <c r="T780" t="n">
        <v>0.20442</v>
      </c>
      <c r="U780" t="n">
        <v>-0.28723</v>
      </c>
      <c r="V780" t="n">
        <v>-0.76433</v>
      </c>
      <c r="W780" t="n">
        <v>-0.46714</v>
      </c>
      <c r="X780" t="n">
        <v>0.69076</v>
      </c>
      <c r="Y780" t="n">
        <v>-0.31793</v>
      </c>
      <c r="Z780" t="n">
        <v>-0.20984</v>
      </c>
    </row>
    <row r="781">
      <c r="A781" t="inlineStr">
        <is>
          <t>oreo</t>
        </is>
      </c>
      <c r="B781" t="n">
        <v>-0.81125</v>
      </c>
      <c r="C781" t="n">
        <v>-0.41669</v>
      </c>
      <c r="D781" t="n">
        <v>0.53585</v>
      </c>
      <c r="E781" t="n">
        <v>1.0409</v>
      </c>
      <c r="F781" t="n">
        <v>-0.034155</v>
      </c>
      <c r="G781" t="n">
        <v>0.78774</v>
      </c>
      <c r="H781" t="n">
        <v>0.79825</v>
      </c>
      <c r="I781" t="n">
        <v>-0.22179</v>
      </c>
      <c r="J781" t="n">
        <v>0.022948</v>
      </c>
      <c r="K781" t="n">
        <v>0.046258</v>
      </c>
      <c r="L781" t="n">
        <v>1.6454</v>
      </c>
      <c r="M781" t="n">
        <v>-1.3515</v>
      </c>
      <c r="N781" t="n">
        <v>-1.9621</v>
      </c>
      <c r="O781" t="n">
        <v>-1.6354</v>
      </c>
      <c r="P781" t="n">
        <v>0.06926499999999999</v>
      </c>
      <c r="Q781" t="n">
        <v>0.77865</v>
      </c>
      <c r="R781" t="n">
        <v>1.4938</v>
      </c>
      <c r="S781" t="n">
        <v>-0.66832</v>
      </c>
      <c r="T781" t="n">
        <v>0.38957</v>
      </c>
      <c r="U781" t="n">
        <v>1.3782</v>
      </c>
      <c r="V781" t="n">
        <v>-1.0885</v>
      </c>
      <c r="W781" t="n">
        <v>0.33074</v>
      </c>
      <c r="X781" t="n">
        <v>-0.050523</v>
      </c>
      <c r="Y781" t="n">
        <v>0.69228</v>
      </c>
      <c r="Z781" t="n">
        <v>0.71879</v>
      </c>
    </row>
    <row r="782">
      <c r="A782" t="inlineStr">
        <is>
          <t>theatre</t>
        </is>
      </c>
      <c r="B782" t="n">
        <v>-1.1324</v>
      </c>
      <c r="C782" t="n">
        <v>0.11583</v>
      </c>
      <c r="D782" t="n">
        <v>0.95727</v>
      </c>
      <c r="E782" t="n">
        <v>-0.90188</v>
      </c>
      <c r="F782" t="n">
        <v>-0.018671</v>
      </c>
      <c r="G782" t="n">
        <v>-0.49624</v>
      </c>
      <c r="H782" t="n">
        <v>1.0399</v>
      </c>
      <c r="I782" t="n">
        <v>-0.98437</v>
      </c>
      <c r="J782" t="n">
        <v>1.1356</v>
      </c>
      <c r="K782" t="n">
        <v>-0.63312</v>
      </c>
      <c r="L782" t="n">
        <v>-0.17451</v>
      </c>
      <c r="M782" t="n">
        <v>-0.17877</v>
      </c>
      <c r="N782" t="n">
        <v>-2.9633</v>
      </c>
      <c r="O782" t="n">
        <v>0.87277</v>
      </c>
      <c r="P782" t="n">
        <v>1.0447</v>
      </c>
      <c r="Q782" t="n">
        <v>0.41321</v>
      </c>
      <c r="R782" t="n">
        <v>0.048564</v>
      </c>
      <c r="S782" t="n">
        <v>0.41732</v>
      </c>
      <c r="T782" t="n">
        <v>-0.19877</v>
      </c>
      <c r="U782" t="n">
        <v>0.66959</v>
      </c>
      <c r="V782" t="n">
        <v>-0.61713</v>
      </c>
      <c r="W782" t="n">
        <v>-0.76509</v>
      </c>
      <c r="X782" t="n">
        <v>-0.73699</v>
      </c>
      <c r="Y782" t="n">
        <v>-1.1956</v>
      </c>
      <c r="Z782" t="n">
        <v>0.78051</v>
      </c>
    </row>
    <row r="783">
      <c r="A783" t="inlineStr">
        <is>
          <t>cricket</t>
        </is>
      </c>
      <c r="B783" t="n">
        <v>0.48169</v>
      </c>
      <c r="C783" t="n">
        <v>-0.066325</v>
      </c>
      <c r="D783" t="n">
        <v>-0.44454</v>
      </c>
      <c r="E783" t="n">
        <v>-1.7274</v>
      </c>
      <c r="F783" t="n">
        <v>-1.0247</v>
      </c>
      <c r="G783" t="n">
        <v>-0.78493</v>
      </c>
      <c r="H783" t="n">
        <v>0.50351</v>
      </c>
      <c r="I783" t="n">
        <v>-0.65595</v>
      </c>
      <c r="J783" t="n">
        <v>0.56451</v>
      </c>
      <c r="K783" t="n">
        <v>-0.03321</v>
      </c>
      <c r="L783" t="n">
        <v>-0.14383</v>
      </c>
      <c r="M783" t="n">
        <v>0.71937</v>
      </c>
      <c r="N783" t="n">
        <v>-2.8215</v>
      </c>
      <c r="O783" t="n">
        <v>0.86131</v>
      </c>
      <c r="P783" t="n">
        <v>0.79783</v>
      </c>
      <c r="Q783" t="n">
        <v>-0.49762</v>
      </c>
      <c r="R783" t="n">
        <v>0.044193</v>
      </c>
      <c r="S783" t="n">
        <v>-0.24435</v>
      </c>
      <c r="T783" t="n">
        <v>0.051926</v>
      </c>
      <c r="U783" t="n">
        <v>1.0575</v>
      </c>
      <c r="V783" t="n">
        <v>-1.1741</v>
      </c>
      <c r="W783" t="n">
        <v>0.8404199999999999</v>
      </c>
      <c r="X783" t="n">
        <v>0.35934</v>
      </c>
      <c r="Y783" t="n">
        <v>-1.0306</v>
      </c>
      <c r="Z783" t="n">
        <v>-0.69021</v>
      </c>
    </row>
    <row r="784">
      <c r="A784" t="inlineStr">
        <is>
          <t>teamautofollow</t>
        </is>
      </c>
      <c r="B784" t="n">
        <v>0.14044</v>
      </c>
      <c r="C784" t="n">
        <v>1.3859</v>
      </c>
      <c r="D784" t="n">
        <v>-2.0477</v>
      </c>
      <c r="E784" t="n">
        <v>-2.4127</v>
      </c>
      <c r="F784" t="n">
        <v>-0.14233</v>
      </c>
      <c r="G784" t="n">
        <v>-1.2858</v>
      </c>
      <c r="H784" t="n">
        <v>-0.74152</v>
      </c>
      <c r="I784" t="n">
        <v>-0.8037300000000001</v>
      </c>
      <c r="J784" t="n">
        <v>-1.2563</v>
      </c>
      <c r="K784" t="n">
        <v>0.04208</v>
      </c>
      <c r="L784" t="n">
        <v>-0.96469</v>
      </c>
      <c r="M784" t="n">
        <v>0.51213</v>
      </c>
      <c r="N784" t="n">
        <v>-1.3109</v>
      </c>
      <c r="O784" t="n">
        <v>-0.90015</v>
      </c>
      <c r="P784" t="n">
        <v>-2.4441</v>
      </c>
      <c r="Q784" t="n">
        <v>-0.068179</v>
      </c>
      <c r="R784" t="n">
        <v>-0.58077</v>
      </c>
      <c r="S784" t="n">
        <v>-0.54576</v>
      </c>
      <c r="T784" t="n">
        <v>-0.018513</v>
      </c>
      <c r="U784" t="n">
        <v>0.56594</v>
      </c>
      <c r="V784" t="n">
        <v>-0.25774</v>
      </c>
      <c r="W784" t="n">
        <v>-1.8378</v>
      </c>
      <c r="X784" t="n">
        <v>0.25779</v>
      </c>
      <c r="Y784" t="n">
        <v>-0.18607</v>
      </c>
      <c r="Z784" t="n">
        <v>0.26101</v>
      </c>
    </row>
    <row r="785">
      <c r="A785" t="inlineStr">
        <is>
          <t>factory</t>
        </is>
      </c>
      <c r="B785" t="n">
        <v>-0.63026</v>
      </c>
      <c r="C785" t="n">
        <v>-0.19998</v>
      </c>
      <c r="D785" t="n">
        <v>0.22471</v>
      </c>
      <c r="E785" t="n">
        <v>-0.52968</v>
      </c>
      <c r="F785" t="n">
        <v>0.32958</v>
      </c>
      <c r="G785" t="n">
        <v>-0.5483</v>
      </c>
      <c r="H785" t="n">
        <v>0.47825</v>
      </c>
      <c r="I785" t="n">
        <v>-1.0182</v>
      </c>
      <c r="J785" t="n">
        <v>1.015</v>
      </c>
      <c r="K785" t="n">
        <v>0.57696</v>
      </c>
      <c r="L785" t="n">
        <v>1.3323</v>
      </c>
      <c r="M785" t="n">
        <v>0.037653</v>
      </c>
      <c r="N785" t="n">
        <v>-2.6616</v>
      </c>
      <c r="O785" t="n">
        <v>-0.38393</v>
      </c>
      <c r="P785" t="n">
        <v>0.36689</v>
      </c>
      <c r="Q785" t="n">
        <v>-0.29246</v>
      </c>
      <c r="R785" t="n">
        <v>0.5416800000000001</v>
      </c>
      <c r="S785" t="n">
        <v>0.1296</v>
      </c>
      <c r="T785" t="n">
        <v>0.7233000000000001</v>
      </c>
      <c r="U785" t="n">
        <v>0.6169</v>
      </c>
      <c r="V785" t="n">
        <v>-0.81781</v>
      </c>
      <c r="W785" t="n">
        <v>-1.0146</v>
      </c>
      <c r="X785" t="n">
        <v>0.4847</v>
      </c>
      <c r="Y785" t="n">
        <v>-0.3286</v>
      </c>
      <c r="Z785" t="n">
        <v>0.58667</v>
      </c>
    </row>
    <row r="786">
      <c r="A786" t="inlineStr">
        <is>
          <t>anxiety</t>
        </is>
      </c>
      <c r="B786" t="n">
        <v>-0.05302</v>
      </c>
      <c r="C786" t="n">
        <v>0.6127899999999999</v>
      </c>
      <c r="D786" t="n">
        <v>-1.0605</v>
      </c>
      <c r="E786" t="n">
        <v>1.1521</v>
      </c>
      <c r="F786" t="n">
        <v>1.1899</v>
      </c>
      <c r="G786" t="n">
        <v>0.44493</v>
      </c>
      <c r="H786" t="n">
        <v>1.9866</v>
      </c>
      <c r="I786" t="n">
        <v>-1.4467</v>
      </c>
      <c r="J786" t="n">
        <v>0.13338</v>
      </c>
      <c r="K786" t="n">
        <v>0.67476</v>
      </c>
      <c r="L786" t="n">
        <v>-0.36666</v>
      </c>
      <c r="M786" t="n">
        <v>0.21676</v>
      </c>
      <c r="N786" t="n">
        <v>-2.0155</v>
      </c>
      <c r="O786" t="n">
        <v>0.25993</v>
      </c>
      <c r="P786" t="n">
        <v>1.8211</v>
      </c>
      <c r="Q786" t="n">
        <v>0.56621</v>
      </c>
      <c r="R786" t="n">
        <v>-0.24998</v>
      </c>
      <c r="S786" t="n">
        <v>0.66013</v>
      </c>
      <c r="T786" t="n">
        <v>1.3563</v>
      </c>
      <c r="U786" t="n">
        <v>-1.8315</v>
      </c>
      <c r="V786" t="n">
        <v>-0.24397</v>
      </c>
      <c r="W786" t="n">
        <v>0.22622</v>
      </c>
      <c r="X786" t="n">
        <v>-0.0026287</v>
      </c>
      <c r="Y786" t="n">
        <v>0.3481</v>
      </c>
      <c r="Z786" t="n">
        <v>0.15078</v>
      </c>
    </row>
    <row r="787">
      <c r="A787" t="inlineStr">
        <is>
          <t>irritated</t>
        </is>
      </c>
      <c r="B787" t="n">
        <v>-0.69599</v>
      </c>
      <c r="C787" t="n">
        <v>0.033858</v>
      </c>
      <c r="D787" t="n">
        <v>-0.7476699999999999</v>
      </c>
      <c r="E787" t="n">
        <v>-0.29935</v>
      </c>
      <c r="F787" t="n">
        <v>0.77567</v>
      </c>
      <c r="G787" t="n">
        <v>2.4027</v>
      </c>
      <c r="H787" t="n">
        <v>1.1807</v>
      </c>
      <c r="I787" t="n">
        <v>-1.2053</v>
      </c>
      <c r="J787" t="n">
        <v>-0.6805</v>
      </c>
      <c r="K787" t="n">
        <v>0.43451</v>
      </c>
      <c r="L787" t="n">
        <v>-2.1387</v>
      </c>
      <c r="M787" t="n">
        <v>1.5336</v>
      </c>
      <c r="N787" t="n">
        <v>-1.8797</v>
      </c>
      <c r="O787" t="n">
        <v>-0.2169</v>
      </c>
      <c r="P787" t="n">
        <v>0.57786</v>
      </c>
      <c r="Q787" t="n">
        <v>0.25077</v>
      </c>
      <c r="R787" t="n">
        <v>0.17176</v>
      </c>
      <c r="S787" t="n">
        <v>-0.31955</v>
      </c>
      <c r="T787" t="n">
        <v>1.2551</v>
      </c>
      <c r="U787" t="n">
        <v>-1.9201</v>
      </c>
      <c r="V787" t="n">
        <v>1.5641</v>
      </c>
      <c r="W787" t="n">
        <v>0.73425</v>
      </c>
      <c r="X787" t="n">
        <v>0.97059</v>
      </c>
      <c r="Y787" t="n">
        <v>0.11137</v>
      </c>
      <c r="Z787" t="n">
        <v>-0.53162</v>
      </c>
    </row>
    <row r="788">
      <c r="A788" t="inlineStr">
        <is>
          <t>victims</t>
        </is>
      </c>
      <c r="B788" t="n">
        <v>-0.44132</v>
      </c>
      <c r="C788" t="n">
        <v>0.79273</v>
      </c>
      <c r="D788" t="n">
        <v>-0.55358</v>
      </c>
      <c r="E788" t="n">
        <v>0.73427</v>
      </c>
      <c r="F788" t="n">
        <v>-0.32951</v>
      </c>
      <c r="G788" t="n">
        <v>-1.6563</v>
      </c>
      <c r="H788" t="n">
        <v>1.0227</v>
      </c>
      <c r="I788" t="n">
        <v>-0.82129</v>
      </c>
      <c r="J788" t="n">
        <v>-0.59512</v>
      </c>
      <c r="K788" t="n">
        <v>0.96152</v>
      </c>
      <c r="L788" t="n">
        <v>0.37693</v>
      </c>
      <c r="M788" t="n">
        <v>-0.06077</v>
      </c>
      <c r="N788" t="n">
        <v>-2.5408</v>
      </c>
      <c r="O788" t="n">
        <v>2.0121</v>
      </c>
      <c r="P788" t="n">
        <v>0.32645</v>
      </c>
      <c r="Q788" t="n">
        <v>-0.28001</v>
      </c>
      <c r="R788" t="n">
        <v>-0.1433</v>
      </c>
      <c r="S788" t="n">
        <v>0.35077</v>
      </c>
      <c r="T788" t="n">
        <v>1.0093</v>
      </c>
      <c r="U788" t="n">
        <v>-1.3612</v>
      </c>
      <c r="V788" t="n">
        <v>0.15959</v>
      </c>
      <c r="W788" t="n">
        <v>0.00029377</v>
      </c>
      <c r="X788" t="n">
        <v>-0.38305</v>
      </c>
      <c r="Y788" t="n">
        <v>-2.2251</v>
      </c>
      <c r="Z788" t="n">
        <v>0.39645</v>
      </c>
    </row>
    <row r="789">
      <c r="A789" t="inlineStr">
        <is>
          <t>include</t>
        </is>
      </c>
      <c r="B789" t="n">
        <v>0.30022</v>
      </c>
      <c r="C789" t="n">
        <v>0.68423</v>
      </c>
      <c r="D789" t="n">
        <v>-0.409</v>
      </c>
      <c r="E789" t="n">
        <v>-0.26708</v>
      </c>
      <c r="F789" t="n">
        <v>0.16382</v>
      </c>
      <c r="G789" t="n">
        <v>-0.35466</v>
      </c>
      <c r="H789" t="n">
        <v>0.72572</v>
      </c>
      <c r="I789" t="n">
        <v>-1.2003</v>
      </c>
      <c r="J789" t="n">
        <v>-0.012351</v>
      </c>
      <c r="K789" t="n">
        <v>-0.20122</v>
      </c>
      <c r="L789" t="n">
        <v>0.27953</v>
      </c>
      <c r="M789" t="n">
        <v>0.2391</v>
      </c>
      <c r="N789" t="n">
        <v>-2.9903</v>
      </c>
      <c r="O789" t="n">
        <v>-0.1466</v>
      </c>
      <c r="P789" t="n">
        <v>-0.16748</v>
      </c>
      <c r="Q789" t="n">
        <v>0.14772</v>
      </c>
      <c r="R789" t="n">
        <v>0.11667</v>
      </c>
      <c r="S789" t="n">
        <v>-0.46197</v>
      </c>
      <c r="T789" t="n">
        <v>0.43713</v>
      </c>
      <c r="U789" t="n">
        <v>-0.85643</v>
      </c>
      <c r="V789" t="n">
        <v>-1.0929</v>
      </c>
      <c r="W789" t="n">
        <v>-0.8733</v>
      </c>
      <c r="X789" t="n">
        <v>-0.62024</v>
      </c>
      <c r="Y789" t="n">
        <v>-0.060361</v>
      </c>
      <c r="Z789" t="n">
        <v>-0.75439</v>
      </c>
    </row>
    <row r="790">
      <c r="A790" t="inlineStr">
        <is>
          <t>clown</t>
        </is>
      </c>
      <c r="B790" t="n">
        <v>-0.25916</v>
      </c>
      <c r="C790" t="n">
        <v>-0.028384</v>
      </c>
      <c r="D790" t="n">
        <v>0.090113</v>
      </c>
      <c r="E790" t="n">
        <v>0.29345</v>
      </c>
      <c r="F790" t="n">
        <v>0.30653</v>
      </c>
      <c r="G790" t="n">
        <v>-0.18614</v>
      </c>
      <c r="H790" t="n">
        <v>0.45452</v>
      </c>
      <c r="I790" t="n">
        <v>-0.6706299999999999</v>
      </c>
      <c r="J790" t="n">
        <v>-0.014911</v>
      </c>
      <c r="K790" t="n">
        <v>-0.10111</v>
      </c>
      <c r="L790" t="n">
        <v>-0.43859</v>
      </c>
      <c r="M790" t="n">
        <v>0.38379</v>
      </c>
      <c r="N790" t="n">
        <v>-2.7132</v>
      </c>
      <c r="O790" t="n">
        <v>-0.82455</v>
      </c>
      <c r="P790" t="n">
        <v>0.33317</v>
      </c>
      <c r="Q790" t="n">
        <v>1.1374</v>
      </c>
      <c r="R790" t="n">
        <v>0.99598</v>
      </c>
      <c r="S790" t="n">
        <v>-0.28091</v>
      </c>
      <c r="T790" t="n">
        <v>-0.45692</v>
      </c>
      <c r="U790" t="n">
        <v>0.60572</v>
      </c>
      <c r="V790" t="n">
        <v>0.69504</v>
      </c>
      <c r="W790" t="n">
        <v>0.95198</v>
      </c>
      <c r="X790" t="n">
        <v>0.52361</v>
      </c>
      <c r="Y790" t="n">
        <v>-0.7617</v>
      </c>
      <c r="Z790" t="n">
        <v>0.49505</v>
      </c>
    </row>
    <row r="791">
      <c r="A791" t="inlineStr">
        <is>
          <t>opinions</t>
        </is>
      </c>
      <c r="B791" t="n">
        <v>1.3287</v>
      </c>
      <c r="C791" t="n">
        <v>0.20968</v>
      </c>
      <c r="D791" t="n">
        <v>-1.3785</v>
      </c>
      <c r="E791" t="n">
        <v>0.71523</v>
      </c>
      <c r="F791" t="n">
        <v>0.59377</v>
      </c>
      <c r="G791" t="n">
        <v>0.069462</v>
      </c>
      <c r="H791" t="n">
        <v>0.96802</v>
      </c>
      <c r="I791" t="n">
        <v>-1.7021</v>
      </c>
      <c r="J791" t="n">
        <v>-0.52887</v>
      </c>
      <c r="K791" t="n">
        <v>-0.25071</v>
      </c>
      <c r="L791" t="n">
        <v>-0.84091</v>
      </c>
      <c r="M791" t="n">
        <v>0.21051</v>
      </c>
      <c r="N791" t="n">
        <v>-2.91</v>
      </c>
      <c r="O791" t="n">
        <v>0.30827</v>
      </c>
      <c r="P791" t="n">
        <v>-0.19661</v>
      </c>
      <c r="Q791" t="n">
        <v>0.90376</v>
      </c>
      <c r="R791" t="n">
        <v>-0.37745</v>
      </c>
      <c r="S791" t="n">
        <v>-0.56179</v>
      </c>
      <c r="T791" t="n">
        <v>0.85292</v>
      </c>
      <c r="U791" t="n">
        <v>-0.28497</v>
      </c>
      <c r="V791" t="n">
        <v>1.019</v>
      </c>
      <c r="W791" t="n">
        <v>-0.21249</v>
      </c>
      <c r="X791" t="n">
        <v>-0.40735</v>
      </c>
      <c r="Y791" t="n">
        <v>-0.39356</v>
      </c>
      <c r="Z791" t="n">
        <v>-1.7491</v>
      </c>
    </row>
    <row r="792">
      <c r="A792" t="inlineStr">
        <is>
          <t>hipster</t>
        </is>
      </c>
      <c r="B792" t="n">
        <v>-0.23096</v>
      </c>
      <c r="C792" t="n">
        <v>-0.78767</v>
      </c>
      <c r="D792" t="n">
        <v>-0.16656</v>
      </c>
      <c r="E792" t="n">
        <v>-0.29618</v>
      </c>
      <c r="F792" t="n">
        <v>1.1053</v>
      </c>
      <c r="G792" t="n">
        <v>0.52329</v>
      </c>
      <c r="H792" t="n">
        <v>0.5501</v>
      </c>
      <c r="I792" t="n">
        <v>0.10647</v>
      </c>
      <c r="J792" t="n">
        <v>-0.57778</v>
      </c>
      <c r="K792" t="n">
        <v>-0.34261</v>
      </c>
      <c r="L792" t="n">
        <v>-0.12049</v>
      </c>
      <c r="M792" t="n">
        <v>-1.1333</v>
      </c>
      <c r="N792" t="n">
        <v>-2.4657</v>
      </c>
      <c r="O792" t="n">
        <v>-1.4651</v>
      </c>
      <c r="P792" t="n">
        <v>0.2376</v>
      </c>
      <c r="Q792" t="n">
        <v>0.9077499999999999</v>
      </c>
      <c r="R792" t="n">
        <v>0.74342</v>
      </c>
      <c r="S792" t="n">
        <v>-0.1896</v>
      </c>
      <c r="T792" t="n">
        <v>0.7193000000000001</v>
      </c>
      <c r="U792" t="n">
        <v>0.47831</v>
      </c>
      <c r="V792" t="n">
        <v>0.21787</v>
      </c>
      <c r="W792" t="n">
        <v>0.69312</v>
      </c>
      <c r="X792" t="n">
        <v>-0.30851</v>
      </c>
      <c r="Y792" t="n">
        <v>-0.57275</v>
      </c>
      <c r="Z792" t="n">
        <v>0.07110900000000001</v>
      </c>
    </row>
    <row r="793">
      <c r="A793" t="inlineStr">
        <is>
          <t>followers!n</t>
        </is>
      </c>
      <c r="B793" t="n">
        <v>-0.50254</v>
      </c>
      <c r="C793" t="n">
        <v>3.2344</v>
      </c>
      <c r="D793" t="n">
        <v>-3.4285</v>
      </c>
      <c r="E793" t="n">
        <v>-0.097982</v>
      </c>
      <c r="F793" t="n">
        <v>0.69575</v>
      </c>
      <c r="G793" t="n">
        <v>-2.1941</v>
      </c>
      <c r="H793" t="n">
        <v>-0.63389</v>
      </c>
      <c r="I793" t="n">
        <v>1.0891</v>
      </c>
      <c r="J793" t="n">
        <v>-1.3673</v>
      </c>
      <c r="K793" t="n">
        <v>0.44987</v>
      </c>
      <c r="L793" t="n">
        <v>1.6211</v>
      </c>
      <c r="M793" t="n">
        <v>0.76437</v>
      </c>
      <c r="N793" t="n">
        <v>-1.7549</v>
      </c>
      <c r="O793" t="n">
        <v>-2.2012</v>
      </c>
      <c r="P793" t="n">
        <v>-3.0305</v>
      </c>
      <c r="Q793" t="n">
        <v>0.65662</v>
      </c>
      <c r="R793" t="n">
        <v>0.63634</v>
      </c>
      <c r="S793" t="n">
        <v>-0.71962</v>
      </c>
      <c r="T793" t="n">
        <v>1.5116</v>
      </c>
      <c r="U793" t="n">
        <v>-0.6638500000000001</v>
      </c>
      <c r="V793" t="n">
        <v>1.4414</v>
      </c>
      <c r="W793" t="n">
        <v>-0.19911</v>
      </c>
      <c r="X793" t="n">
        <v>0.50575</v>
      </c>
      <c r="Y793" t="n">
        <v>-0.74602</v>
      </c>
      <c r="Z793" t="n">
        <v>-1.089</v>
      </c>
    </row>
    <row r="794">
      <c r="A794" t="inlineStr">
        <is>
          <t>items</t>
        </is>
      </c>
      <c r="B794" t="n">
        <v>-0.2647</v>
      </c>
      <c r="C794" t="n">
        <v>-0.031965</v>
      </c>
      <c r="D794" t="n">
        <v>-0.11418</v>
      </c>
      <c r="E794" t="n">
        <v>-0.49115</v>
      </c>
      <c r="F794" t="n">
        <v>0.8787</v>
      </c>
      <c r="G794" t="n">
        <v>-0.44898</v>
      </c>
      <c r="H794" t="n">
        <v>0.34936</v>
      </c>
      <c r="I794" t="n">
        <v>-1.7815</v>
      </c>
      <c r="J794" t="n">
        <v>-0.25953</v>
      </c>
      <c r="K794" t="n">
        <v>-0.067481</v>
      </c>
      <c r="L794" t="n">
        <v>1.4254</v>
      </c>
      <c r="M794" t="n">
        <v>-0.34953</v>
      </c>
      <c r="N794" t="n">
        <v>-3.0412</v>
      </c>
      <c r="O794" t="n">
        <v>0.39189</v>
      </c>
      <c r="P794" t="n">
        <v>-0.87139</v>
      </c>
      <c r="Q794" t="n">
        <v>0.056158</v>
      </c>
      <c r="R794" t="n">
        <v>1.5044</v>
      </c>
      <c r="S794" t="n">
        <v>-0.74846</v>
      </c>
      <c r="T794" t="n">
        <v>0.41807</v>
      </c>
      <c r="U794" t="n">
        <v>0.14116</v>
      </c>
      <c r="V794" t="n">
        <v>-1.2761</v>
      </c>
      <c r="W794" t="n">
        <v>-1.7822</v>
      </c>
      <c r="X794" t="n">
        <v>-0.59353</v>
      </c>
      <c r="Y794" t="n">
        <v>0.44907</v>
      </c>
      <c r="Z794" t="n">
        <v>-0.7532799999999999</v>
      </c>
    </row>
    <row r="795">
      <c r="A795" t="inlineStr">
        <is>
          <t>options</t>
        </is>
      </c>
      <c r="B795" t="n">
        <v>0.35649</v>
      </c>
      <c r="C795" t="n">
        <v>0.60261</v>
      </c>
      <c r="D795" t="n">
        <v>-1.0475</v>
      </c>
      <c r="E795" t="n">
        <v>-0.18517</v>
      </c>
      <c r="F795" t="n">
        <v>0.95251</v>
      </c>
      <c r="G795" t="n">
        <v>0.53698</v>
      </c>
      <c r="H795" t="n">
        <v>0.38591</v>
      </c>
      <c r="I795" t="n">
        <v>-2.0183</v>
      </c>
      <c r="J795" t="n">
        <v>0.68292</v>
      </c>
      <c r="K795" t="n">
        <v>-0.13145</v>
      </c>
      <c r="L795" t="n">
        <v>0.35455</v>
      </c>
      <c r="M795" t="n">
        <v>-0.1239</v>
      </c>
      <c r="N795" t="n">
        <v>-2.9954</v>
      </c>
      <c r="O795" t="n">
        <v>0.35875</v>
      </c>
      <c r="P795" t="n">
        <v>0.52623</v>
      </c>
      <c r="Q795" t="n">
        <v>-0.43319</v>
      </c>
      <c r="R795" t="n">
        <v>0.23961</v>
      </c>
      <c r="S795" t="n">
        <v>-1.0339</v>
      </c>
      <c r="T795" t="n">
        <v>0.44555</v>
      </c>
      <c r="U795" t="n">
        <v>-0.39215</v>
      </c>
      <c r="V795" t="n">
        <v>-0.26739</v>
      </c>
      <c r="W795" t="n">
        <v>-1.1907</v>
      </c>
      <c r="X795" t="n">
        <v>-0.21508</v>
      </c>
      <c r="Y795" t="n">
        <v>0.20978</v>
      </c>
      <c r="Z795" t="n">
        <v>-1.2312</v>
      </c>
    </row>
    <row r="796">
      <c r="A796" t="inlineStr">
        <is>
          <t>touched</t>
        </is>
      </c>
      <c r="B796" t="n">
        <v>-1.1036</v>
      </c>
      <c r="C796" t="n">
        <v>-0.038622</v>
      </c>
      <c r="D796" t="n">
        <v>0.8992</v>
      </c>
      <c r="E796" t="n">
        <v>0.062365</v>
      </c>
      <c r="F796" t="n">
        <v>-0.47728</v>
      </c>
      <c r="G796" t="n">
        <v>-0.38392</v>
      </c>
      <c r="H796" t="n">
        <v>0.74352</v>
      </c>
      <c r="I796" t="n">
        <v>-0.77496</v>
      </c>
      <c r="J796" t="n">
        <v>-1.1334</v>
      </c>
      <c r="K796" t="n">
        <v>0.4313</v>
      </c>
      <c r="L796" t="n">
        <v>0.031742</v>
      </c>
      <c r="M796" t="n">
        <v>1.3584</v>
      </c>
      <c r="N796" t="n">
        <v>-2.7669</v>
      </c>
      <c r="O796" t="n">
        <v>0.038791</v>
      </c>
      <c r="P796" t="n">
        <v>-0.30824</v>
      </c>
      <c r="Q796" t="n">
        <v>0.19511</v>
      </c>
      <c r="R796" t="n">
        <v>0.8951</v>
      </c>
      <c r="S796" t="n">
        <v>0.48735</v>
      </c>
      <c r="T796" t="n">
        <v>0.18287</v>
      </c>
      <c r="U796" t="n">
        <v>-0.79299</v>
      </c>
      <c r="V796" t="n">
        <v>0.15468</v>
      </c>
      <c r="W796" t="n">
        <v>0.8156</v>
      </c>
      <c r="X796" t="n">
        <v>1.0562</v>
      </c>
      <c r="Y796" t="n">
        <v>-0.0030097</v>
      </c>
      <c r="Z796" t="n">
        <v>-0.8097800000000001</v>
      </c>
    </row>
    <row r="797">
      <c r="A797" t="inlineStr">
        <is>
          <t>frustrated</t>
        </is>
      </c>
      <c r="B797" t="n">
        <v>-0.10402</v>
      </c>
      <c r="C797" t="n">
        <v>-0.05381</v>
      </c>
      <c r="D797" t="n">
        <v>-0.32286</v>
      </c>
      <c r="E797" t="n">
        <v>-0.73982</v>
      </c>
      <c r="F797" t="n">
        <v>0.33343</v>
      </c>
      <c r="G797" t="n">
        <v>0.89622</v>
      </c>
      <c r="H797" t="n">
        <v>1.1953</v>
      </c>
      <c r="I797" t="n">
        <v>-0.88286</v>
      </c>
      <c r="J797" t="n">
        <v>-0.8928700000000001</v>
      </c>
      <c r="K797" t="n">
        <v>0.32232</v>
      </c>
      <c r="L797" t="n">
        <v>-1.4734</v>
      </c>
      <c r="M797" t="n">
        <v>1.0256</v>
      </c>
      <c r="N797" t="n">
        <v>-2.1538</v>
      </c>
      <c r="O797" t="n">
        <v>-0.34389</v>
      </c>
      <c r="P797" t="n">
        <v>0.80953</v>
      </c>
      <c r="Q797" t="n">
        <v>0.22164</v>
      </c>
      <c r="R797" t="n">
        <v>-0.029994</v>
      </c>
      <c r="S797" t="n">
        <v>-0.2751</v>
      </c>
      <c r="T797" t="n">
        <v>1.0816</v>
      </c>
      <c r="U797" t="n">
        <v>-1.9445</v>
      </c>
      <c r="V797" t="n">
        <v>0.86258</v>
      </c>
      <c r="W797" t="n">
        <v>0.70234</v>
      </c>
      <c r="X797" t="n">
        <v>0.34206</v>
      </c>
      <c r="Y797" t="n">
        <v>-0.69843</v>
      </c>
      <c r="Z797" t="n">
        <v>-0.65905</v>
      </c>
    </row>
    <row r="798">
      <c r="A798" t="inlineStr">
        <is>
          <t>forehead</t>
        </is>
      </c>
      <c r="B798" t="n">
        <v>-1.1309</v>
      </c>
      <c r="C798" t="n">
        <v>-1.0436</v>
      </c>
      <c r="D798" t="n">
        <v>0.34154</v>
      </c>
      <c r="E798" t="n">
        <v>1.3073</v>
      </c>
      <c r="F798" t="n">
        <v>0.37041</v>
      </c>
      <c r="G798" t="n">
        <v>-0.2838</v>
      </c>
      <c r="H798" t="n">
        <v>0.86847</v>
      </c>
      <c r="I798" t="n">
        <v>-0.90609</v>
      </c>
      <c r="J798" t="n">
        <v>-0.82564</v>
      </c>
      <c r="K798" t="n">
        <v>0.48252</v>
      </c>
      <c r="L798" t="n">
        <v>0.17428</v>
      </c>
      <c r="M798" t="n">
        <v>1.0875</v>
      </c>
      <c r="N798" t="n">
        <v>-2.3895</v>
      </c>
      <c r="O798" t="n">
        <v>-0.36635</v>
      </c>
      <c r="P798" t="n">
        <v>-0.5547</v>
      </c>
      <c r="Q798" t="n">
        <v>0.030954</v>
      </c>
      <c r="R798" t="n">
        <v>0.10699</v>
      </c>
      <c r="S798" t="n">
        <v>-0.6146200000000001</v>
      </c>
      <c r="T798" t="n">
        <v>-0.37561</v>
      </c>
      <c r="U798" t="n">
        <v>-0.31137</v>
      </c>
      <c r="V798" t="n">
        <v>0.11953</v>
      </c>
      <c r="W798" t="n">
        <v>1.5445</v>
      </c>
      <c r="X798" t="n">
        <v>1.9502</v>
      </c>
      <c r="Y798" t="n">
        <v>0.3649</v>
      </c>
      <c r="Z798" t="n">
        <v>-1.1558</v>
      </c>
    </row>
    <row r="799">
      <c r="A799" t="inlineStr">
        <is>
          <t>newcastle</t>
        </is>
      </c>
      <c r="B799" t="n">
        <v>-0.29047</v>
      </c>
      <c r="C799" t="n">
        <v>0.37071</v>
      </c>
      <c r="D799" t="n">
        <v>-0.3693</v>
      </c>
      <c r="E799" t="n">
        <v>-1.3456</v>
      </c>
      <c r="F799" t="n">
        <v>-2.1897</v>
      </c>
      <c r="G799" t="n">
        <v>0.15202</v>
      </c>
      <c r="H799" t="n">
        <v>-0.61741</v>
      </c>
      <c r="I799" t="n">
        <v>-0.18665</v>
      </c>
      <c r="J799" t="n">
        <v>-0.26215</v>
      </c>
      <c r="K799" t="n">
        <v>-0.55408</v>
      </c>
      <c r="L799" t="n">
        <v>0.65732</v>
      </c>
      <c r="M799" t="n">
        <v>0.21566</v>
      </c>
      <c r="N799" t="n">
        <v>-2.8873</v>
      </c>
      <c r="O799" t="n">
        <v>0.80239</v>
      </c>
      <c r="P799" t="n">
        <v>1.7305</v>
      </c>
      <c r="Q799" t="n">
        <v>-0.78481</v>
      </c>
      <c r="R799" t="n">
        <v>-0.29003</v>
      </c>
      <c r="S799" t="n">
        <v>-1.0021</v>
      </c>
      <c r="T799" t="n">
        <v>-0.6097399999999999</v>
      </c>
      <c r="U799" t="n">
        <v>-0.1662</v>
      </c>
      <c r="V799" t="n">
        <v>-1.1424</v>
      </c>
      <c r="W799" t="n">
        <v>0.40526</v>
      </c>
      <c r="X799" t="n">
        <v>-0.57729</v>
      </c>
      <c r="Y799" t="n">
        <v>-1.3744</v>
      </c>
      <c r="Z799" t="n">
        <v>-0.61425</v>
      </c>
    </row>
    <row r="800">
      <c r="A800" t="inlineStr">
        <is>
          <t>whip</t>
        </is>
      </c>
      <c r="B800" t="n">
        <v>-0.90212</v>
      </c>
      <c r="C800" t="n">
        <v>0.86798</v>
      </c>
      <c r="D800" t="n">
        <v>0.31813</v>
      </c>
      <c r="E800" t="n">
        <v>0.63919</v>
      </c>
      <c r="F800" t="n">
        <v>0.031384</v>
      </c>
      <c r="G800" t="n">
        <v>0.23316</v>
      </c>
      <c r="H800" t="n">
        <v>0.022016</v>
      </c>
      <c r="I800" t="n">
        <v>-1.2137</v>
      </c>
      <c r="J800" t="n">
        <v>0.58422</v>
      </c>
      <c r="K800" t="n">
        <v>0.19926</v>
      </c>
      <c r="L800" t="n">
        <v>0.11234</v>
      </c>
      <c r="M800" t="n">
        <v>0.35748</v>
      </c>
      <c r="N800" t="n">
        <v>-3.1849</v>
      </c>
      <c r="O800" t="n">
        <v>-0.96345</v>
      </c>
      <c r="P800" t="n">
        <v>-0.049402</v>
      </c>
      <c r="Q800" t="n">
        <v>0.063578</v>
      </c>
      <c r="R800" t="n">
        <v>1.1656</v>
      </c>
      <c r="S800" t="n">
        <v>-0.92119</v>
      </c>
      <c r="T800" t="n">
        <v>-0.023417</v>
      </c>
      <c r="U800" t="n">
        <v>0.26217</v>
      </c>
      <c r="V800" t="n">
        <v>0.16129</v>
      </c>
      <c r="W800" t="n">
        <v>0.52599</v>
      </c>
      <c r="X800" t="n">
        <v>1.5861</v>
      </c>
      <c r="Y800" t="n">
        <v>-0.089771</v>
      </c>
      <c r="Z800" t="n">
        <v>0.5857</v>
      </c>
    </row>
    <row r="801">
      <c r="A801" t="inlineStr">
        <is>
          <t>inches</t>
        </is>
      </c>
      <c r="B801" t="n">
        <v>-0.16182</v>
      </c>
      <c r="C801" t="n">
        <v>-0.88737</v>
      </c>
      <c r="D801" t="n">
        <v>0.4669</v>
      </c>
      <c r="E801" t="n">
        <v>0.03185</v>
      </c>
      <c r="F801" t="n">
        <v>-0.0038861</v>
      </c>
      <c r="G801" t="n">
        <v>1.2755</v>
      </c>
      <c r="H801" t="n">
        <v>-0.019708</v>
      </c>
      <c r="I801" t="n">
        <v>-1.5432</v>
      </c>
      <c r="J801" t="n">
        <v>-0.57343</v>
      </c>
      <c r="K801" t="n">
        <v>0.43401</v>
      </c>
      <c r="L801" t="n">
        <v>0.56634</v>
      </c>
      <c r="M801" t="n">
        <v>0.47004</v>
      </c>
      <c r="N801" t="n">
        <v>-2.603</v>
      </c>
      <c r="O801" t="n">
        <v>0.8698</v>
      </c>
      <c r="P801" t="n">
        <v>-0.40947</v>
      </c>
      <c r="Q801" t="n">
        <v>-0.95208</v>
      </c>
      <c r="R801" t="n">
        <v>0.57242</v>
      </c>
      <c r="S801" t="n">
        <v>-0.09261800000000001</v>
      </c>
      <c r="T801" t="n">
        <v>0.63751</v>
      </c>
      <c r="U801" t="n">
        <v>-0.42799</v>
      </c>
      <c r="V801" t="n">
        <v>-0.44523</v>
      </c>
      <c r="W801" t="n">
        <v>0.054308</v>
      </c>
      <c r="X801" t="n">
        <v>1.8475</v>
      </c>
      <c r="Y801" t="n">
        <v>0.53911</v>
      </c>
      <c r="Z801" t="n">
        <v>-1.0589</v>
      </c>
    </row>
    <row r="802">
      <c r="A802" t="inlineStr">
        <is>
          <t>creating</t>
        </is>
      </c>
      <c r="B802" t="n">
        <v>-0.066203</v>
      </c>
      <c r="C802" t="n">
        <v>0.66154</v>
      </c>
      <c r="D802" t="n">
        <v>-0.33876</v>
      </c>
      <c r="E802" t="n">
        <v>0.58151</v>
      </c>
      <c r="F802" t="n">
        <v>0.66361</v>
      </c>
      <c r="G802" t="n">
        <v>0.72462</v>
      </c>
      <c r="H802" t="n">
        <v>0.80137</v>
      </c>
      <c r="I802" t="n">
        <v>-1.6563</v>
      </c>
      <c r="J802" t="n">
        <v>0.18856</v>
      </c>
      <c r="K802" t="n">
        <v>-0.71211</v>
      </c>
      <c r="L802" t="n">
        <v>-0.31919</v>
      </c>
      <c r="M802" t="n">
        <v>0.47535</v>
      </c>
      <c r="N802" t="n">
        <v>-3.3377</v>
      </c>
      <c r="O802" t="n">
        <v>-0.072355</v>
      </c>
      <c r="P802" t="n">
        <v>0.22089</v>
      </c>
      <c r="Q802" t="n">
        <v>0.29902</v>
      </c>
      <c r="R802" t="n">
        <v>-0.50222</v>
      </c>
      <c r="S802" t="n">
        <v>0.66547</v>
      </c>
      <c r="T802" t="n">
        <v>0.95292</v>
      </c>
      <c r="U802" t="n">
        <v>-0.64027</v>
      </c>
      <c r="V802" t="n">
        <v>-0.80437</v>
      </c>
      <c r="W802" t="n">
        <v>-1.0779</v>
      </c>
      <c r="X802" t="n">
        <v>-1.5397</v>
      </c>
      <c r="Y802" t="n">
        <v>-0.46645</v>
      </c>
      <c r="Z802" t="n">
        <v>-0.97246</v>
      </c>
    </row>
    <row r="803">
      <c r="A803" t="inlineStr">
        <is>
          <t>backwards</t>
        </is>
      </c>
      <c r="B803" t="n">
        <v>0.52186</v>
      </c>
      <c r="C803" t="n">
        <v>-1.0596</v>
      </c>
      <c r="D803" t="n">
        <v>0.62441</v>
      </c>
      <c r="E803" t="n">
        <v>0.50598</v>
      </c>
      <c r="F803" t="n">
        <v>-0.24809</v>
      </c>
      <c r="G803" t="n">
        <v>0.38164</v>
      </c>
      <c r="H803" t="n">
        <v>0.38432</v>
      </c>
      <c r="I803" t="n">
        <v>-1.8284</v>
      </c>
      <c r="J803" t="n">
        <v>-0.35771</v>
      </c>
      <c r="K803" t="n">
        <v>0.55165</v>
      </c>
      <c r="L803" t="n">
        <v>-0.11746</v>
      </c>
      <c r="M803" t="n">
        <v>1.1923</v>
      </c>
      <c r="N803" t="n">
        <v>-2.4877</v>
      </c>
      <c r="O803" t="n">
        <v>-0.63813</v>
      </c>
      <c r="P803" t="n">
        <v>-0.13998</v>
      </c>
      <c r="Q803" t="n">
        <v>0.94523</v>
      </c>
      <c r="R803" t="n">
        <v>0.17702</v>
      </c>
      <c r="S803" t="n">
        <v>-0.05115</v>
      </c>
      <c r="T803" t="n">
        <v>0.46096</v>
      </c>
      <c r="U803" t="n">
        <v>-0.1613</v>
      </c>
      <c r="V803" t="n">
        <v>0.17172</v>
      </c>
      <c r="W803" t="n">
        <v>0.48327</v>
      </c>
      <c r="X803" t="n">
        <v>0.81815</v>
      </c>
      <c r="Y803" t="n">
        <v>-0.28774</v>
      </c>
      <c r="Z803" t="n">
        <v>0.31096</v>
      </c>
    </row>
    <row r="804">
      <c r="A804" t="inlineStr">
        <is>
          <t>featured</t>
        </is>
      </c>
      <c r="B804" t="n">
        <v>-0.64</v>
      </c>
      <c r="C804" t="n">
        <v>0.45195</v>
      </c>
      <c r="D804" t="n">
        <v>0.43863</v>
      </c>
      <c r="E804" t="n">
        <v>-0.88061</v>
      </c>
      <c r="F804" t="n">
        <v>1.0246</v>
      </c>
      <c r="G804" t="n">
        <v>-0.68976</v>
      </c>
      <c r="H804" t="n">
        <v>0.53905</v>
      </c>
      <c r="I804" t="n">
        <v>-0.68836</v>
      </c>
      <c r="J804" t="n">
        <v>0.17722</v>
      </c>
      <c r="K804" t="n">
        <v>-1.4377</v>
      </c>
      <c r="L804" t="n">
        <v>0.46267</v>
      </c>
      <c r="M804" t="n">
        <v>1.0749</v>
      </c>
      <c r="N804" t="n">
        <v>-2.914</v>
      </c>
      <c r="O804" t="n">
        <v>-0.1717</v>
      </c>
      <c r="P804" t="n">
        <v>-0.59473</v>
      </c>
      <c r="Q804" t="n">
        <v>-0.236</v>
      </c>
      <c r="R804" t="n">
        <v>0.71144</v>
      </c>
      <c r="S804" t="n">
        <v>0.16506</v>
      </c>
      <c r="T804" t="n">
        <v>-0.12905</v>
      </c>
      <c r="U804" t="n">
        <v>0.054776</v>
      </c>
      <c r="V804" t="n">
        <v>-0.72399</v>
      </c>
      <c r="W804" t="n">
        <v>-1.4078</v>
      </c>
      <c r="X804" t="n">
        <v>-0.89757</v>
      </c>
      <c r="Y804" t="n">
        <v>-0.78391</v>
      </c>
      <c r="Z804" t="n">
        <v>-0.13802</v>
      </c>
    </row>
    <row r="805">
      <c r="A805" t="inlineStr">
        <is>
          <t>clever</t>
        </is>
      </c>
      <c r="B805" t="n">
        <v>0.0173</v>
      </c>
      <c r="C805" t="n">
        <v>-0.37622</v>
      </c>
      <c r="D805" t="n">
        <v>-0.46408</v>
      </c>
      <c r="E805" t="n">
        <v>-0.05867</v>
      </c>
      <c r="F805" t="n">
        <v>1.0418</v>
      </c>
      <c r="G805" t="n">
        <v>0.74463</v>
      </c>
      <c r="H805" t="n">
        <v>1.1817</v>
      </c>
      <c r="I805" t="n">
        <v>-1.1197</v>
      </c>
      <c r="J805" t="n">
        <v>-0.18348</v>
      </c>
      <c r="K805" t="n">
        <v>-0.81245</v>
      </c>
      <c r="L805" t="n">
        <v>-0.64415</v>
      </c>
      <c r="M805" t="n">
        <v>0.85598</v>
      </c>
      <c r="N805" t="n">
        <v>-2.5387</v>
      </c>
      <c r="O805" t="n">
        <v>-0.69174</v>
      </c>
      <c r="P805" t="n">
        <v>0.33678</v>
      </c>
      <c r="Q805" t="n">
        <v>0.15358</v>
      </c>
      <c r="R805" t="n">
        <v>1.0629</v>
      </c>
      <c r="S805" t="n">
        <v>-0.20691</v>
      </c>
      <c r="T805" t="n">
        <v>0.37489</v>
      </c>
      <c r="U805" t="n">
        <v>-0.18244</v>
      </c>
      <c r="V805" t="n">
        <v>0.94191</v>
      </c>
      <c r="W805" t="n">
        <v>0.4399</v>
      </c>
      <c r="X805" t="n">
        <v>-0.95661</v>
      </c>
      <c r="Y805" t="n">
        <v>0.16522</v>
      </c>
      <c r="Z805" t="n">
        <v>-0.97543</v>
      </c>
    </row>
    <row r="806">
      <c r="A806" t="inlineStr">
        <is>
          <t>bounce</t>
        </is>
      </c>
      <c r="B806" t="n">
        <v>-0.74332</v>
      </c>
      <c r="C806" t="n">
        <v>0.67234</v>
      </c>
      <c r="D806" t="n">
        <v>-0.21397</v>
      </c>
      <c r="E806" t="n">
        <v>0.31867</v>
      </c>
      <c r="F806" t="n">
        <v>0.061633</v>
      </c>
      <c r="G806" t="n">
        <v>0.50424</v>
      </c>
      <c r="H806" t="n">
        <v>0.57353</v>
      </c>
      <c r="I806" t="n">
        <v>-0.6749000000000001</v>
      </c>
      <c r="J806" t="n">
        <v>0.48518</v>
      </c>
      <c r="K806" t="n">
        <v>-0.34498</v>
      </c>
      <c r="L806" t="n">
        <v>-0.27462</v>
      </c>
      <c r="M806" t="n">
        <v>1.1856</v>
      </c>
      <c r="N806" t="n">
        <v>-2.3342</v>
      </c>
      <c r="O806" t="n">
        <v>-0.026637</v>
      </c>
      <c r="P806" t="n">
        <v>-0.1867</v>
      </c>
      <c r="Q806" t="n">
        <v>0.2421</v>
      </c>
      <c r="R806" t="n">
        <v>-0.027276</v>
      </c>
      <c r="S806" t="n">
        <v>-0.81902</v>
      </c>
      <c r="T806" t="n">
        <v>0.22961</v>
      </c>
      <c r="U806" t="n">
        <v>-0.046898</v>
      </c>
      <c r="V806" t="n">
        <v>-0.21498</v>
      </c>
      <c r="W806" t="n">
        <v>0.44934</v>
      </c>
      <c r="X806" t="n">
        <v>1.9066</v>
      </c>
      <c r="Y806" t="n">
        <v>-0.12399</v>
      </c>
      <c r="Z806" t="n">
        <v>0.60964</v>
      </c>
    </row>
    <row r="807">
      <c r="A807" t="inlineStr">
        <is>
          <t>coldplay</t>
        </is>
      </c>
      <c r="B807" t="n">
        <v>-0.18774</v>
      </c>
      <c r="C807" t="n">
        <v>-0.43569</v>
      </c>
      <c r="D807" t="n">
        <v>1.0776</v>
      </c>
      <c r="E807" t="n">
        <v>0.60122</v>
      </c>
      <c r="F807" t="n">
        <v>-0.8979200000000001</v>
      </c>
      <c r="G807" t="n">
        <v>-0.14638</v>
      </c>
      <c r="H807" t="n">
        <v>1.1795</v>
      </c>
      <c r="I807" t="n">
        <v>0.754</v>
      </c>
      <c r="J807" t="n">
        <v>-0.19771</v>
      </c>
      <c r="K807" t="n">
        <v>-1.4914</v>
      </c>
      <c r="L807" t="n">
        <v>0.56366</v>
      </c>
      <c r="M807" t="n">
        <v>-0.19075</v>
      </c>
      <c r="N807" t="n">
        <v>-1.9746</v>
      </c>
      <c r="O807" t="n">
        <v>-0.63884</v>
      </c>
      <c r="P807" t="n">
        <v>-0.036287</v>
      </c>
      <c r="Q807" t="n">
        <v>1.0329</v>
      </c>
      <c r="R807" t="n">
        <v>-0.81634</v>
      </c>
      <c r="S807" t="n">
        <v>0.23806</v>
      </c>
      <c r="T807" t="n">
        <v>0.42162</v>
      </c>
      <c r="U807" t="n">
        <v>0.30699</v>
      </c>
      <c r="V807" t="n">
        <v>-1.0997</v>
      </c>
      <c r="W807" t="n">
        <v>0.24338</v>
      </c>
      <c r="X807" t="n">
        <v>-0.48903</v>
      </c>
      <c r="Y807" t="n">
        <v>-0.60045</v>
      </c>
      <c r="Z807" t="n">
        <v>0.84921</v>
      </c>
    </row>
    <row r="808">
      <c r="A808" t="inlineStr">
        <is>
          <t>fishing</t>
        </is>
      </c>
      <c r="B808" t="n">
        <v>-1.265</v>
      </c>
      <c r="C808" t="n">
        <v>0.74403</v>
      </c>
      <c r="D808" t="n">
        <v>-0.1265</v>
      </c>
      <c r="E808" t="n">
        <v>-0.19104</v>
      </c>
      <c r="F808" t="n">
        <v>0.15728</v>
      </c>
      <c r="G808" t="n">
        <v>0.43841</v>
      </c>
      <c r="H808" t="n">
        <v>1.023</v>
      </c>
      <c r="I808" t="n">
        <v>-1.1488</v>
      </c>
      <c r="J808" t="n">
        <v>1.1504</v>
      </c>
      <c r="K808" t="n">
        <v>-0.16069</v>
      </c>
      <c r="L808" t="n">
        <v>0.35217</v>
      </c>
      <c r="M808" t="n">
        <v>-0.066555</v>
      </c>
      <c r="N808" t="n">
        <v>-2.4049</v>
      </c>
      <c r="O808" t="n">
        <v>-0.11253</v>
      </c>
      <c r="P808" t="n">
        <v>0.70186</v>
      </c>
      <c r="Q808" t="n">
        <v>0.25448</v>
      </c>
      <c r="R808" t="n">
        <v>0.57238</v>
      </c>
      <c r="S808" t="n">
        <v>-0.93063</v>
      </c>
      <c r="T808" t="n">
        <v>0.83897</v>
      </c>
      <c r="U808" t="n">
        <v>0.3507</v>
      </c>
      <c r="V808" t="n">
        <v>-0.7578</v>
      </c>
      <c r="W808" t="n">
        <v>-0.17338</v>
      </c>
      <c r="X808" t="n">
        <v>0.74385</v>
      </c>
      <c r="Y808" t="n">
        <v>-1.0497</v>
      </c>
      <c r="Z808" t="n">
        <v>1.0616</v>
      </c>
    </row>
    <row r="809">
      <c r="A809" t="inlineStr">
        <is>
          <t>playstation</t>
        </is>
      </c>
      <c r="B809" t="n">
        <v>0.74908</v>
      </c>
      <c r="C809" t="n">
        <v>0.023667</v>
      </c>
      <c r="D809" t="n">
        <v>0.55581</v>
      </c>
      <c r="E809" t="n">
        <v>-0.76959</v>
      </c>
      <c r="F809" t="n">
        <v>0.78784</v>
      </c>
      <c r="G809" t="n">
        <v>-0.020041</v>
      </c>
      <c r="H809" t="n">
        <v>-0.24661</v>
      </c>
      <c r="I809" t="n">
        <v>0.07792200000000001</v>
      </c>
      <c r="J809" t="n">
        <v>0.7486699999999999</v>
      </c>
      <c r="K809" t="n">
        <v>-0.73087</v>
      </c>
      <c r="L809" t="n">
        <v>0.98169</v>
      </c>
      <c r="M809" t="n">
        <v>0.06712700000000001</v>
      </c>
      <c r="N809" t="n">
        <v>-2.015</v>
      </c>
      <c r="O809" t="n">
        <v>-0.39718</v>
      </c>
      <c r="P809" t="n">
        <v>-0.48946</v>
      </c>
      <c r="Q809" t="n">
        <v>0.22462</v>
      </c>
      <c r="R809" t="n">
        <v>-0.16002</v>
      </c>
      <c r="S809" t="n">
        <v>0.38765</v>
      </c>
      <c r="T809" t="n">
        <v>0.17473</v>
      </c>
      <c r="U809" t="n">
        <v>0.77734</v>
      </c>
      <c r="V809" t="n">
        <v>-1.4846</v>
      </c>
      <c r="W809" t="n">
        <v>-1.08</v>
      </c>
      <c r="X809" t="n">
        <v>0.55286</v>
      </c>
      <c r="Y809" t="n">
        <v>-0.5491</v>
      </c>
      <c r="Z809" t="n">
        <v>-0.15149</v>
      </c>
    </row>
    <row r="810">
      <c r="A810" t="inlineStr">
        <is>
          <t>historias</t>
        </is>
      </c>
      <c r="B810" t="n">
        <v>1.9013</v>
      </c>
      <c r="C810" t="n">
        <v>-1.358</v>
      </c>
      <c r="D810" t="n">
        <v>1.1954</v>
      </c>
      <c r="E810" t="n">
        <v>0.99876</v>
      </c>
      <c r="F810" t="n">
        <v>0.07613200000000001</v>
      </c>
      <c r="G810" t="n">
        <v>0.76647</v>
      </c>
      <c r="H810" t="n">
        <v>-0.63823</v>
      </c>
      <c r="I810" t="n">
        <v>1.345</v>
      </c>
      <c r="J810" t="n">
        <v>-1.3102</v>
      </c>
      <c r="K810" t="n">
        <v>-2.3211</v>
      </c>
      <c r="L810" t="n">
        <v>0.10459</v>
      </c>
      <c r="M810" t="n">
        <v>-1.3234</v>
      </c>
      <c r="N810" t="n">
        <v>-0.29417</v>
      </c>
      <c r="O810" t="n">
        <v>0.80588</v>
      </c>
      <c r="P810" t="n">
        <v>0.55422</v>
      </c>
      <c r="Q810" t="n">
        <v>0.17578</v>
      </c>
      <c r="R810" t="n">
        <v>0.48946</v>
      </c>
      <c r="S810" t="n">
        <v>1.1633</v>
      </c>
      <c r="T810" t="n">
        <v>0.45319</v>
      </c>
      <c r="U810" t="n">
        <v>0.33019</v>
      </c>
      <c r="V810" t="n">
        <v>0.17433</v>
      </c>
      <c r="W810" t="n">
        <v>-1.2737</v>
      </c>
      <c r="X810" t="n">
        <v>-1.0693</v>
      </c>
      <c r="Y810" t="n">
        <v>0.4269</v>
      </c>
      <c r="Z810" t="n">
        <v>0.44117</v>
      </c>
    </row>
    <row r="811">
      <c r="A811" t="inlineStr">
        <is>
          <t>wilson</t>
        </is>
      </c>
      <c r="B811" t="n">
        <v>-0.61534</v>
      </c>
      <c r="C811" t="n">
        <v>0.14256</v>
      </c>
      <c r="D811" t="n">
        <v>0.82552</v>
      </c>
      <c r="E811" t="n">
        <v>-0.32817</v>
      </c>
      <c r="F811" t="n">
        <v>-0.6485</v>
      </c>
      <c r="G811" t="n">
        <v>-0.13663</v>
      </c>
      <c r="H811" t="n">
        <v>-0.51598</v>
      </c>
      <c r="I811" t="n">
        <v>0.32233</v>
      </c>
      <c r="J811" t="n">
        <v>0.33519</v>
      </c>
      <c r="K811" t="n">
        <v>-1.8241</v>
      </c>
      <c r="L811" t="n">
        <v>0.47931</v>
      </c>
      <c r="M811" t="n">
        <v>0.71375</v>
      </c>
      <c r="N811" t="n">
        <v>-3.0696</v>
      </c>
      <c r="O811" t="n">
        <v>-0.45071</v>
      </c>
      <c r="P811" t="n">
        <v>1.4932</v>
      </c>
      <c r="Q811" t="n">
        <v>-1.0942</v>
      </c>
      <c r="R811" t="n">
        <v>-0.62551</v>
      </c>
      <c r="S811" t="n">
        <v>-0.168</v>
      </c>
      <c r="T811" t="n">
        <v>0.01419</v>
      </c>
      <c r="U811" t="n">
        <v>0.26645</v>
      </c>
      <c r="V811" t="n">
        <v>0.34661</v>
      </c>
      <c r="W811" t="n">
        <v>0.74553</v>
      </c>
      <c r="X811" t="n">
        <v>-0.0057573</v>
      </c>
      <c r="Y811" t="n">
        <v>-0.32074</v>
      </c>
      <c r="Z811" t="n">
        <v>-0.6890500000000001</v>
      </c>
    </row>
    <row r="812">
      <c r="A812" t="inlineStr">
        <is>
          <t>fifth</t>
        </is>
      </c>
      <c r="B812" t="n">
        <v>0.055515</v>
      </c>
      <c r="C812" t="n">
        <v>0.47982</v>
      </c>
      <c r="D812" t="n">
        <v>0.92104</v>
      </c>
      <c r="E812" t="n">
        <v>-0.21499</v>
      </c>
      <c r="F812" t="n">
        <v>-0.15786</v>
      </c>
      <c r="G812" t="n">
        <v>-0.85463</v>
      </c>
      <c r="H812" t="n">
        <v>0.65557</v>
      </c>
      <c r="I812" t="n">
        <v>-0.12667</v>
      </c>
      <c r="J812" t="n">
        <v>-0.12625</v>
      </c>
      <c r="K812" t="n">
        <v>-1.7112</v>
      </c>
      <c r="L812" t="n">
        <v>-0.39042</v>
      </c>
      <c r="M812" t="n">
        <v>-0.3104</v>
      </c>
      <c r="N812" t="n">
        <v>-2.8312</v>
      </c>
      <c r="O812" t="n">
        <v>0.72649</v>
      </c>
      <c r="P812" t="n">
        <v>-0.44146</v>
      </c>
      <c r="Q812" t="n">
        <v>-0.42544</v>
      </c>
      <c r="R812" t="n">
        <v>-0.46285</v>
      </c>
      <c r="S812" t="n">
        <v>0.084467</v>
      </c>
      <c r="T812" t="n">
        <v>0.08358500000000001</v>
      </c>
      <c r="U812" t="n">
        <v>0.24746</v>
      </c>
      <c r="V812" t="n">
        <v>-1.1734</v>
      </c>
      <c r="W812" t="n">
        <v>0.69143</v>
      </c>
      <c r="X812" t="n">
        <v>0.36952</v>
      </c>
      <c r="Y812" t="n">
        <v>-0.35053</v>
      </c>
      <c r="Z812" t="n">
        <v>-0.41971</v>
      </c>
    </row>
    <row r="813">
      <c r="A813" t="inlineStr">
        <is>
          <t>physics</t>
        </is>
      </c>
      <c r="B813" t="n">
        <v>1.4935</v>
      </c>
      <c r="C813" t="n">
        <v>0.44228</v>
      </c>
      <c r="D813" t="n">
        <v>0.48654</v>
      </c>
      <c r="E813" t="n">
        <v>-0.44536</v>
      </c>
      <c r="F813" t="n">
        <v>0.5099399999999999</v>
      </c>
      <c r="G813" t="n">
        <v>-0.46115</v>
      </c>
      <c r="H813" t="n">
        <v>1.6229</v>
      </c>
      <c r="I813" t="n">
        <v>-1.3646</v>
      </c>
      <c r="J813" t="n">
        <v>1.206</v>
      </c>
      <c r="K813" t="n">
        <v>0.22601</v>
      </c>
      <c r="L813" t="n">
        <v>-1.2854</v>
      </c>
      <c r="M813" t="n">
        <v>0.019358</v>
      </c>
      <c r="N813" t="n">
        <v>-2.4566</v>
      </c>
      <c r="O813" t="n">
        <v>0.09400699999999999</v>
      </c>
      <c r="P813" t="n">
        <v>1.8988</v>
      </c>
      <c r="Q813" t="n">
        <v>-0.22355</v>
      </c>
      <c r="R813" t="n">
        <v>0.78471</v>
      </c>
      <c r="S813" t="n">
        <v>0.58585</v>
      </c>
      <c r="T813" t="n">
        <v>0.13607</v>
      </c>
      <c r="U813" t="n">
        <v>-0.22157</v>
      </c>
      <c r="V813" t="n">
        <v>-0.7172500000000001</v>
      </c>
      <c r="W813" t="n">
        <v>0.18248</v>
      </c>
      <c r="X813" t="n">
        <v>-0.57719</v>
      </c>
      <c r="Y813" t="n">
        <v>0.70767</v>
      </c>
      <c r="Z813" t="n">
        <v>-0.39477</v>
      </c>
    </row>
    <row r="814">
      <c r="A814" t="inlineStr">
        <is>
          <t>hint</t>
        </is>
      </c>
      <c r="B814" t="n">
        <v>0.24976</v>
      </c>
      <c r="C814" t="n">
        <v>-0.0069699</v>
      </c>
      <c r="D814" t="n">
        <v>-0.21957</v>
      </c>
      <c r="E814" t="n">
        <v>0.54826</v>
      </c>
      <c r="F814" t="n">
        <v>0.046099</v>
      </c>
      <c r="G814" t="n">
        <v>-0.29521</v>
      </c>
      <c r="H814" t="n">
        <v>0.76881</v>
      </c>
      <c r="I814" t="n">
        <v>-1.0941</v>
      </c>
      <c r="J814" t="n">
        <v>-0.56049</v>
      </c>
      <c r="K814" t="n">
        <v>0.25441</v>
      </c>
      <c r="L814" t="n">
        <v>-0.059849</v>
      </c>
      <c r="M814" t="n">
        <v>0.61387</v>
      </c>
      <c r="N814" t="n">
        <v>-2.0432</v>
      </c>
      <c r="O814" t="n">
        <v>-0.45757</v>
      </c>
      <c r="P814" t="n">
        <v>-0.19982</v>
      </c>
      <c r="Q814" t="n">
        <v>0.18481</v>
      </c>
      <c r="R814" t="n">
        <v>1.0452</v>
      </c>
      <c r="S814" t="n">
        <v>-0.50287</v>
      </c>
      <c r="T814" t="n">
        <v>-0.59556</v>
      </c>
      <c r="U814" t="n">
        <v>-0.15886</v>
      </c>
      <c r="V814" t="n">
        <v>0.30896</v>
      </c>
      <c r="W814" t="n">
        <v>-0.11635</v>
      </c>
      <c r="X814" t="n">
        <v>-0.33307</v>
      </c>
      <c r="Y814" t="n">
        <v>0.28893</v>
      </c>
      <c r="Z814" t="n">
        <v>-0.36838</v>
      </c>
    </row>
    <row r="815">
      <c r="A815" t="inlineStr">
        <is>
          <t>tribute</t>
        </is>
      </c>
      <c r="B815" t="n">
        <v>-0.88944</v>
      </c>
      <c r="C815" t="n">
        <v>0.44293</v>
      </c>
      <c r="D815" t="n">
        <v>0.47771</v>
      </c>
      <c r="E815" t="n">
        <v>0.37076</v>
      </c>
      <c r="F815" t="n">
        <v>0.22655</v>
      </c>
      <c r="G815" t="n">
        <v>-1.1853</v>
      </c>
      <c r="H815" t="n">
        <v>0.84809</v>
      </c>
      <c r="I815" t="n">
        <v>0.24077</v>
      </c>
      <c r="J815" t="n">
        <v>-0.00023888</v>
      </c>
      <c r="K815" t="n">
        <v>-1.5714</v>
      </c>
      <c r="L815" t="n">
        <v>0.49716</v>
      </c>
      <c r="M815" t="n">
        <v>1.1177</v>
      </c>
      <c r="N815" t="n">
        <v>-2.6124</v>
      </c>
      <c r="O815" t="n">
        <v>0.71544</v>
      </c>
      <c r="P815" t="n">
        <v>-0.17141</v>
      </c>
      <c r="Q815" t="n">
        <v>-0.13173</v>
      </c>
      <c r="R815" t="n">
        <v>-0.095334</v>
      </c>
      <c r="S815" t="n">
        <v>0.28669</v>
      </c>
      <c r="T815" t="n">
        <v>-0.26036</v>
      </c>
      <c r="U815" t="n">
        <v>0.12722</v>
      </c>
      <c r="V815" t="n">
        <v>-0.63432</v>
      </c>
      <c r="W815" t="n">
        <v>0.39271</v>
      </c>
      <c r="X815" t="n">
        <v>-0.97026</v>
      </c>
      <c r="Y815" t="n">
        <v>-1.1642</v>
      </c>
      <c r="Z815" t="n">
        <v>0.43069</v>
      </c>
    </row>
    <row r="816">
      <c r="A816" t="inlineStr">
        <is>
          <t>awareness</t>
        </is>
      </c>
      <c r="B816" t="n">
        <v>-1.2971</v>
      </c>
      <c r="C816" t="n">
        <v>0.85265</v>
      </c>
      <c r="D816" t="n">
        <v>-2.3364</v>
      </c>
      <c r="E816" t="n">
        <v>0.59536</v>
      </c>
      <c r="F816" t="n">
        <v>1.4854</v>
      </c>
      <c r="G816" t="n">
        <v>-1.2542</v>
      </c>
      <c r="H816" t="n">
        <v>0.9256799999999999</v>
      </c>
      <c r="I816" t="n">
        <v>-1.2279</v>
      </c>
      <c r="J816" t="n">
        <v>-0.19402</v>
      </c>
      <c r="K816" t="n">
        <v>0.59556</v>
      </c>
      <c r="L816" t="n">
        <v>0.69655</v>
      </c>
      <c r="M816" t="n">
        <v>0.26489</v>
      </c>
      <c r="N816" t="n">
        <v>-2.4939</v>
      </c>
      <c r="O816" t="n">
        <v>0.81745</v>
      </c>
      <c r="P816" t="n">
        <v>0.11335</v>
      </c>
      <c r="Q816" t="n">
        <v>0.31361</v>
      </c>
      <c r="R816" t="n">
        <v>-0.46056</v>
      </c>
      <c r="S816" t="n">
        <v>0.060115</v>
      </c>
      <c r="T816" t="n">
        <v>0.63946</v>
      </c>
      <c r="U816" t="n">
        <v>-0.30333</v>
      </c>
      <c r="V816" t="n">
        <v>-1.2284</v>
      </c>
      <c r="W816" t="n">
        <v>0.20333</v>
      </c>
      <c r="X816" t="n">
        <v>-0.46845</v>
      </c>
      <c r="Y816" t="n">
        <v>-0.35924</v>
      </c>
      <c r="Z816" t="n">
        <v>0.2384</v>
      </c>
    </row>
    <row r="817">
      <c r="A817" t="inlineStr">
        <is>
          <t>officer</t>
        </is>
      </c>
      <c r="B817" t="n">
        <v>-0.66675</v>
      </c>
      <c r="C817" t="n">
        <v>1.1737</v>
      </c>
      <c r="D817" t="n">
        <v>-0.34127</v>
      </c>
      <c r="E817" t="n">
        <v>-0.38005</v>
      </c>
      <c r="F817" t="n">
        <v>0.8794999999999999</v>
      </c>
      <c r="G817" t="n">
        <v>-1.3296</v>
      </c>
      <c r="H817" t="n">
        <v>-0.17629</v>
      </c>
      <c r="I817" t="n">
        <v>-0.26972</v>
      </c>
      <c r="J817" t="n">
        <v>1.2481</v>
      </c>
      <c r="K817" t="n">
        <v>0.38446</v>
      </c>
      <c r="L817" t="n">
        <v>0.48793</v>
      </c>
      <c r="M817" t="n">
        <v>0.64018</v>
      </c>
      <c r="N817" t="n">
        <v>-2.9819</v>
      </c>
      <c r="O817" t="n">
        <v>0.34251</v>
      </c>
      <c r="P817" t="n">
        <v>1.5763</v>
      </c>
      <c r="Q817" t="n">
        <v>-0.4629</v>
      </c>
      <c r="R817" t="n">
        <v>0.7424500000000001</v>
      </c>
      <c r="S817" t="n">
        <v>0.33615</v>
      </c>
      <c r="T817" t="n">
        <v>0.077704</v>
      </c>
      <c r="U817" t="n">
        <v>-0.70139</v>
      </c>
      <c r="V817" t="n">
        <v>1.3456</v>
      </c>
      <c r="W817" t="n">
        <v>-0.13604</v>
      </c>
      <c r="X817" t="n">
        <v>-0.45938</v>
      </c>
      <c r="Y817" t="n">
        <v>-1.7978</v>
      </c>
      <c r="Z817" t="n">
        <v>-0.6607499999999999</v>
      </c>
    </row>
    <row r="818">
      <c r="A818" t="inlineStr">
        <is>
          <t>nthe</t>
        </is>
      </c>
      <c r="B818" t="n">
        <v>0.19379</v>
      </c>
      <c r="C818" t="n">
        <v>0.13416</v>
      </c>
      <c r="D818" t="n">
        <v>0.166</v>
      </c>
      <c r="E818" t="n">
        <v>0.060915</v>
      </c>
      <c r="F818" t="n">
        <v>-0.52664</v>
      </c>
      <c r="G818" t="n">
        <v>-0.6357699999999999</v>
      </c>
      <c r="H818" t="n">
        <v>1.7208</v>
      </c>
      <c r="I818" t="n">
        <v>-0.48761</v>
      </c>
      <c r="J818" t="n">
        <v>-0.26146</v>
      </c>
      <c r="K818" t="n">
        <v>-0.6208900000000001</v>
      </c>
      <c r="L818" t="n">
        <v>-0.63325</v>
      </c>
      <c r="M818" t="n">
        <v>0.56121</v>
      </c>
      <c r="N818" t="n">
        <v>-2.5398</v>
      </c>
      <c r="O818" t="n">
        <v>1.0865</v>
      </c>
      <c r="P818" t="n">
        <v>-0.91462</v>
      </c>
      <c r="Q818" t="n">
        <v>-0.40542</v>
      </c>
      <c r="R818" t="n">
        <v>0.16735</v>
      </c>
      <c r="S818" t="n">
        <v>0.38062</v>
      </c>
      <c r="T818" t="n">
        <v>0.7321299999999999</v>
      </c>
      <c r="U818" t="n">
        <v>0.25583</v>
      </c>
      <c r="V818" t="n">
        <v>-0.10089</v>
      </c>
      <c r="W818" t="n">
        <v>-0.42196</v>
      </c>
      <c r="X818" t="n">
        <v>0.42824</v>
      </c>
      <c r="Y818" t="n">
        <v>-0.06805700000000001</v>
      </c>
      <c r="Z818" t="n">
        <v>-0.29393</v>
      </c>
    </row>
    <row r="819">
      <c r="A819" t="inlineStr">
        <is>
          <t>graphic</t>
        </is>
      </c>
      <c r="B819" t="n">
        <v>0.15466</v>
      </c>
      <c r="C819" t="n">
        <v>-0.59635</v>
      </c>
      <c r="D819" t="n">
        <v>-0.12031</v>
      </c>
      <c r="E819" t="n">
        <v>-1.0403</v>
      </c>
      <c r="F819" t="n">
        <v>1.7279</v>
      </c>
      <c r="G819" t="n">
        <v>-0.32351</v>
      </c>
      <c r="H819" t="n">
        <v>0.5001100000000001</v>
      </c>
      <c r="I819" t="n">
        <v>-0.7549</v>
      </c>
      <c r="J819" t="n">
        <v>1.0901</v>
      </c>
      <c r="K819" t="n">
        <v>-0.97773</v>
      </c>
      <c r="L819" t="n">
        <v>0.026332</v>
      </c>
      <c r="M819" t="n">
        <v>0.85747</v>
      </c>
      <c r="N819" t="n">
        <v>-2.6452</v>
      </c>
      <c r="O819" t="n">
        <v>-0.43036</v>
      </c>
      <c r="P819" t="n">
        <v>-0.17867</v>
      </c>
      <c r="Q819" t="n">
        <v>-0.046798</v>
      </c>
      <c r="R819" t="n">
        <v>0.64096</v>
      </c>
      <c r="S819" t="n">
        <v>0.092457</v>
      </c>
      <c r="T819" t="n">
        <v>0.20392</v>
      </c>
      <c r="U819" t="n">
        <v>0.32132</v>
      </c>
      <c r="V819" t="n">
        <v>-0.6025</v>
      </c>
      <c r="W819" t="n">
        <v>-1.11</v>
      </c>
      <c r="X819" t="n">
        <v>-0.76637</v>
      </c>
      <c r="Y819" t="n">
        <v>-0.61416</v>
      </c>
      <c r="Z819" t="n">
        <v>-1.0793</v>
      </c>
    </row>
    <row r="820">
      <c r="A820" t="inlineStr">
        <is>
          <t>wrestling</t>
        </is>
      </c>
      <c r="B820" t="n">
        <v>-0.19677</v>
      </c>
      <c r="C820" t="n">
        <v>0.37647</v>
      </c>
      <c r="D820" t="n">
        <v>0.089355</v>
      </c>
      <c r="E820" t="n">
        <v>-1.536</v>
      </c>
      <c r="F820" t="n">
        <v>0.44774</v>
      </c>
      <c r="G820" t="n">
        <v>-0.18156</v>
      </c>
      <c r="H820" t="n">
        <v>0.91531</v>
      </c>
      <c r="I820" t="n">
        <v>-0.63402</v>
      </c>
      <c r="J820" t="n">
        <v>0.33665</v>
      </c>
      <c r="K820" t="n">
        <v>-0.69752</v>
      </c>
      <c r="L820" t="n">
        <v>-0.38792</v>
      </c>
      <c r="M820" t="n">
        <v>0.42862</v>
      </c>
      <c r="N820" t="n">
        <v>-2.8705</v>
      </c>
      <c r="O820" t="n">
        <v>0.1809</v>
      </c>
      <c r="P820" t="n">
        <v>0.7705</v>
      </c>
      <c r="Q820" t="n">
        <v>0.60229</v>
      </c>
      <c r="R820" t="n">
        <v>-0.38246</v>
      </c>
      <c r="S820" t="n">
        <v>-0.74748</v>
      </c>
      <c r="T820" t="n">
        <v>0.19826</v>
      </c>
      <c r="U820" t="n">
        <v>0.73116</v>
      </c>
      <c r="V820" t="n">
        <v>-1.2475</v>
      </c>
      <c r="W820" t="n">
        <v>1.2198</v>
      </c>
      <c r="X820" t="n">
        <v>0.20708</v>
      </c>
      <c r="Y820" t="n">
        <v>-1.2384</v>
      </c>
      <c r="Z820" t="n">
        <v>-0.22674</v>
      </c>
    </row>
    <row r="821">
      <c r="A821" t="inlineStr">
        <is>
          <t>thirst</t>
        </is>
      </c>
      <c r="B821" t="n">
        <v>-0.10799</v>
      </c>
      <c r="C821" t="n">
        <v>1.5522</v>
      </c>
      <c r="D821" t="n">
        <v>-1.0429</v>
      </c>
      <c r="E821" t="n">
        <v>0.83365</v>
      </c>
      <c r="F821" t="n">
        <v>1.2351</v>
      </c>
      <c r="G821" t="n">
        <v>-0.033034</v>
      </c>
      <c r="H821" t="n">
        <v>0.78142</v>
      </c>
      <c r="I821" t="n">
        <v>-1.1728</v>
      </c>
      <c r="J821" t="n">
        <v>-0.9362200000000001</v>
      </c>
      <c r="K821" t="n">
        <v>0.54737</v>
      </c>
      <c r="L821" t="n">
        <v>-0.59177</v>
      </c>
      <c r="M821" t="n">
        <v>1.1516</v>
      </c>
      <c r="N821" t="n">
        <v>-2.0506</v>
      </c>
      <c r="O821" t="n">
        <v>-0.38185</v>
      </c>
      <c r="P821" t="n">
        <v>-0.14347</v>
      </c>
      <c r="Q821" t="n">
        <v>1.0501</v>
      </c>
      <c r="R821" t="n">
        <v>-0.0098219</v>
      </c>
      <c r="S821" t="n">
        <v>-0.17995</v>
      </c>
      <c r="T821" t="n">
        <v>0.22152</v>
      </c>
      <c r="U821" t="n">
        <v>0.17117</v>
      </c>
      <c r="V821" t="n">
        <v>-0.026102</v>
      </c>
      <c r="W821" t="n">
        <v>0.28537</v>
      </c>
      <c r="X821" t="n">
        <v>0.52846</v>
      </c>
      <c r="Y821" t="n">
        <v>-0.28877</v>
      </c>
      <c r="Z821" t="n">
        <v>0.68576</v>
      </c>
    </row>
    <row r="822">
      <c r="A822" t="inlineStr">
        <is>
          <t>emotion</t>
        </is>
      </c>
      <c r="B822" t="n">
        <v>0.39053</v>
      </c>
      <c r="C822" t="n">
        <v>-0.37372</v>
      </c>
      <c r="D822" t="n">
        <v>-0.55136</v>
      </c>
      <c r="E822" t="n">
        <v>1.4278</v>
      </c>
      <c r="F822" t="n">
        <v>0.6287</v>
      </c>
      <c r="G822" t="n">
        <v>0.73993</v>
      </c>
      <c r="H822" t="n">
        <v>1.2934</v>
      </c>
      <c r="I822" t="n">
        <v>-0.82829</v>
      </c>
      <c r="J822" t="n">
        <v>0.35368</v>
      </c>
      <c r="K822" t="n">
        <v>0.051351</v>
      </c>
      <c r="L822" t="n">
        <v>-0.52822</v>
      </c>
      <c r="M822" t="n">
        <v>1.0284</v>
      </c>
      <c r="N822" t="n">
        <v>-2.338</v>
      </c>
      <c r="O822" t="n">
        <v>0.46028</v>
      </c>
      <c r="P822" t="n">
        <v>-0.21902</v>
      </c>
      <c r="Q822" t="n">
        <v>1.4202</v>
      </c>
      <c r="R822" t="n">
        <v>-0.24471</v>
      </c>
      <c r="S822" t="n">
        <v>0.55821</v>
      </c>
      <c r="T822" t="n">
        <v>1.2123</v>
      </c>
      <c r="U822" t="n">
        <v>-0.14325</v>
      </c>
      <c r="V822" t="n">
        <v>-0.36086</v>
      </c>
      <c r="W822" t="n">
        <v>0.52947</v>
      </c>
      <c r="X822" t="n">
        <v>-0.10082</v>
      </c>
      <c r="Y822" t="n">
        <v>0.35159</v>
      </c>
      <c r="Z822" t="n">
        <v>-0.64329</v>
      </c>
    </row>
    <row r="823">
      <c r="A823" t="inlineStr">
        <is>
          <t>texto</t>
        </is>
      </c>
      <c r="B823" t="n">
        <v>1.9182</v>
      </c>
      <c r="C823" t="n">
        <v>-0.46342</v>
      </c>
      <c r="D823" t="n">
        <v>0.24312</v>
      </c>
      <c r="E823" t="n">
        <v>0.67603</v>
      </c>
      <c r="F823" t="n">
        <v>1.9026</v>
      </c>
      <c r="G823" t="n">
        <v>-0.76745</v>
      </c>
      <c r="H823" t="n">
        <v>-1.2862</v>
      </c>
      <c r="I823" t="n">
        <v>1.0064</v>
      </c>
      <c r="J823" t="n">
        <v>0.40239</v>
      </c>
      <c r="K823" t="n">
        <v>-1.4963</v>
      </c>
      <c r="L823" t="n">
        <v>0.050542</v>
      </c>
      <c r="M823" t="n">
        <v>-0.9870100000000001</v>
      </c>
      <c r="N823" t="n">
        <v>-0.57446</v>
      </c>
      <c r="O823" t="n">
        <v>-1.1876</v>
      </c>
      <c r="P823" t="n">
        <v>0.48296</v>
      </c>
      <c r="Q823" t="n">
        <v>0.57398</v>
      </c>
      <c r="R823" t="n">
        <v>-0.26429</v>
      </c>
      <c r="S823" t="n">
        <v>0.92228</v>
      </c>
      <c r="T823" t="n">
        <v>-1.8041</v>
      </c>
      <c r="U823" t="n">
        <v>-0.55222</v>
      </c>
      <c r="V823" t="n">
        <v>0.12144</v>
      </c>
      <c r="W823" t="n">
        <v>-0.80992</v>
      </c>
      <c r="X823" t="n">
        <v>0.30678</v>
      </c>
      <c r="Y823" t="n">
        <v>0.38728</v>
      </c>
      <c r="Z823" t="n">
        <v>0.058368</v>
      </c>
    </row>
    <row r="824">
      <c r="A824" t="inlineStr">
        <is>
          <t>certainly</t>
        </is>
      </c>
      <c r="B824" t="n">
        <v>-0.23921</v>
      </c>
      <c r="C824" t="n">
        <v>0.23089</v>
      </c>
      <c r="D824" t="n">
        <v>-0.8202199999999999</v>
      </c>
      <c r="E824" t="n">
        <v>-0.91845</v>
      </c>
      <c r="F824" t="n">
        <v>-0.70765</v>
      </c>
      <c r="G824" t="n">
        <v>0.25672</v>
      </c>
      <c r="H824" t="n">
        <v>1.0433</v>
      </c>
      <c r="I824" t="n">
        <v>-1.3647</v>
      </c>
      <c r="J824" t="n">
        <v>-0.54003</v>
      </c>
      <c r="K824" t="n">
        <v>-0.81707</v>
      </c>
      <c r="L824" t="n">
        <v>0.37233</v>
      </c>
      <c r="M824" t="n">
        <v>0.67186</v>
      </c>
      <c r="N824" t="n">
        <v>-3.2317</v>
      </c>
      <c r="O824" t="n">
        <v>0.39895</v>
      </c>
      <c r="P824" t="n">
        <v>0.24411</v>
      </c>
      <c r="Q824" t="n">
        <v>0.25682</v>
      </c>
      <c r="R824" t="n">
        <v>0.32619</v>
      </c>
      <c r="S824" t="n">
        <v>0.38832</v>
      </c>
      <c r="T824" t="n">
        <v>0.41438</v>
      </c>
      <c r="U824" t="n">
        <v>-0.75456</v>
      </c>
      <c r="V824" t="n">
        <v>0.67122</v>
      </c>
      <c r="W824" t="n">
        <v>0.28327</v>
      </c>
      <c r="X824" t="n">
        <v>-0.78168</v>
      </c>
      <c r="Y824" t="n">
        <v>0.90123</v>
      </c>
      <c r="Z824" t="n">
        <v>-0.75736</v>
      </c>
    </row>
    <row r="825">
      <c r="A825" t="inlineStr">
        <is>
          <t>hire</t>
        </is>
      </c>
      <c r="B825" t="n">
        <v>-0.58713</v>
      </c>
      <c r="C825" t="n">
        <v>1.2532</v>
      </c>
      <c r="D825" t="n">
        <v>-1.0516</v>
      </c>
      <c r="E825" t="n">
        <v>-0.89492</v>
      </c>
      <c r="F825" t="n">
        <v>-0.041164</v>
      </c>
      <c r="G825" t="n">
        <v>-0.60906</v>
      </c>
      <c r="H825" t="n">
        <v>-0.34949</v>
      </c>
      <c r="I825" t="n">
        <v>-0.71857</v>
      </c>
      <c r="J825" t="n">
        <v>0.78998</v>
      </c>
      <c r="K825" t="n">
        <v>-1.2075</v>
      </c>
      <c r="L825" t="n">
        <v>0.14793</v>
      </c>
      <c r="M825" t="n">
        <v>-0.028678</v>
      </c>
      <c r="N825" t="n">
        <v>-3.5609</v>
      </c>
      <c r="O825" t="n">
        <v>-0.91684</v>
      </c>
      <c r="P825" t="n">
        <v>0.72892</v>
      </c>
      <c r="Q825" t="n">
        <v>-0.092769</v>
      </c>
      <c r="R825" t="n">
        <v>0.7990699999999999</v>
      </c>
      <c r="S825" t="n">
        <v>-1.1646</v>
      </c>
      <c r="T825" t="n">
        <v>0.74237</v>
      </c>
      <c r="U825" t="n">
        <v>-0.81209</v>
      </c>
      <c r="V825" t="n">
        <v>0.18322</v>
      </c>
      <c r="W825" t="n">
        <v>-0.45301</v>
      </c>
      <c r="X825" t="n">
        <v>-0.52324</v>
      </c>
      <c r="Y825" t="n">
        <v>-0.73669</v>
      </c>
      <c r="Z825" t="n">
        <v>-0.6118</v>
      </c>
    </row>
    <row r="826">
      <c r="A826" t="inlineStr">
        <is>
          <t>tone</t>
        </is>
      </c>
      <c r="B826" t="n">
        <v>-0.79404</v>
      </c>
      <c r="C826" t="n">
        <v>-0.7303500000000001</v>
      </c>
      <c r="D826" t="n">
        <v>-0.23776</v>
      </c>
      <c r="E826" t="n">
        <v>0.45032</v>
      </c>
      <c r="F826" t="n">
        <v>0.9396</v>
      </c>
      <c r="G826" t="n">
        <v>0.17147</v>
      </c>
      <c r="H826" t="n">
        <v>0.3145</v>
      </c>
      <c r="I826" t="n">
        <v>-0.40647</v>
      </c>
      <c r="J826" t="n">
        <v>0.77676</v>
      </c>
      <c r="K826" t="n">
        <v>-0.48682</v>
      </c>
      <c r="L826" t="n">
        <v>-0.24043</v>
      </c>
      <c r="M826" t="n">
        <v>0.83606</v>
      </c>
      <c r="N826" t="n">
        <v>-2.8742</v>
      </c>
      <c r="O826" t="n">
        <v>-0.29226</v>
      </c>
      <c r="P826" t="n">
        <v>-0.43719</v>
      </c>
      <c r="Q826" t="n">
        <v>0.37769</v>
      </c>
      <c r="R826" t="n">
        <v>0.6025</v>
      </c>
      <c r="S826" t="n">
        <v>-0.0064112</v>
      </c>
      <c r="T826" t="n">
        <v>0.35947</v>
      </c>
      <c r="U826" t="n">
        <v>0.60056</v>
      </c>
      <c r="V826" t="n">
        <v>-0.13409</v>
      </c>
      <c r="W826" t="n">
        <v>0.41406</v>
      </c>
      <c r="X826" t="n">
        <v>0.94316</v>
      </c>
      <c r="Y826" t="n">
        <v>0.5622</v>
      </c>
      <c r="Z826" t="n">
        <v>-0.84078</v>
      </c>
    </row>
    <row r="827">
      <c r="A827" t="inlineStr">
        <is>
          <t>wht</t>
        </is>
      </c>
      <c r="B827" t="n">
        <v>0.69412</v>
      </c>
      <c r="C827" t="n">
        <v>1.52</v>
      </c>
      <c r="D827" t="n">
        <v>0.37565</v>
      </c>
      <c r="E827" t="n">
        <v>-0.22316</v>
      </c>
      <c r="F827" t="n">
        <v>-0.52786</v>
      </c>
      <c r="G827" t="n">
        <v>-0.07513499999999999</v>
      </c>
      <c r="H827" t="n">
        <v>-0.14773</v>
      </c>
      <c r="I827" t="n">
        <v>-0.4629</v>
      </c>
      <c r="J827" t="n">
        <v>0.32619</v>
      </c>
      <c r="K827" t="n">
        <v>-0.024466</v>
      </c>
      <c r="L827" t="n">
        <v>-1.9017</v>
      </c>
      <c r="M827" t="n">
        <v>1.0021</v>
      </c>
      <c r="N827" t="n">
        <v>-3.3991</v>
      </c>
      <c r="O827" t="n">
        <v>-0.17008</v>
      </c>
      <c r="P827" t="n">
        <v>-0.13042</v>
      </c>
      <c r="Q827" t="n">
        <v>0.18875</v>
      </c>
      <c r="R827" t="n">
        <v>0.83486</v>
      </c>
      <c r="S827" t="n">
        <v>0.051131</v>
      </c>
      <c r="T827" t="n">
        <v>0.42103</v>
      </c>
      <c r="U827" t="n">
        <v>0.98609</v>
      </c>
      <c r="V827" t="n">
        <v>1.338</v>
      </c>
      <c r="W827" t="n">
        <v>0.07315099999999999</v>
      </c>
      <c r="X827" t="n">
        <v>0.23269</v>
      </c>
      <c r="Y827" t="n">
        <v>1.314</v>
      </c>
      <c r="Z827" t="n">
        <v>-0.4781</v>
      </c>
    </row>
    <row r="828">
      <c r="A828" t="inlineStr">
        <is>
          <t>foundation</t>
        </is>
      </c>
      <c r="B828" t="n">
        <v>-1.1399</v>
      </c>
      <c r="C828" t="n">
        <v>0.09535200000000001</v>
      </c>
      <c r="D828" t="n">
        <v>-0.65525</v>
      </c>
      <c r="E828" t="n">
        <v>-0.19086</v>
      </c>
      <c r="F828" t="n">
        <v>0.44363</v>
      </c>
      <c r="G828" t="n">
        <v>-0.73394</v>
      </c>
      <c r="H828" t="n">
        <v>-0.05322</v>
      </c>
      <c r="I828" t="n">
        <v>-0.9246</v>
      </c>
      <c r="J828" t="n">
        <v>1.0869</v>
      </c>
      <c r="K828" t="n">
        <v>-0.37377</v>
      </c>
      <c r="L828" t="n">
        <v>0.9224599999999999</v>
      </c>
      <c r="M828" t="n">
        <v>0.049647</v>
      </c>
      <c r="N828" t="n">
        <v>-3.2368</v>
      </c>
      <c r="O828" t="n">
        <v>0.46158</v>
      </c>
      <c r="P828" t="n">
        <v>-0.07931299999999999</v>
      </c>
      <c r="Q828" t="n">
        <v>0.008826799999999999</v>
      </c>
      <c r="R828" t="n">
        <v>0.063693</v>
      </c>
      <c r="S828" t="n">
        <v>0.47828</v>
      </c>
      <c r="T828" t="n">
        <v>0.68179</v>
      </c>
      <c r="U828" t="n">
        <v>0.44157</v>
      </c>
      <c r="V828" t="n">
        <v>-0.9154099999999999</v>
      </c>
      <c r="W828" t="n">
        <v>0.22888</v>
      </c>
      <c r="X828" t="n">
        <v>-1.0945</v>
      </c>
      <c r="Y828" t="n">
        <v>0.15829</v>
      </c>
      <c r="Z828" t="n">
        <v>-0.32266</v>
      </c>
    </row>
    <row r="829">
      <c r="A829" t="inlineStr">
        <is>
          <t>chart</t>
        </is>
      </c>
      <c r="B829" t="n">
        <v>0.089171</v>
      </c>
      <c r="C829" t="n">
        <v>0.22347</v>
      </c>
      <c r="D829" t="n">
        <v>0.33542</v>
      </c>
      <c r="E829" t="n">
        <v>-0.98512</v>
      </c>
      <c r="F829" t="n">
        <v>1.5822</v>
      </c>
      <c r="G829" t="n">
        <v>-0.56654</v>
      </c>
      <c r="H829" t="n">
        <v>1.1517</v>
      </c>
      <c r="I829" t="n">
        <v>-0.074877</v>
      </c>
      <c r="J829" t="n">
        <v>0.54871</v>
      </c>
      <c r="K829" t="n">
        <v>-1.0625</v>
      </c>
      <c r="L829" t="n">
        <v>0.64377</v>
      </c>
      <c r="M829" t="n">
        <v>0.589</v>
      </c>
      <c r="N829" t="n">
        <v>-2.0043</v>
      </c>
      <c r="O829" t="n">
        <v>0.63986</v>
      </c>
      <c r="P829" t="n">
        <v>0.19787</v>
      </c>
      <c r="Q829" t="n">
        <v>0.25184</v>
      </c>
      <c r="R829" t="n">
        <v>-0.52838</v>
      </c>
      <c r="S829" t="n">
        <v>-0.078315</v>
      </c>
      <c r="T829" t="n">
        <v>0.1256</v>
      </c>
      <c r="U829" t="n">
        <v>0.2162</v>
      </c>
      <c r="V829" t="n">
        <v>-1.5857</v>
      </c>
      <c r="W829" t="n">
        <v>-0.91294</v>
      </c>
      <c r="X829" t="n">
        <v>-0.094217</v>
      </c>
      <c r="Y829" t="n">
        <v>-0.22996</v>
      </c>
      <c r="Z829" t="n">
        <v>-0.39562</v>
      </c>
    </row>
    <row r="830">
      <c r="A830" t="inlineStr">
        <is>
          <t>wallet</t>
        </is>
      </c>
      <c r="B830" t="n">
        <v>-0.68269</v>
      </c>
      <c r="C830" t="n">
        <v>-0.52419</v>
      </c>
      <c r="D830" t="n">
        <v>0.51212</v>
      </c>
      <c r="E830" t="n">
        <v>-0.39235</v>
      </c>
      <c r="F830" t="n">
        <v>0.5895899999999999</v>
      </c>
      <c r="G830" t="n">
        <v>-0.48279</v>
      </c>
      <c r="H830" t="n">
        <v>-0.28533</v>
      </c>
      <c r="I830" t="n">
        <v>-0.83047</v>
      </c>
      <c r="J830" t="n">
        <v>0.52181</v>
      </c>
      <c r="K830" t="n">
        <v>1.1573</v>
      </c>
      <c r="L830" t="n">
        <v>0.83075</v>
      </c>
      <c r="M830" t="n">
        <v>0.088228</v>
      </c>
      <c r="N830" t="n">
        <v>-2.894</v>
      </c>
      <c r="O830" t="n">
        <v>-0.71655</v>
      </c>
      <c r="P830" t="n">
        <v>-0.25242</v>
      </c>
      <c r="Q830" t="n">
        <v>0.11915</v>
      </c>
      <c r="R830" t="n">
        <v>1.3369</v>
      </c>
      <c r="S830" t="n">
        <v>-0.71943</v>
      </c>
      <c r="T830" t="n">
        <v>0.62748</v>
      </c>
      <c r="U830" t="n">
        <v>0.089448</v>
      </c>
      <c r="V830" t="n">
        <v>-0.44497</v>
      </c>
      <c r="W830" t="n">
        <v>-0.39012</v>
      </c>
      <c r="X830" t="n">
        <v>1.0651</v>
      </c>
      <c r="Y830" t="n">
        <v>0.46689</v>
      </c>
      <c r="Z830" t="n">
        <v>-1.751</v>
      </c>
    </row>
    <row r="831">
      <c r="A831" t="inlineStr">
        <is>
          <t>steady</t>
        </is>
      </c>
      <c r="B831" t="n">
        <v>-1.009</v>
      </c>
      <c r="C831" t="n">
        <v>0.9699</v>
      </c>
      <c r="D831" t="n">
        <v>-0.37692</v>
      </c>
      <c r="E831" t="n">
        <v>-0.1998</v>
      </c>
      <c r="F831" t="n">
        <v>-0.29444</v>
      </c>
      <c r="G831" t="n">
        <v>1.6925</v>
      </c>
      <c r="H831" t="n">
        <v>-0.19522</v>
      </c>
      <c r="I831" t="n">
        <v>-0.57156</v>
      </c>
      <c r="J831" t="n">
        <v>1.0941</v>
      </c>
      <c r="K831" t="n">
        <v>0.54669</v>
      </c>
      <c r="L831" t="n">
        <v>-1.0252</v>
      </c>
      <c r="M831" t="n">
        <v>0.9644200000000001</v>
      </c>
      <c r="N831" t="n">
        <v>-2.6449</v>
      </c>
      <c r="O831" t="n">
        <v>0.64481</v>
      </c>
      <c r="P831" t="n">
        <v>-0.17578</v>
      </c>
      <c r="Q831" t="n">
        <v>0.087618</v>
      </c>
      <c r="R831" t="n">
        <v>-0.63395</v>
      </c>
      <c r="S831" t="n">
        <v>0.5119</v>
      </c>
      <c r="T831" t="n">
        <v>-0.12545</v>
      </c>
      <c r="U831" t="n">
        <v>-0.43729</v>
      </c>
      <c r="V831" t="n">
        <v>0.69638</v>
      </c>
      <c r="W831" t="n">
        <v>0.07362299999999999</v>
      </c>
      <c r="X831" t="n">
        <v>1.2137</v>
      </c>
      <c r="Y831" t="n">
        <v>0.3381</v>
      </c>
      <c r="Z831" t="n">
        <v>-0.85733</v>
      </c>
    </row>
    <row r="832">
      <c r="A832" t="inlineStr">
        <is>
          <t>fireworks</t>
        </is>
      </c>
      <c r="B832" t="n">
        <v>-0.42652</v>
      </c>
      <c r="C832" t="n">
        <v>0.0016478</v>
      </c>
      <c r="D832" t="n">
        <v>1.5985</v>
      </c>
      <c r="E832" t="n">
        <v>-0.23443</v>
      </c>
      <c r="F832" t="n">
        <v>-0.4201</v>
      </c>
      <c r="G832" t="n">
        <v>0.13206</v>
      </c>
      <c r="H832" t="n">
        <v>1.6375</v>
      </c>
      <c r="I832" t="n">
        <v>-1.164</v>
      </c>
      <c r="J832" t="n">
        <v>0.21969</v>
      </c>
      <c r="K832" t="n">
        <v>0.25371</v>
      </c>
      <c r="L832" t="n">
        <v>-0.56588</v>
      </c>
      <c r="M832" t="n">
        <v>-0.050099</v>
      </c>
      <c r="N832" t="n">
        <v>-2.2638</v>
      </c>
      <c r="O832" t="n">
        <v>0.5314</v>
      </c>
      <c r="P832" t="n">
        <v>0.25573</v>
      </c>
      <c r="Q832" t="n">
        <v>0.4311</v>
      </c>
      <c r="R832" t="n">
        <v>0.3711</v>
      </c>
      <c r="S832" t="n">
        <v>-0.5720499999999999</v>
      </c>
      <c r="T832" t="n">
        <v>0.059101</v>
      </c>
      <c r="U832" t="n">
        <v>0.037577</v>
      </c>
      <c r="V832" t="n">
        <v>-0.94354</v>
      </c>
      <c r="W832" t="n">
        <v>-0.34679</v>
      </c>
      <c r="X832" t="n">
        <v>0.60672</v>
      </c>
      <c r="Y832" t="n">
        <v>-0.91437</v>
      </c>
      <c r="Z832" t="n">
        <v>0.55185</v>
      </c>
    </row>
    <row r="833">
      <c r="A833" t="inlineStr">
        <is>
          <t>indirectas</t>
        </is>
      </c>
      <c r="B833" t="n">
        <v>2.0974</v>
      </c>
      <c r="C833" t="n">
        <v>-0.67261</v>
      </c>
      <c r="D833" t="n">
        <v>0.69062</v>
      </c>
      <c r="E833" t="n">
        <v>1.1102</v>
      </c>
      <c r="F833" t="n">
        <v>0.23985</v>
      </c>
      <c r="G833" t="n">
        <v>1.1146</v>
      </c>
      <c r="H833" t="n">
        <v>-1.006</v>
      </c>
      <c r="I833" t="n">
        <v>1.483</v>
      </c>
      <c r="J833" t="n">
        <v>-1.1928</v>
      </c>
      <c r="K833" t="n">
        <v>-0.15989</v>
      </c>
      <c r="L833" t="n">
        <v>0.81123</v>
      </c>
      <c r="M833" t="n">
        <v>-1.3616</v>
      </c>
      <c r="N833" t="n">
        <v>-0.30636</v>
      </c>
      <c r="O833" t="n">
        <v>-1.5911</v>
      </c>
      <c r="P833" t="n">
        <v>0.59729</v>
      </c>
      <c r="Q833" t="n">
        <v>1.3921</v>
      </c>
      <c r="R833" t="n">
        <v>0.34914</v>
      </c>
      <c r="S833" t="n">
        <v>0.34033</v>
      </c>
      <c r="T833" t="n">
        <v>1.1655</v>
      </c>
      <c r="U833" t="n">
        <v>0.85795</v>
      </c>
      <c r="V833" t="n">
        <v>0.92399</v>
      </c>
      <c r="W833" t="n">
        <v>-1.7037</v>
      </c>
      <c r="X833" t="n">
        <v>0.52442</v>
      </c>
      <c r="Y833" t="n">
        <v>0.51858</v>
      </c>
      <c r="Z833" t="n">
        <v>-0.9587599999999999</v>
      </c>
    </row>
    <row r="834">
      <c r="A834" t="inlineStr">
        <is>
          <t>wha</t>
        </is>
      </c>
      <c r="B834" t="n">
        <v>0.41865</v>
      </c>
      <c r="C834" t="n">
        <v>1.0486</v>
      </c>
      <c r="D834" t="n">
        <v>0.043457</v>
      </c>
      <c r="E834" t="n">
        <v>0.19218</v>
      </c>
      <c r="F834" t="n">
        <v>-0.2264</v>
      </c>
      <c r="G834" t="n">
        <v>-0.27269</v>
      </c>
      <c r="H834" t="n">
        <v>-0.14704</v>
      </c>
      <c r="I834" t="n">
        <v>0.044736</v>
      </c>
      <c r="J834" t="n">
        <v>-0.58357</v>
      </c>
      <c r="K834" t="n">
        <v>0.13308</v>
      </c>
      <c r="L834" t="n">
        <v>-1.434</v>
      </c>
      <c r="M834" t="n">
        <v>0.11551</v>
      </c>
      <c r="N834" t="n">
        <v>-2.4403</v>
      </c>
      <c r="O834" t="n">
        <v>-0.39586</v>
      </c>
      <c r="P834" t="n">
        <v>0.77474</v>
      </c>
      <c r="Q834" t="n">
        <v>0.30075</v>
      </c>
      <c r="R834" t="n">
        <v>0.63917</v>
      </c>
      <c r="S834" t="n">
        <v>-0.038612</v>
      </c>
      <c r="T834" t="n">
        <v>0.11197</v>
      </c>
      <c r="U834" t="n">
        <v>0.39537</v>
      </c>
      <c r="V834" t="n">
        <v>1.2973</v>
      </c>
      <c r="W834" t="n">
        <v>0.1012</v>
      </c>
      <c r="X834" t="n">
        <v>0.52495</v>
      </c>
      <c r="Y834" t="n">
        <v>0.89119</v>
      </c>
      <c r="Z834" t="n">
        <v>0.087801</v>
      </c>
    </row>
    <row r="835">
      <c r="A835" t="inlineStr">
        <is>
          <t>hosted</t>
        </is>
      </c>
      <c r="B835" t="n">
        <v>-0.66896</v>
      </c>
      <c r="C835" t="n">
        <v>1.7162</v>
      </c>
      <c r="D835" t="n">
        <v>0.26915</v>
      </c>
      <c r="E835" t="n">
        <v>-0.49271</v>
      </c>
      <c r="F835" t="n">
        <v>0.5891999999999999</v>
      </c>
      <c r="G835" t="n">
        <v>-0.8354</v>
      </c>
      <c r="H835" t="n">
        <v>0.291</v>
      </c>
      <c r="I835" t="n">
        <v>-0.043539</v>
      </c>
      <c r="J835" t="n">
        <v>0.5327499999999999</v>
      </c>
      <c r="K835" t="n">
        <v>-1.3197</v>
      </c>
      <c r="L835" t="n">
        <v>-0.29304</v>
      </c>
      <c r="M835" t="n">
        <v>1.6238</v>
      </c>
      <c r="N835" t="n">
        <v>-2.4125</v>
      </c>
      <c r="O835" t="n">
        <v>0.17219</v>
      </c>
      <c r="P835" t="n">
        <v>-0.27732</v>
      </c>
      <c r="Q835" t="n">
        <v>-0.32344</v>
      </c>
      <c r="R835" t="n">
        <v>0.16821</v>
      </c>
      <c r="S835" t="n">
        <v>-0.097123</v>
      </c>
      <c r="T835" t="n">
        <v>0.061258</v>
      </c>
      <c r="U835" t="n">
        <v>0.99904</v>
      </c>
      <c r="V835" t="n">
        <v>-0.64594</v>
      </c>
      <c r="W835" t="n">
        <v>-1.3021</v>
      </c>
      <c r="X835" t="n">
        <v>0.17827</v>
      </c>
      <c r="Y835" t="n">
        <v>-0.31392</v>
      </c>
      <c r="Z835" t="n">
        <v>1.3105</v>
      </c>
    </row>
    <row r="836">
      <c r="A836" t="inlineStr">
        <is>
          <t>cancha</t>
        </is>
      </c>
      <c r="B836" t="n">
        <v>-0.6037</v>
      </c>
      <c r="C836" t="n">
        <v>0.047067</v>
      </c>
      <c r="D836" t="n">
        <v>0.67548</v>
      </c>
      <c r="E836" t="n">
        <v>-0.89513</v>
      </c>
      <c r="F836" t="n">
        <v>-0.41207</v>
      </c>
      <c r="G836" t="n">
        <v>0.85087</v>
      </c>
      <c r="H836" t="n">
        <v>-0.99622</v>
      </c>
      <c r="I836" t="n">
        <v>2.3212</v>
      </c>
      <c r="J836" t="n">
        <v>0.044352</v>
      </c>
      <c r="K836" t="n">
        <v>-1.1291</v>
      </c>
      <c r="L836" t="n">
        <v>0.13063</v>
      </c>
      <c r="M836" t="n">
        <v>-2.6117</v>
      </c>
      <c r="N836" t="n">
        <v>-0.89098</v>
      </c>
      <c r="O836" t="n">
        <v>0.78482</v>
      </c>
      <c r="P836" t="n">
        <v>1.6907</v>
      </c>
      <c r="Q836" t="n">
        <v>0.76344</v>
      </c>
      <c r="R836" t="n">
        <v>-0.1471</v>
      </c>
      <c r="S836" t="n">
        <v>-0.07327</v>
      </c>
      <c r="T836" t="n">
        <v>0.96301</v>
      </c>
      <c r="U836" t="n">
        <v>0.41139</v>
      </c>
      <c r="V836" t="n">
        <v>-0.62951</v>
      </c>
      <c r="W836" t="n">
        <v>-0.06695</v>
      </c>
      <c r="X836" t="n">
        <v>1.1679</v>
      </c>
      <c r="Y836" t="n">
        <v>-0.46615</v>
      </c>
      <c r="Z836" t="n">
        <v>0.81681</v>
      </c>
    </row>
    <row r="837">
      <c r="A837" t="inlineStr">
        <is>
          <t>hic</t>
        </is>
      </c>
      <c r="B837" t="n">
        <v>0.26605</v>
      </c>
      <c r="C837" t="n">
        <v>1.7683</v>
      </c>
      <c r="D837" t="n">
        <v>0.64555</v>
      </c>
      <c r="E837" t="n">
        <v>0.13803</v>
      </c>
      <c r="F837" t="n">
        <v>0.94898</v>
      </c>
      <c r="G837" t="n">
        <v>0.41631</v>
      </c>
      <c r="H837" t="n">
        <v>-1.7001</v>
      </c>
      <c r="I837" t="n">
        <v>1.3654</v>
      </c>
      <c r="J837" t="n">
        <v>-1.1522</v>
      </c>
      <c r="K837" t="n">
        <v>1.2814</v>
      </c>
      <c r="L837" t="n">
        <v>-1.013</v>
      </c>
      <c r="M837" t="n">
        <v>-0.66589</v>
      </c>
      <c r="N837" t="n">
        <v>-0.84826</v>
      </c>
      <c r="O837" t="n">
        <v>0.92111</v>
      </c>
      <c r="P837" t="n">
        <v>-0.6877799999999999</v>
      </c>
      <c r="Q837" t="n">
        <v>0.052866</v>
      </c>
      <c r="R837" t="n">
        <v>1.8072</v>
      </c>
      <c r="S837" t="n">
        <v>-0.46862</v>
      </c>
      <c r="T837" t="n">
        <v>-0.86132</v>
      </c>
      <c r="U837" t="n">
        <v>1.7189</v>
      </c>
      <c r="V837" t="n">
        <v>1.4016</v>
      </c>
      <c r="W837" t="n">
        <v>1.991</v>
      </c>
      <c r="X837" t="n">
        <v>-1.2051</v>
      </c>
      <c r="Y837" t="n">
        <v>-0.48313</v>
      </c>
      <c r="Z837" t="n">
        <v>-0.25931</v>
      </c>
    </row>
    <row r="838">
      <c r="A838" t="inlineStr">
        <is>
          <t>highlights</t>
        </is>
      </c>
      <c r="B838" t="n">
        <v>0.26971</v>
      </c>
      <c r="C838" t="n">
        <v>-0.14005</v>
      </c>
      <c r="D838" t="n">
        <v>0.013699</v>
      </c>
      <c r="E838" t="n">
        <v>-1.3326</v>
      </c>
      <c r="F838" t="n">
        <v>0.502</v>
      </c>
      <c r="G838" t="n">
        <v>0.13134</v>
      </c>
      <c r="H838" t="n">
        <v>0.62024</v>
      </c>
      <c r="I838" t="n">
        <v>-0.68952</v>
      </c>
      <c r="J838" t="n">
        <v>-0.070035</v>
      </c>
      <c r="K838" t="n">
        <v>-1.0122</v>
      </c>
      <c r="L838" t="n">
        <v>0.70258</v>
      </c>
      <c r="M838" t="n">
        <v>0.85669</v>
      </c>
      <c r="N838" t="n">
        <v>-2.5511</v>
      </c>
      <c r="O838" t="n">
        <v>0.9346</v>
      </c>
      <c r="P838" t="n">
        <v>0.9086</v>
      </c>
      <c r="Q838" t="n">
        <v>-0.062921</v>
      </c>
      <c r="R838" t="n">
        <v>-0.47958</v>
      </c>
      <c r="S838" t="n">
        <v>-0.18284</v>
      </c>
      <c r="T838" t="n">
        <v>-0.52316</v>
      </c>
      <c r="U838" t="n">
        <v>0.13148</v>
      </c>
      <c r="V838" t="n">
        <v>-1.3327</v>
      </c>
      <c r="W838" t="n">
        <v>-0.059237</v>
      </c>
      <c r="X838" t="n">
        <v>0.0067434</v>
      </c>
      <c r="Y838" t="n">
        <v>-1.0667</v>
      </c>
      <c r="Z838" t="n">
        <v>-0.52964</v>
      </c>
    </row>
    <row r="839">
      <c r="A839" t="inlineStr">
        <is>
          <t>victim</t>
        </is>
      </c>
      <c r="B839" t="n">
        <v>-0.3302</v>
      </c>
      <c r="C839" t="n">
        <v>0.39131</v>
      </c>
      <c r="D839" t="n">
        <v>-0.056473</v>
      </c>
      <c r="E839" t="n">
        <v>0.60325</v>
      </c>
      <c r="F839" t="n">
        <v>0.41837</v>
      </c>
      <c r="G839" t="n">
        <v>-1.3298</v>
      </c>
      <c r="H839" t="n">
        <v>0.92277</v>
      </c>
      <c r="I839" t="n">
        <v>-0.28367</v>
      </c>
      <c r="J839" t="n">
        <v>0.39373</v>
      </c>
      <c r="K839" t="n">
        <v>0.56484</v>
      </c>
      <c r="L839" t="n">
        <v>0.1669</v>
      </c>
      <c r="M839" t="n">
        <v>0.81044</v>
      </c>
      <c r="N839" t="n">
        <v>-2.6575</v>
      </c>
      <c r="O839" t="n">
        <v>0.85648</v>
      </c>
      <c r="P839" t="n">
        <v>0.53042</v>
      </c>
      <c r="Q839" t="n">
        <v>0.14943</v>
      </c>
      <c r="R839" t="n">
        <v>0.52884</v>
      </c>
      <c r="S839" t="n">
        <v>0.76632</v>
      </c>
      <c r="T839" t="n">
        <v>0.50953</v>
      </c>
      <c r="U839" t="n">
        <v>-1.2923</v>
      </c>
      <c r="V839" t="n">
        <v>0.95364</v>
      </c>
      <c r="W839" t="n">
        <v>0.94117</v>
      </c>
      <c r="X839" t="n">
        <v>0.1657</v>
      </c>
      <c r="Y839" t="n">
        <v>-1.9756</v>
      </c>
      <c r="Z839" t="n">
        <v>-0.20042</v>
      </c>
    </row>
    <row r="840">
      <c r="A840" t="inlineStr">
        <is>
          <t>assholes</t>
        </is>
      </c>
      <c r="B840" t="n">
        <v>0.28453</v>
      </c>
      <c r="C840" t="n">
        <v>0.41472</v>
      </c>
      <c r="D840" t="n">
        <v>-0.38709</v>
      </c>
      <c r="E840" t="n">
        <v>-0.1492</v>
      </c>
      <c r="F840" t="n">
        <v>0.1434</v>
      </c>
      <c r="G840" t="n">
        <v>0.72472</v>
      </c>
      <c r="H840" t="n">
        <v>1.1381</v>
      </c>
      <c r="I840" t="n">
        <v>-1.7274</v>
      </c>
      <c r="J840" t="n">
        <v>-1.2792</v>
      </c>
      <c r="K840" t="n">
        <v>0.99633</v>
      </c>
      <c r="L840" t="n">
        <v>-0.97127</v>
      </c>
      <c r="M840" t="n">
        <v>0.019605</v>
      </c>
      <c r="N840" t="n">
        <v>-2.4116</v>
      </c>
      <c r="O840" t="n">
        <v>-0.18571</v>
      </c>
      <c r="P840" t="n">
        <v>0.081576</v>
      </c>
      <c r="Q840" t="n">
        <v>0.79469</v>
      </c>
      <c r="R840" t="n">
        <v>0.013606</v>
      </c>
      <c r="S840" t="n">
        <v>-1.5163</v>
      </c>
      <c r="T840" t="n">
        <v>0.71894</v>
      </c>
      <c r="U840" t="n">
        <v>-0.26369</v>
      </c>
      <c r="V840" t="n">
        <v>0.91589</v>
      </c>
      <c r="W840" t="n">
        <v>0.7879699999999999</v>
      </c>
      <c r="X840" t="n">
        <v>-0.38473</v>
      </c>
      <c r="Y840" t="n">
        <v>-1.132</v>
      </c>
      <c r="Z840" t="n">
        <v>-0.22929</v>
      </c>
    </row>
    <row r="841">
      <c r="A841" t="inlineStr">
        <is>
          <t>hadith</t>
        </is>
      </c>
      <c r="B841" t="n">
        <v>0.40359</v>
      </c>
      <c r="C841" t="n">
        <v>-0.43937</v>
      </c>
      <c r="D841" t="n">
        <v>-0.59222</v>
      </c>
      <c r="E841" t="n">
        <v>0.12995</v>
      </c>
      <c r="F841" t="n">
        <v>0.16151</v>
      </c>
      <c r="G841" t="n">
        <v>-1.7113</v>
      </c>
      <c r="H841" t="n">
        <v>1.0547</v>
      </c>
      <c r="I841" t="n">
        <v>-0.29614</v>
      </c>
      <c r="J841" t="n">
        <v>0.22346</v>
      </c>
      <c r="K841" t="n">
        <v>0.78995</v>
      </c>
      <c r="L841" t="n">
        <v>0.052624</v>
      </c>
      <c r="M841" t="n">
        <v>1.3651</v>
      </c>
      <c r="N841" t="n">
        <v>0.87741</v>
      </c>
      <c r="O841" t="n">
        <v>0.50219</v>
      </c>
      <c r="P841" t="n">
        <v>0.4642</v>
      </c>
      <c r="Q841" t="n">
        <v>-0.21183</v>
      </c>
      <c r="R841" t="n">
        <v>0.088617</v>
      </c>
      <c r="S841" t="n">
        <v>0.50241</v>
      </c>
      <c r="T841" t="n">
        <v>0.11225</v>
      </c>
      <c r="U841" t="n">
        <v>-0.91967</v>
      </c>
      <c r="V841" t="n">
        <v>0.18984</v>
      </c>
      <c r="W841" t="n">
        <v>-1.1456</v>
      </c>
      <c r="X841" t="n">
        <v>0.22205</v>
      </c>
      <c r="Y841" t="n">
        <v>-1.4127</v>
      </c>
      <c r="Z841" t="n">
        <v>-0.29535</v>
      </c>
    </row>
    <row r="842">
      <c r="A842" t="inlineStr">
        <is>
          <t>foreal</t>
        </is>
      </c>
      <c r="B842" t="n">
        <v>-0.12669</v>
      </c>
      <c r="C842" t="n">
        <v>1.215</v>
      </c>
      <c r="D842" t="n">
        <v>0.23431</v>
      </c>
      <c r="E842" t="n">
        <v>-0.37386</v>
      </c>
      <c r="F842" t="n">
        <v>-0.062806</v>
      </c>
      <c r="G842" t="n">
        <v>0.041614</v>
      </c>
      <c r="H842" t="n">
        <v>0.5918</v>
      </c>
      <c r="I842" t="n">
        <v>-0.67154</v>
      </c>
      <c r="J842" t="n">
        <v>-0.76966</v>
      </c>
      <c r="K842" t="n">
        <v>0.5157</v>
      </c>
      <c r="L842" t="n">
        <v>-2.0223</v>
      </c>
      <c r="M842" t="n">
        <v>0.96673</v>
      </c>
      <c r="N842" t="n">
        <v>-2.7842</v>
      </c>
      <c r="O842" t="n">
        <v>-0.68963</v>
      </c>
      <c r="P842" t="n">
        <v>0.98338</v>
      </c>
      <c r="Q842" t="n">
        <v>0.58704</v>
      </c>
      <c r="R842" t="n">
        <v>0.33633</v>
      </c>
      <c r="S842" t="n">
        <v>-1.2435</v>
      </c>
      <c r="T842" t="n">
        <v>0.11694</v>
      </c>
      <c r="U842" t="n">
        <v>0.35636</v>
      </c>
      <c r="V842" t="n">
        <v>1.4553</v>
      </c>
      <c r="W842" t="n">
        <v>0.67169</v>
      </c>
      <c r="X842" t="n">
        <v>0.88346</v>
      </c>
      <c r="Y842" t="n">
        <v>0.65077</v>
      </c>
      <c r="Z842" t="n">
        <v>0.95535</v>
      </c>
    </row>
    <row r="843">
      <c r="A843" t="inlineStr">
        <is>
          <t>recovery</t>
        </is>
      </c>
      <c r="B843" t="n">
        <v>-0.73156</v>
      </c>
      <c r="C843" t="n">
        <v>0.77397</v>
      </c>
      <c r="D843" t="n">
        <v>-0.9533700000000001</v>
      </c>
      <c r="E843" t="n">
        <v>-0.018058</v>
      </c>
      <c r="F843" t="n">
        <v>0.81584</v>
      </c>
      <c r="G843" t="n">
        <v>-0.333</v>
      </c>
      <c r="H843" t="n">
        <v>1.0044</v>
      </c>
      <c r="I843" t="n">
        <v>-0.83449</v>
      </c>
      <c r="J843" t="n">
        <v>0.49942</v>
      </c>
      <c r="K843" t="n">
        <v>-0.25963</v>
      </c>
      <c r="L843" t="n">
        <v>0.56834</v>
      </c>
      <c r="M843" t="n">
        <v>0.52429</v>
      </c>
      <c r="N843" t="n">
        <v>-2.3512</v>
      </c>
      <c r="O843" t="n">
        <v>0.77519</v>
      </c>
      <c r="P843" t="n">
        <v>1.0998</v>
      </c>
      <c r="Q843" t="n">
        <v>-0.3134</v>
      </c>
      <c r="R843" t="n">
        <v>-0.42855</v>
      </c>
      <c r="S843" t="n">
        <v>0.36951</v>
      </c>
      <c r="T843" t="n">
        <v>0.48299</v>
      </c>
      <c r="U843" t="n">
        <v>-0.82982</v>
      </c>
      <c r="V843" t="n">
        <v>-0.97619</v>
      </c>
      <c r="W843" t="n">
        <v>-0.28493</v>
      </c>
      <c r="X843" t="n">
        <v>0.27964</v>
      </c>
      <c r="Y843" t="n">
        <v>0.0029837</v>
      </c>
      <c r="Z843" t="n">
        <v>-0.33896</v>
      </c>
    </row>
    <row r="844">
      <c r="A844" t="inlineStr">
        <is>
          <t>athlete</t>
        </is>
      </c>
      <c r="B844" t="n">
        <v>-0.72336</v>
      </c>
      <c r="C844" t="n">
        <v>0.45251</v>
      </c>
      <c r="D844" t="n">
        <v>-1.0338</v>
      </c>
      <c r="E844" t="n">
        <v>-1.4041</v>
      </c>
      <c r="F844" t="n">
        <v>1.2716</v>
      </c>
      <c r="G844" t="n">
        <v>-0.56379</v>
      </c>
      <c r="H844" t="n">
        <v>1.0505</v>
      </c>
      <c r="I844" t="n">
        <v>-0.37644</v>
      </c>
      <c r="J844" t="n">
        <v>-0.2936</v>
      </c>
      <c r="K844" t="n">
        <v>-1.0527</v>
      </c>
      <c r="L844" t="n">
        <v>-0.13231</v>
      </c>
      <c r="M844" t="n">
        <v>0.45586</v>
      </c>
      <c r="N844" t="n">
        <v>-2.678</v>
      </c>
      <c r="O844" t="n">
        <v>0.43658</v>
      </c>
      <c r="P844" t="n">
        <v>0.1102</v>
      </c>
      <c r="Q844" t="n">
        <v>0.31628</v>
      </c>
      <c r="R844" t="n">
        <v>-0.30771</v>
      </c>
      <c r="S844" t="n">
        <v>-0.9411</v>
      </c>
      <c r="T844" t="n">
        <v>0.82267</v>
      </c>
      <c r="U844" t="n">
        <v>0.27687</v>
      </c>
      <c r="V844" t="n">
        <v>-0.17707</v>
      </c>
      <c r="W844" t="n">
        <v>1.3303</v>
      </c>
      <c r="X844" t="n">
        <v>-0.14383</v>
      </c>
      <c r="Y844" t="n">
        <v>-1.0548</v>
      </c>
      <c r="Z844" t="n">
        <v>-0.62309</v>
      </c>
    </row>
    <row r="845">
      <c r="A845" t="inlineStr">
        <is>
          <t>whilst</t>
        </is>
      </c>
      <c r="B845" t="n">
        <v>-1.3312</v>
      </c>
      <c r="C845" t="n">
        <v>0.18797</v>
      </c>
      <c r="D845" t="n">
        <v>1.0488</v>
      </c>
      <c r="E845" t="n">
        <v>-0.091096</v>
      </c>
      <c r="F845" t="n">
        <v>-0.29138</v>
      </c>
      <c r="G845" t="n">
        <v>0.11133</v>
      </c>
      <c r="H845" t="n">
        <v>0.80181</v>
      </c>
      <c r="I845" t="n">
        <v>-1.721</v>
      </c>
      <c r="J845" t="n">
        <v>-0.41341</v>
      </c>
      <c r="K845" t="n">
        <v>0.5816</v>
      </c>
      <c r="L845" t="n">
        <v>0.015291</v>
      </c>
      <c r="M845" t="n">
        <v>0.14755</v>
      </c>
      <c r="N845" t="n">
        <v>-3.175</v>
      </c>
      <c r="O845" t="n">
        <v>-0.59568</v>
      </c>
      <c r="P845" t="n">
        <v>1.0305</v>
      </c>
      <c r="Q845" t="n">
        <v>1.0027</v>
      </c>
      <c r="R845" t="n">
        <v>-0.13576</v>
      </c>
      <c r="S845" t="n">
        <v>-0.27574</v>
      </c>
      <c r="T845" t="n">
        <v>-0.7749</v>
      </c>
      <c r="U845" t="n">
        <v>-1.2178</v>
      </c>
      <c r="V845" t="n">
        <v>-0.95636</v>
      </c>
      <c r="W845" t="n">
        <v>0.10892</v>
      </c>
      <c r="X845" t="n">
        <v>-0.32778</v>
      </c>
      <c r="Y845" t="n">
        <v>-0.34235</v>
      </c>
      <c r="Z845" t="n">
        <v>-0.18862</v>
      </c>
    </row>
    <row r="846">
      <c r="A846" t="inlineStr">
        <is>
          <t>properly</t>
        </is>
      </c>
      <c r="B846" t="n">
        <v>0.157</v>
      </c>
      <c r="C846" t="n">
        <v>-0.23242</v>
      </c>
      <c r="D846" t="n">
        <v>-0.033209</v>
      </c>
      <c r="E846" t="n">
        <v>-0.37556</v>
      </c>
      <c r="F846" t="n">
        <v>-0.1319</v>
      </c>
      <c r="G846" t="n">
        <v>-0.25623</v>
      </c>
      <c r="H846" t="n">
        <v>0.096652</v>
      </c>
      <c r="I846" t="n">
        <v>-1.7793</v>
      </c>
      <c r="J846" t="n">
        <v>-0.037096</v>
      </c>
      <c r="K846" t="n">
        <v>0.4422</v>
      </c>
      <c r="L846" t="n">
        <v>-0.6853399999999999</v>
      </c>
      <c r="M846" t="n">
        <v>0.5936399999999999</v>
      </c>
      <c r="N846" t="n">
        <v>-3.346</v>
      </c>
      <c r="O846" t="n">
        <v>-0.67147</v>
      </c>
      <c r="P846" t="n">
        <v>0.21362</v>
      </c>
      <c r="Q846" t="n">
        <v>0.97355</v>
      </c>
      <c r="R846" t="n">
        <v>0.7842</v>
      </c>
      <c r="S846" t="n">
        <v>-0.13628</v>
      </c>
      <c r="T846" t="n">
        <v>0.32602</v>
      </c>
      <c r="U846" t="n">
        <v>-1.7881</v>
      </c>
      <c r="V846" t="n">
        <v>-0.71473</v>
      </c>
      <c r="W846" t="n">
        <v>-0.11383</v>
      </c>
      <c r="X846" t="n">
        <v>-0.26294</v>
      </c>
      <c r="Y846" t="n">
        <v>0.88586</v>
      </c>
      <c r="Z846" t="n">
        <v>-0.31113</v>
      </c>
    </row>
    <row r="847">
      <c r="A847" t="inlineStr">
        <is>
          <t>waves</t>
        </is>
      </c>
      <c r="B847" t="n">
        <v>-1.5424</v>
      </c>
      <c r="C847" t="n">
        <v>-0.29808</v>
      </c>
      <c r="D847" t="n">
        <v>-0.090905</v>
      </c>
      <c r="E847" t="n">
        <v>0.83086</v>
      </c>
      <c r="F847" t="n">
        <v>-0.31141</v>
      </c>
      <c r="G847" t="n">
        <v>0.57628</v>
      </c>
      <c r="H847" t="n">
        <v>1.5646</v>
      </c>
      <c r="I847" t="n">
        <v>-0.79888</v>
      </c>
      <c r="J847" t="n">
        <v>0.34384</v>
      </c>
      <c r="K847" t="n">
        <v>0.14963</v>
      </c>
      <c r="L847" t="n">
        <v>-0.20385</v>
      </c>
      <c r="M847" t="n">
        <v>0.66554</v>
      </c>
      <c r="N847" t="n">
        <v>-2.014</v>
      </c>
      <c r="O847" t="n">
        <v>0.31812</v>
      </c>
      <c r="P847" t="n">
        <v>-0.083221</v>
      </c>
      <c r="Q847" t="n">
        <v>0.25996</v>
      </c>
      <c r="R847" t="n">
        <v>-0.08130800000000001</v>
      </c>
      <c r="S847" t="n">
        <v>-0.32305</v>
      </c>
      <c r="T847" t="n">
        <v>0.62168</v>
      </c>
      <c r="U847" t="n">
        <v>-0.12863</v>
      </c>
      <c r="V847" t="n">
        <v>-0.21021</v>
      </c>
      <c r="W847" t="n">
        <v>-0.4948</v>
      </c>
      <c r="X847" t="n">
        <v>1.5035</v>
      </c>
      <c r="Y847" t="n">
        <v>-0.16865</v>
      </c>
      <c r="Z847" t="n">
        <v>-0.28455</v>
      </c>
    </row>
    <row r="848">
      <c r="A848" t="inlineStr">
        <is>
          <t>boas</t>
        </is>
      </c>
      <c r="B848" t="n">
        <v>2.1017</v>
      </c>
      <c r="C848" t="n">
        <v>-1.4457</v>
      </c>
      <c r="D848" t="n">
        <v>0.87053</v>
      </c>
      <c r="E848" t="n">
        <v>0.12999</v>
      </c>
      <c r="F848" t="n">
        <v>-0.035548</v>
      </c>
      <c r="G848" t="n">
        <v>1.3149</v>
      </c>
      <c r="H848" t="n">
        <v>-0.91034</v>
      </c>
      <c r="I848" t="n">
        <v>-0.82501</v>
      </c>
      <c r="J848" t="n">
        <v>-0.18815</v>
      </c>
      <c r="K848" t="n">
        <v>-2.0448</v>
      </c>
      <c r="L848" t="n">
        <v>-0.82418</v>
      </c>
      <c r="M848" t="n">
        <v>-1.7693</v>
      </c>
      <c r="N848" t="n">
        <v>-0.74758</v>
      </c>
      <c r="O848" t="n">
        <v>0.94398</v>
      </c>
      <c r="P848" t="n">
        <v>-0.82573</v>
      </c>
      <c r="Q848" t="n">
        <v>-1.0613</v>
      </c>
      <c r="R848" t="n">
        <v>-0.67959</v>
      </c>
      <c r="S848" t="n">
        <v>-0.033756</v>
      </c>
      <c r="T848" t="n">
        <v>-0.45029</v>
      </c>
      <c r="U848" t="n">
        <v>-0.37408</v>
      </c>
      <c r="V848" t="n">
        <v>-0.34516</v>
      </c>
      <c r="W848" t="n">
        <v>-0.15488</v>
      </c>
      <c r="X848" t="n">
        <v>-1.0604</v>
      </c>
      <c r="Y848" t="n">
        <v>1.1493</v>
      </c>
      <c r="Z848" t="n">
        <v>-0.3253</v>
      </c>
    </row>
    <row r="849">
      <c r="A849" t="inlineStr">
        <is>
          <t>physically</t>
        </is>
      </c>
      <c r="B849" t="n">
        <v>-0.76586</v>
      </c>
      <c r="C849" t="n">
        <v>-0.46392</v>
      </c>
      <c r="D849" t="n">
        <v>-1.1387</v>
      </c>
      <c r="E849" t="n">
        <v>-0.62482</v>
      </c>
      <c r="F849" t="n">
        <v>-0.15447</v>
      </c>
      <c r="G849" t="n">
        <v>0.87147</v>
      </c>
      <c r="H849" t="n">
        <v>0.80577</v>
      </c>
      <c r="I849" t="n">
        <v>-1.4073</v>
      </c>
      <c r="J849" t="n">
        <v>-0.73929</v>
      </c>
      <c r="K849" t="n">
        <v>0.58496</v>
      </c>
      <c r="L849" t="n">
        <v>-1.0765</v>
      </c>
      <c r="M849" t="n">
        <v>0.52158</v>
      </c>
      <c r="N849" t="n">
        <v>-2.7524</v>
      </c>
      <c r="O849" t="n">
        <v>0.0089476</v>
      </c>
      <c r="P849" t="n">
        <v>0.014926</v>
      </c>
      <c r="Q849" t="n">
        <v>0.47864</v>
      </c>
      <c r="R849" t="n">
        <v>-0.045298</v>
      </c>
      <c r="S849" t="n">
        <v>0.27752</v>
      </c>
      <c r="T849" t="n">
        <v>1.1617</v>
      </c>
      <c r="U849" t="n">
        <v>-3.1324</v>
      </c>
      <c r="V849" t="n">
        <v>0.34174</v>
      </c>
      <c r="W849" t="n">
        <v>1.2644</v>
      </c>
      <c r="X849" t="n">
        <v>-0.074199</v>
      </c>
      <c r="Y849" t="n">
        <v>-0.23569</v>
      </c>
      <c r="Z849" t="n">
        <v>-0.61193</v>
      </c>
    </row>
    <row r="850">
      <c r="A850" t="inlineStr">
        <is>
          <t>hermosas</t>
        </is>
      </c>
      <c r="B850" t="n">
        <v>0.7801900000000001</v>
      </c>
      <c r="C850" t="n">
        <v>-1.0837</v>
      </c>
      <c r="D850" t="n">
        <v>0.48908</v>
      </c>
      <c r="E850" t="n">
        <v>0.5843699999999999</v>
      </c>
      <c r="F850" t="n">
        <v>0.085537</v>
      </c>
      <c r="G850" t="n">
        <v>1.0459</v>
      </c>
      <c r="H850" t="n">
        <v>-0.41263</v>
      </c>
      <c r="I850" t="n">
        <v>2.0266</v>
      </c>
      <c r="J850" t="n">
        <v>-2.512</v>
      </c>
      <c r="K850" t="n">
        <v>-1.7972</v>
      </c>
      <c r="L850" t="n">
        <v>0.21523</v>
      </c>
      <c r="M850" t="n">
        <v>-1.458</v>
      </c>
      <c r="N850" t="n">
        <v>-0.12336</v>
      </c>
      <c r="O850" t="n">
        <v>-0.31961</v>
      </c>
      <c r="P850" t="n">
        <v>-0.91712</v>
      </c>
      <c r="Q850" t="n">
        <v>-0.03751</v>
      </c>
      <c r="R850" t="n">
        <v>0.9442199999999999</v>
      </c>
      <c r="S850" t="n">
        <v>-0.65387</v>
      </c>
      <c r="T850" t="n">
        <v>1.1046</v>
      </c>
      <c r="U850" t="n">
        <v>1.5852</v>
      </c>
      <c r="V850" t="n">
        <v>0.43399</v>
      </c>
      <c r="W850" t="n">
        <v>-0.86036</v>
      </c>
      <c r="X850" t="n">
        <v>-1.2246</v>
      </c>
      <c r="Y850" t="n">
        <v>0.48797</v>
      </c>
      <c r="Z850" t="n">
        <v>0.30806</v>
      </c>
    </row>
    <row r="851">
      <c r="A851" t="inlineStr">
        <is>
          <t>athletic</t>
        </is>
      </c>
      <c r="B851" t="n">
        <v>-0.68703</v>
      </c>
      <c r="C851" t="n">
        <v>-0.20149</v>
      </c>
      <c r="D851" t="n">
        <v>-0.8164</v>
      </c>
      <c r="E851" t="n">
        <v>-1.7108</v>
      </c>
      <c r="F851" t="n">
        <v>0.56777</v>
      </c>
      <c r="G851" t="n">
        <v>1.0887</v>
      </c>
      <c r="H851" t="n">
        <v>-0.31664</v>
      </c>
      <c r="I851" t="n">
        <v>0.29178</v>
      </c>
      <c r="J851" t="n">
        <v>-0.10063</v>
      </c>
      <c r="K851" t="n">
        <v>-1.0602</v>
      </c>
      <c r="L851" t="n">
        <v>0.058351</v>
      </c>
      <c r="M851" t="n">
        <v>-0.87482</v>
      </c>
      <c r="N851" t="n">
        <v>-2.7236</v>
      </c>
      <c r="O851" t="n">
        <v>0.87753</v>
      </c>
      <c r="P851" t="n">
        <v>1.172</v>
      </c>
      <c r="Q851" t="n">
        <v>-0.29096</v>
      </c>
      <c r="R851" t="n">
        <v>-0.32648</v>
      </c>
      <c r="S851" t="n">
        <v>-0.55853</v>
      </c>
      <c r="T851" t="n">
        <v>0.96593</v>
      </c>
      <c r="U851" t="n">
        <v>0.6129</v>
      </c>
      <c r="V851" t="n">
        <v>-0.43269</v>
      </c>
      <c r="W851" t="n">
        <v>0.97872</v>
      </c>
      <c r="X851" t="n">
        <v>-0.017154</v>
      </c>
      <c r="Y851" t="n">
        <v>-1.1654</v>
      </c>
      <c r="Z851" t="n">
        <v>-0.61547</v>
      </c>
    </row>
    <row r="852">
      <c r="A852" t="inlineStr">
        <is>
          <t>crown</t>
        </is>
      </c>
      <c r="B852" t="n">
        <v>-1.2576</v>
      </c>
      <c r="C852" t="n">
        <v>0.064888</v>
      </c>
      <c r="D852" t="n">
        <v>0.18499</v>
      </c>
      <c r="E852" t="n">
        <v>-0.00048296</v>
      </c>
      <c r="F852" t="n">
        <v>-0.38422</v>
      </c>
      <c r="G852" t="n">
        <v>-0.34516</v>
      </c>
      <c r="H852" t="n">
        <v>0.26736</v>
      </c>
      <c r="I852" t="n">
        <v>-0.29049</v>
      </c>
      <c r="J852" t="n">
        <v>0.49534</v>
      </c>
      <c r="K852" t="n">
        <v>-0.32658</v>
      </c>
      <c r="L852" t="n">
        <v>0.99844</v>
      </c>
      <c r="M852" t="n">
        <v>0.3648</v>
      </c>
      <c r="N852" t="n">
        <v>-2.7941</v>
      </c>
      <c r="O852" t="n">
        <v>0.32589</v>
      </c>
      <c r="P852" t="n">
        <v>-0.49253</v>
      </c>
      <c r="Q852" t="n">
        <v>-0.31029</v>
      </c>
      <c r="R852" t="n">
        <v>0.35543</v>
      </c>
      <c r="S852" t="n">
        <v>-0.52106</v>
      </c>
      <c r="T852" t="n">
        <v>0.34252</v>
      </c>
      <c r="U852" t="n">
        <v>1.0512</v>
      </c>
      <c r="V852" t="n">
        <v>-1.2225</v>
      </c>
      <c r="W852" t="n">
        <v>0.40473</v>
      </c>
      <c r="X852" t="n">
        <v>0.27538</v>
      </c>
      <c r="Y852" t="n">
        <v>-0.31526</v>
      </c>
      <c r="Z852" t="n">
        <v>-0.24472</v>
      </c>
    </row>
    <row r="853">
      <c r="A853" t="inlineStr">
        <is>
          <t>breast</t>
        </is>
      </c>
      <c r="B853" t="n">
        <v>-1.2158</v>
      </c>
      <c r="C853" t="n">
        <v>0.56001</v>
      </c>
      <c r="D853" t="n">
        <v>-1.3315</v>
      </c>
      <c r="E853" t="n">
        <v>0.78805</v>
      </c>
      <c r="F853" t="n">
        <v>1.6222</v>
      </c>
      <c r="G853" t="n">
        <v>-0.43898</v>
      </c>
      <c r="H853" t="n">
        <v>0.26495</v>
      </c>
      <c r="I853" t="n">
        <v>-1.5548</v>
      </c>
      <c r="J853" t="n">
        <v>-0.13055</v>
      </c>
      <c r="K853" t="n">
        <v>0.7261300000000001</v>
      </c>
      <c r="L853" t="n">
        <v>1.2739</v>
      </c>
      <c r="M853" t="n">
        <v>-0.052157</v>
      </c>
      <c r="N853" t="n">
        <v>-2.4114</v>
      </c>
      <c r="O853" t="n">
        <v>-0.09023200000000001</v>
      </c>
      <c r="P853" t="n">
        <v>-0.23359</v>
      </c>
      <c r="Q853" t="n">
        <v>-0.79778</v>
      </c>
      <c r="R853" t="n">
        <v>0.5025500000000001</v>
      </c>
      <c r="S853" t="n">
        <v>-0.62881</v>
      </c>
      <c r="T853" t="n">
        <v>0.13782</v>
      </c>
      <c r="U853" t="n">
        <v>-0.81784</v>
      </c>
      <c r="V853" t="n">
        <v>-0.38454</v>
      </c>
      <c r="W853" t="n">
        <v>1.4267</v>
      </c>
      <c r="X853" t="n">
        <v>0.071313</v>
      </c>
      <c r="Y853" t="n">
        <v>-0.52944</v>
      </c>
      <c r="Z853" t="n">
        <v>0.12782</v>
      </c>
    </row>
    <row r="854">
      <c r="A854" t="inlineStr">
        <is>
          <t>writer</t>
        </is>
      </c>
      <c r="B854" t="n">
        <v>-0.1572</v>
      </c>
      <c r="C854" t="n">
        <v>0.038441</v>
      </c>
      <c r="D854" t="n">
        <v>0.046967</v>
      </c>
      <c r="E854" t="n">
        <v>-0.57784</v>
      </c>
      <c r="F854" t="n">
        <v>1.2285</v>
      </c>
      <c r="G854" t="n">
        <v>-1.319</v>
      </c>
      <c r="H854" t="n">
        <v>1.2352</v>
      </c>
      <c r="I854" t="n">
        <v>-0.28924</v>
      </c>
      <c r="J854" t="n">
        <v>0.72934</v>
      </c>
      <c r="K854" t="n">
        <v>-1.4595</v>
      </c>
      <c r="L854" t="n">
        <v>-0.16585</v>
      </c>
      <c r="M854" t="n">
        <v>0.86207</v>
      </c>
      <c r="N854" t="n">
        <v>-2.8879</v>
      </c>
      <c r="O854" t="n">
        <v>-0.30141</v>
      </c>
      <c r="P854" t="n">
        <v>0.61306</v>
      </c>
      <c r="Q854" t="n">
        <v>-0.22994</v>
      </c>
      <c r="R854" t="n">
        <v>0.53203</v>
      </c>
      <c r="S854" t="n">
        <v>0.54489</v>
      </c>
      <c r="T854" t="n">
        <v>0.29304</v>
      </c>
      <c r="U854" t="n">
        <v>-0.15741</v>
      </c>
      <c r="V854" t="n">
        <v>0.36631</v>
      </c>
      <c r="W854" t="n">
        <v>-0.23696</v>
      </c>
      <c r="X854" t="n">
        <v>-1.7776</v>
      </c>
      <c r="Y854" t="n">
        <v>-0.42008</v>
      </c>
      <c r="Z854" t="n">
        <v>-0.39082</v>
      </c>
    </row>
    <row r="855">
      <c r="A855" t="inlineStr">
        <is>
          <t>scooter</t>
        </is>
      </c>
      <c r="B855" t="n">
        <v>-0.095636</v>
      </c>
      <c r="C855" t="n">
        <v>0.45764</v>
      </c>
      <c r="D855" t="n">
        <v>0.74721</v>
      </c>
      <c r="E855" t="n">
        <v>-0.09933599999999999</v>
      </c>
      <c r="F855" t="n">
        <v>-0.47522</v>
      </c>
      <c r="G855" t="n">
        <v>-0.797</v>
      </c>
      <c r="H855" t="n">
        <v>-0.71499</v>
      </c>
      <c r="I855" t="n">
        <v>0.10928</v>
      </c>
      <c r="J855" t="n">
        <v>-0.13844</v>
      </c>
      <c r="K855" t="n">
        <v>-0.80218</v>
      </c>
      <c r="L855" t="n">
        <v>0.37684</v>
      </c>
      <c r="M855" t="n">
        <v>0.053984</v>
      </c>
      <c r="N855" t="n">
        <v>-2.7533</v>
      </c>
      <c r="O855" t="n">
        <v>-1.554</v>
      </c>
      <c r="P855" t="n">
        <v>0.11873</v>
      </c>
      <c r="Q855" t="n">
        <v>1.0599</v>
      </c>
      <c r="R855" t="n">
        <v>-0.057565</v>
      </c>
      <c r="S855" t="n">
        <v>0.08151799999999999</v>
      </c>
      <c r="T855" t="n">
        <v>-0.0074212</v>
      </c>
      <c r="U855" t="n">
        <v>0.45332</v>
      </c>
      <c r="V855" t="n">
        <v>-0.17144</v>
      </c>
      <c r="W855" t="n">
        <v>0.008592799999999999</v>
      </c>
      <c r="X855" t="n">
        <v>0.36871</v>
      </c>
      <c r="Y855" t="n">
        <v>-0.6014</v>
      </c>
      <c r="Z855" t="n">
        <v>-0.019058</v>
      </c>
    </row>
    <row r="856">
      <c r="A856" t="inlineStr">
        <is>
          <t>fits</t>
        </is>
      </c>
      <c r="B856" t="n">
        <v>-0.1851</v>
      </c>
      <c r="C856" t="n">
        <v>-1.2142</v>
      </c>
      <c r="D856" t="n">
        <v>-0.01457</v>
      </c>
      <c r="E856" t="n">
        <v>-0.39796</v>
      </c>
      <c r="F856" t="n">
        <v>0.63192</v>
      </c>
      <c r="G856" t="n">
        <v>-0.11166</v>
      </c>
      <c r="H856" t="n">
        <v>0.17777</v>
      </c>
      <c r="I856" t="n">
        <v>-1.1517</v>
      </c>
      <c r="J856" t="n">
        <v>0.0039741</v>
      </c>
      <c r="K856" t="n">
        <v>0.035965</v>
      </c>
      <c r="L856" t="n">
        <v>0.10971</v>
      </c>
      <c r="M856" t="n">
        <v>1.1512</v>
      </c>
      <c r="N856" t="n">
        <v>-3.1369</v>
      </c>
      <c r="O856" t="n">
        <v>-0.72079</v>
      </c>
      <c r="P856" t="n">
        <v>-0.36754</v>
      </c>
      <c r="Q856" t="n">
        <v>0.67458</v>
      </c>
      <c r="R856" t="n">
        <v>0.79523</v>
      </c>
      <c r="S856" t="n">
        <v>-0.037669</v>
      </c>
      <c r="T856" t="n">
        <v>0.91599</v>
      </c>
      <c r="U856" t="n">
        <v>0.6821199999999999</v>
      </c>
      <c r="V856" t="n">
        <v>-0.4228</v>
      </c>
      <c r="W856" t="n">
        <v>-0.10351</v>
      </c>
      <c r="X856" t="n">
        <v>1.0514</v>
      </c>
      <c r="Y856" t="n">
        <v>0.78549</v>
      </c>
      <c r="Z856" t="n">
        <v>-1.3605</v>
      </c>
    </row>
    <row r="857">
      <c r="A857" t="inlineStr">
        <is>
          <t>instantfollowback</t>
        </is>
      </c>
      <c r="B857" t="n">
        <v>0.60634</v>
      </c>
      <c r="C857" t="n">
        <v>0.045428</v>
      </c>
      <c r="D857" t="n">
        <v>-1.4956</v>
      </c>
      <c r="E857" t="n">
        <v>-1.8226</v>
      </c>
      <c r="F857" t="n">
        <v>-0.7667</v>
      </c>
      <c r="G857" t="n">
        <v>-1.1204</v>
      </c>
      <c r="H857" t="n">
        <v>-0.41552</v>
      </c>
      <c r="I857" t="n">
        <v>-0.03962</v>
      </c>
      <c r="J857" t="n">
        <v>-1.4659</v>
      </c>
      <c r="K857" t="n">
        <v>0.53576</v>
      </c>
      <c r="L857" t="n">
        <v>-0.90634</v>
      </c>
      <c r="M857" t="n">
        <v>0.77728</v>
      </c>
      <c r="N857" t="n">
        <v>-0.74591</v>
      </c>
      <c r="O857" t="n">
        <v>-0.88802</v>
      </c>
      <c r="P857" t="n">
        <v>-1.4416</v>
      </c>
      <c r="Q857" t="n">
        <v>-0.10158</v>
      </c>
      <c r="R857" t="n">
        <v>-0.32142</v>
      </c>
      <c r="S857" t="n">
        <v>-1.0907</v>
      </c>
      <c r="T857" t="n">
        <v>-0.15678</v>
      </c>
      <c r="U857" t="n">
        <v>0.5956</v>
      </c>
      <c r="V857" t="n">
        <v>0.22358</v>
      </c>
      <c r="W857" t="n">
        <v>-1.4958</v>
      </c>
      <c r="X857" t="n">
        <v>0.86377</v>
      </c>
      <c r="Y857" t="n">
        <v>-0.14686</v>
      </c>
      <c r="Z857" t="n">
        <v>-0.19915</v>
      </c>
    </row>
    <row r="858">
      <c r="A858" t="inlineStr">
        <is>
          <t>watches</t>
        </is>
      </c>
      <c r="B858" t="n">
        <v>-0.44389</v>
      </c>
      <c r="C858" t="n">
        <v>-0.21561</v>
      </c>
      <c r="D858" t="n">
        <v>0.89797</v>
      </c>
      <c r="E858" t="n">
        <v>-0.67087</v>
      </c>
      <c r="F858" t="n">
        <v>0.11322</v>
      </c>
      <c r="G858" t="n">
        <v>-0.46492</v>
      </c>
      <c r="H858" t="n">
        <v>1.22</v>
      </c>
      <c r="I858" t="n">
        <v>-1.1281</v>
      </c>
      <c r="J858" t="n">
        <v>-0.26237</v>
      </c>
      <c r="K858" t="n">
        <v>-0.28088</v>
      </c>
      <c r="L858" t="n">
        <v>0.83016</v>
      </c>
      <c r="M858" t="n">
        <v>0.87545</v>
      </c>
      <c r="N858" t="n">
        <v>-2.3414</v>
      </c>
      <c r="O858" t="n">
        <v>-0.68263</v>
      </c>
      <c r="P858" t="n">
        <v>-0.45426</v>
      </c>
      <c r="Q858" t="n">
        <v>0.29521</v>
      </c>
      <c r="R858" t="n">
        <v>0.44715</v>
      </c>
      <c r="S858" t="n">
        <v>-0.38265</v>
      </c>
      <c r="T858" t="n">
        <v>0.73332</v>
      </c>
      <c r="U858" t="n">
        <v>0.39411</v>
      </c>
      <c r="V858" t="n">
        <v>0.19736</v>
      </c>
      <c r="W858" t="n">
        <v>-0.4322</v>
      </c>
      <c r="X858" t="n">
        <v>0.78879</v>
      </c>
      <c r="Y858" t="n">
        <v>-0.90683</v>
      </c>
      <c r="Z858" t="n">
        <v>-0.98922</v>
      </c>
    </row>
    <row r="859">
      <c r="A859" t="inlineStr">
        <is>
          <t>shocking</t>
        </is>
      </c>
      <c r="B859" t="n">
        <v>0.63291</v>
      </c>
      <c r="C859" t="n">
        <v>-0.38337</v>
      </c>
      <c r="D859" t="n">
        <v>-0.44105</v>
      </c>
      <c r="E859" t="n">
        <v>-0.28937</v>
      </c>
      <c r="F859" t="n">
        <v>0.73466</v>
      </c>
      <c r="G859" t="n">
        <v>-0.013464</v>
      </c>
      <c r="H859" t="n">
        <v>1.6922</v>
      </c>
      <c r="I859" t="n">
        <v>-1.0018</v>
      </c>
      <c r="J859" t="n">
        <v>-0.6071299999999999</v>
      </c>
      <c r="K859" t="n">
        <v>-0.54882</v>
      </c>
      <c r="L859" t="n">
        <v>0.33642</v>
      </c>
      <c r="M859" t="n">
        <v>1.2549</v>
      </c>
      <c r="N859" t="n">
        <v>-1.9313</v>
      </c>
      <c r="O859" t="n">
        <v>0.38968</v>
      </c>
      <c r="P859" t="n">
        <v>1.2728</v>
      </c>
      <c r="Q859" t="n">
        <v>-0.13241</v>
      </c>
      <c r="R859" t="n">
        <v>0.52275</v>
      </c>
      <c r="S859" t="n">
        <v>0.38423</v>
      </c>
      <c r="T859" t="n">
        <v>-0.14934</v>
      </c>
      <c r="U859" t="n">
        <v>-0.74598</v>
      </c>
      <c r="V859" t="n">
        <v>-0.060563</v>
      </c>
      <c r="W859" t="n">
        <v>0.44942</v>
      </c>
      <c r="X859" t="n">
        <v>-0.21109</v>
      </c>
      <c r="Y859" t="n">
        <v>-0.88833</v>
      </c>
      <c r="Z859" t="n">
        <v>-0.84903</v>
      </c>
    </row>
    <row r="860">
      <c r="A860" t="inlineStr">
        <is>
          <t>influence</t>
        </is>
      </c>
      <c r="B860" t="n">
        <v>0.020227</v>
      </c>
      <c r="C860" t="n">
        <v>0.13808</v>
      </c>
      <c r="D860" t="n">
        <v>-1.4481</v>
      </c>
      <c r="E860" t="n">
        <v>0.42618</v>
      </c>
      <c r="F860" t="n">
        <v>0.84045</v>
      </c>
      <c r="G860" t="n">
        <v>-0.16968</v>
      </c>
      <c r="H860" t="n">
        <v>0.65668</v>
      </c>
      <c r="I860" t="n">
        <v>-0.98234</v>
      </c>
      <c r="J860" t="n">
        <v>0.37396</v>
      </c>
      <c r="K860" t="n">
        <v>-0.41581</v>
      </c>
      <c r="L860" t="n">
        <v>-0.7532799999999999</v>
      </c>
      <c r="M860" t="n">
        <v>0.15698</v>
      </c>
      <c r="N860" t="n">
        <v>-3.0792</v>
      </c>
      <c r="O860" t="n">
        <v>0.51816</v>
      </c>
      <c r="P860" t="n">
        <v>0.28863</v>
      </c>
      <c r="Q860" t="n">
        <v>0.7916299999999999</v>
      </c>
      <c r="R860" t="n">
        <v>-0.1768</v>
      </c>
      <c r="S860" t="n">
        <v>0.34746</v>
      </c>
      <c r="T860" t="n">
        <v>0.85118</v>
      </c>
      <c r="U860" t="n">
        <v>-0.18181</v>
      </c>
      <c r="V860" t="n">
        <v>0.23272</v>
      </c>
      <c r="W860" t="n">
        <v>-0.21698</v>
      </c>
      <c r="X860" t="n">
        <v>-0.79866</v>
      </c>
      <c r="Y860" t="n">
        <v>-0.61761</v>
      </c>
      <c r="Z860" t="n">
        <v>-0.85099</v>
      </c>
    </row>
    <row r="861">
      <c r="A861" t="inlineStr">
        <is>
          <t>boutta</t>
        </is>
      </c>
      <c r="B861" t="n">
        <v>-0.83639</v>
      </c>
      <c r="C861" t="n">
        <v>2.3753</v>
      </c>
      <c r="D861" t="n">
        <v>0.77129</v>
      </c>
      <c r="E861" t="n">
        <v>-0.98031</v>
      </c>
      <c r="F861" t="n">
        <v>-0.37155</v>
      </c>
      <c r="G861" t="n">
        <v>0.71361</v>
      </c>
      <c r="H861" t="n">
        <v>0.5456</v>
      </c>
      <c r="I861" t="n">
        <v>-1.2084</v>
      </c>
      <c r="J861" t="n">
        <v>0.42798</v>
      </c>
      <c r="K861" t="n">
        <v>-0.47755</v>
      </c>
      <c r="L861" t="n">
        <v>-0.85173</v>
      </c>
      <c r="M861" t="n">
        <v>0.76014</v>
      </c>
      <c r="N861" t="n">
        <v>-2.4603</v>
      </c>
      <c r="O861" t="n">
        <v>-0.91294</v>
      </c>
      <c r="P861" t="n">
        <v>0.082021</v>
      </c>
      <c r="Q861" t="n">
        <v>0.401</v>
      </c>
      <c r="R861" t="n">
        <v>0.89338</v>
      </c>
      <c r="S861" t="n">
        <v>-0.85388</v>
      </c>
      <c r="T861" t="n">
        <v>-0.81718</v>
      </c>
      <c r="U861" t="n">
        <v>-0.78549</v>
      </c>
      <c r="V861" t="n">
        <v>1.1546</v>
      </c>
      <c r="W861" t="n">
        <v>0.8270999999999999</v>
      </c>
      <c r="X861" t="n">
        <v>1.9274</v>
      </c>
      <c r="Y861" t="n">
        <v>0.32658</v>
      </c>
      <c r="Z861" t="n">
        <v>1.0287</v>
      </c>
    </row>
    <row r="862">
      <c r="A862" t="inlineStr">
        <is>
          <t>hitfollowsteam</t>
        </is>
      </c>
      <c r="B862" t="n">
        <v>-3.5437</v>
      </c>
      <c r="C862" t="n">
        <v>0.202</v>
      </c>
      <c r="D862" t="n">
        <v>-2.189</v>
      </c>
      <c r="E862" t="n">
        <v>-2.2973</v>
      </c>
      <c r="F862" t="n">
        <v>-2.8757</v>
      </c>
      <c r="G862" t="n">
        <v>-0.3781</v>
      </c>
      <c r="H862" t="n">
        <v>-0.6299</v>
      </c>
      <c r="I862" t="n">
        <v>1.1364</v>
      </c>
      <c r="J862" t="n">
        <v>-1.197</v>
      </c>
      <c r="K862" t="n">
        <v>-1.2375</v>
      </c>
      <c r="L862" t="n">
        <v>0.51141</v>
      </c>
      <c r="M862" t="n">
        <v>-0.49038</v>
      </c>
      <c r="N862" t="n">
        <v>-1.9532</v>
      </c>
      <c r="O862" t="n">
        <v>-1.3957</v>
      </c>
      <c r="P862" t="n">
        <v>-2.1601</v>
      </c>
      <c r="Q862" t="n">
        <v>1.4148</v>
      </c>
      <c r="R862" t="n">
        <v>-1.4282</v>
      </c>
      <c r="S862" t="n">
        <v>-2.2524</v>
      </c>
      <c r="T862" t="n">
        <v>0.5573</v>
      </c>
      <c r="U862" t="n">
        <v>0.65573</v>
      </c>
      <c r="V862" t="n">
        <v>-2.6299</v>
      </c>
      <c r="W862" t="n">
        <v>-1.1188</v>
      </c>
      <c r="X862" t="n">
        <v>0.91972</v>
      </c>
      <c r="Y862" t="n">
        <v>-0.89496</v>
      </c>
      <c r="Z862" t="n">
        <v>1.6925</v>
      </c>
    </row>
    <row r="863">
      <c r="A863" t="inlineStr">
        <is>
          <t>scotland</t>
        </is>
      </c>
      <c r="B863" t="n">
        <v>-0.72496</v>
      </c>
      <c r="C863" t="n">
        <v>-0.2581</v>
      </c>
      <c r="D863" t="n">
        <v>-0.79871</v>
      </c>
      <c r="E863" t="n">
        <v>-1.3647</v>
      </c>
      <c r="F863" t="n">
        <v>-1.5206</v>
      </c>
      <c r="G863" t="n">
        <v>-0.7823600000000001</v>
      </c>
      <c r="H863" t="n">
        <v>0.35471</v>
      </c>
      <c r="I863" t="n">
        <v>-1.2132</v>
      </c>
      <c r="J863" t="n">
        <v>-0.001256</v>
      </c>
      <c r="K863" t="n">
        <v>-0.45447</v>
      </c>
      <c r="L863" t="n">
        <v>-0.030197</v>
      </c>
      <c r="M863" t="n">
        <v>-0.061649</v>
      </c>
      <c r="N863" t="n">
        <v>-3.1763</v>
      </c>
      <c r="O863" t="n">
        <v>0.79466</v>
      </c>
      <c r="P863" t="n">
        <v>0.9762</v>
      </c>
      <c r="Q863" t="n">
        <v>-1.0784</v>
      </c>
      <c r="R863" t="n">
        <v>-0.23214</v>
      </c>
      <c r="S863" t="n">
        <v>-0.40306</v>
      </c>
      <c r="T863" t="n">
        <v>0.12859</v>
      </c>
      <c r="U863" t="n">
        <v>0.07567</v>
      </c>
      <c r="V863" t="n">
        <v>-0.35142</v>
      </c>
      <c r="W863" t="n">
        <v>-0.06973</v>
      </c>
      <c r="X863" t="n">
        <v>-0.69697</v>
      </c>
      <c r="Y863" t="n">
        <v>-1.1103</v>
      </c>
      <c r="Z863" t="n">
        <v>-0.31463</v>
      </c>
    </row>
    <row r="864">
      <c r="A864" t="inlineStr">
        <is>
          <t>tops</t>
        </is>
      </c>
      <c r="B864" t="n">
        <v>0.49105</v>
      </c>
      <c r="C864" t="n">
        <v>-0.87081</v>
      </c>
      <c r="D864" t="n">
        <v>0.49447</v>
      </c>
      <c r="E864" t="n">
        <v>-1.1929</v>
      </c>
      <c r="F864" t="n">
        <v>0.29789</v>
      </c>
      <c r="G864" t="n">
        <v>0.13266</v>
      </c>
      <c r="H864" t="n">
        <v>0.10839</v>
      </c>
      <c r="I864" t="n">
        <v>-1.3828</v>
      </c>
      <c r="J864" t="n">
        <v>-0.27715</v>
      </c>
      <c r="K864" t="n">
        <v>-0.60521</v>
      </c>
      <c r="L864" t="n">
        <v>0.48368</v>
      </c>
      <c r="M864" t="n">
        <v>-0.46461</v>
      </c>
      <c r="N864" t="n">
        <v>-2.7176</v>
      </c>
      <c r="O864" t="n">
        <v>-0.10599</v>
      </c>
      <c r="P864" t="n">
        <v>-0.26335</v>
      </c>
      <c r="Q864" t="n">
        <v>-0.44943</v>
      </c>
      <c r="R864" t="n">
        <v>-0.39118</v>
      </c>
      <c r="S864" t="n">
        <v>-0.90939</v>
      </c>
      <c r="T864" t="n">
        <v>0.011863</v>
      </c>
      <c r="U864" t="n">
        <v>0.4707</v>
      </c>
      <c r="V864" t="n">
        <v>-0.84175</v>
      </c>
      <c r="W864" t="n">
        <v>0.082284</v>
      </c>
      <c r="X864" t="n">
        <v>0.59715</v>
      </c>
      <c r="Y864" t="n">
        <v>-0.41298</v>
      </c>
      <c r="Z864" t="n">
        <v>-0.51729</v>
      </c>
    </row>
    <row r="865">
      <c r="A865" t="inlineStr">
        <is>
          <t>borrow</t>
        </is>
      </c>
      <c r="B865" t="n">
        <v>0.10911</v>
      </c>
      <c r="C865" t="n">
        <v>0.84663</v>
      </c>
      <c r="D865" t="n">
        <v>0.34322</v>
      </c>
      <c r="E865" t="n">
        <v>0.1058</v>
      </c>
      <c r="F865" t="n">
        <v>-0.62077</v>
      </c>
      <c r="G865" t="n">
        <v>-1.2317</v>
      </c>
      <c r="H865" t="n">
        <v>0.13865</v>
      </c>
      <c r="I865" t="n">
        <v>-1.1738</v>
      </c>
      <c r="J865" t="n">
        <v>0.10184</v>
      </c>
      <c r="K865" t="n">
        <v>0.021697</v>
      </c>
      <c r="L865" t="n">
        <v>0.15628</v>
      </c>
      <c r="M865" t="n">
        <v>-0.034677</v>
      </c>
      <c r="N865" t="n">
        <v>-3.6046</v>
      </c>
      <c r="O865" t="n">
        <v>-1.1317</v>
      </c>
      <c r="P865" t="n">
        <v>-0.59514</v>
      </c>
      <c r="Q865" t="n">
        <v>0.2126</v>
      </c>
      <c r="R865" t="n">
        <v>1.3775</v>
      </c>
      <c r="S865" t="n">
        <v>-1.1097</v>
      </c>
      <c r="T865" t="n">
        <v>0.32616</v>
      </c>
      <c r="U865" t="n">
        <v>-0.16803</v>
      </c>
      <c r="V865" t="n">
        <v>-0.20334</v>
      </c>
      <c r="W865" t="n">
        <v>-0.12441</v>
      </c>
      <c r="X865" t="n">
        <v>0.92071</v>
      </c>
      <c r="Y865" t="n">
        <v>0.6874</v>
      </c>
      <c r="Z865" t="n">
        <v>-1.0195</v>
      </c>
    </row>
    <row r="866">
      <c r="A866" t="inlineStr">
        <is>
          <t>tommy</t>
        </is>
      </c>
      <c r="B866" t="n">
        <v>-0.99978</v>
      </c>
      <c r="C866" t="n">
        <v>0.098713</v>
      </c>
      <c r="D866" t="n">
        <v>0.62382</v>
      </c>
      <c r="E866" t="n">
        <v>0.077851</v>
      </c>
      <c r="F866" t="n">
        <v>-0.77417</v>
      </c>
      <c r="G866" t="n">
        <v>-0.08273899999999999</v>
      </c>
      <c r="H866" t="n">
        <v>-0.38024</v>
      </c>
      <c r="I866" t="n">
        <v>0.67967</v>
      </c>
      <c r="J866" t="n">
        <v>0.089672</v>
      </c>
      <c r="K866" t="n">
        <v>-1.0082</v>
      </c>
      <c r="L866" t="n">
        <v>0.3063</v>
      </c>
      <c r="M866" t="n">
        <v>0.49776</v>
      </c>
      <c r="N866" t="n">
        <v>-2.5656</v>
      </c>
      <c r="O866" t="n">
        <v>-0.8958</v>
      </c>
      <c r="P866" t="n">
        <v>0.4649</v>
      </c>
      <c r="Q866" t="n">
        <v>-0.39742</v>
      </c>
      <c r="R866" t="n">
        <v>0.08247699999999999</v>
      </c>
      <c r="S866" t="n">
        <v>-0.19012</v>
      </c>
      <c r="T866" t="n">
        <v>0.2136</v>
      </c>
      <c r="U866" t="n">
        <v>0.66844</v>
      </c>
      <c r="V866" t="n">
        <v>-0.034679</v>
      </c>
      <c r="W866" t="n">
        <v>0.7145899999999999</v>
      </c>
      <c r="X866" t="n">
        <v>0.027602</v>
      </c>
      <c r="Y866" t="n">
        <v>-0.34325</v>
      </c>
      <c r="Z866" t="n">
        <v>-0.26866</v>
      </c>
    </row>
    <row r="867">
      <c r="A867" t="inlineStr">
        <is>
          <t>releases</t>
        </is>
      </c>
      <c r="B867" t="n">
        <v>-0.14124</v>
      </c>
      <c r="C867" t="n">
        <v>0.32442</v>
      </c>
      <c r="D867" t="n">
        <v>0.39139</v>
      </c>
      <c r="E867" t="n">
        <v>0.23457</v>
      </c>
      <c r="F867" t="n">
        <v>1.0147</v>
      </c>
      <c r="G867" t="n">
        <v>-0.93662</v>
      </c>
      <c r="H867" t="n">
        <v>1.396</v>
      </c>
      <c r="I867" t="n">
        <v>-0.45268</v>
      </c>
      <c r="J867" t="n">
        <v>0.8762</v>
      </c>
      <c r="K867" t="n">
        <v>-0.85716</v>
      </c>
      <c r="L867" t="n">
        <v>1.1583</v>
      </c>
      <c r="M867" t="n">
        <v>1.5467</v>
      </c>
      <c r="N867" t="n">
        <v>-2.2256</v>
      </c>
      <c r="O867" t="n">
        <v>0.62301</v>
      </c>
      <c r="P867" t="n">
        <v>-0.17985</v>
      </c>
      <c r="Q867" t="n">
        <v>-0.04712</v>
      </c>
      <c r="R867" t="n">
        <v>-0.37228</v>
      </c>
      <c r="S867" t="n">
        <v>0.71128</v>
      </c>
      <c r="T867" t="n">
        <v>0.42627</v>
      </c>
      <c r="U867" t="n">
        <v>-0.47195</v>
      </c>
      <c r="V867" t="n">
        <v>-0.66108</v>
      </c>
      <c r="W867" t="n">
        <v>-0.65912</v>
      </c>
      <c r="X867" t="n">
        <v>-0.08326</v>
      </c>
      <c r="Y867" t="n">
        <v>-0.43176</v>
      </c>
      <c r="Z867" t="n">
        <v>-0.80546</v>
      </c>
    </row>
    <row r="868">
      <c r="A868" t="inlineStr">
        <is>
          <t>supply</t>
        </is>
      </c>
      <c r="B868" t="n">
        <v>-0.46679</v>
      </c>
      <c r="C868" t="n">
        <v>0.68602</v>
      </c>
      <c r="D868" t="n">
        <v>-0.89416</v>
      </c>
      <c r="E868" t="n">
        <v>-0.0053596</v>
      </c>
      <c r="F868" t="n">
        <v>0.38063</v>
      </c>
      <c r="G868" t="n">
        <v>-0.16642</v>
      </c>
      <c r="H868" t="n">
        <v>0.31624</v>
      </c>
      <c r="I868" t="n">
        <v>-1.2476</v>
      </c>
      <c r="J868" t="n">
        <v>1.289</v>
      </c>
      <c r="K868" t="n">
        <v>0.50441</v>
      </c>
      <c r="L868" t="n">
        <v>0.89109</v>
      </c>
      <c r="M868" t="n">
        <v>-0.1343</v>
      </c>
      <c r="N868" t="n">
        <v>-3.1972</v>
      </c>
      <c r="O868" t="n">
        <v>0.27032</v>
      </c>
      <c r="P868" t="n">
        <v>-0.026024</v>
      </c>
      <c r="Q868" t="n">
        <v>-0.42596</v>
      </c>
      <c r="R868" t="n">
        <v>0.8425</v>
      </c>
      <c r="S868" t="n">
        <v>0.25223</v>
      </c>
      <c r="T868" t="n">
        <v>1.1386</v>
      </c>
      <c r="U868" t="n">
        <v>0.41966</v>
      </c>
      <c r="V868" t="n">
        <v>-1.0147</v>
      </c>
      <c r="W868" t="n">
        <v>-0.75941</v>
      </c>
      <c r="X868" t="n">
        <v>0.22989</v>
      </c>
      <c r="Y868" t="n">
        <v>0.52583</v>
      </c>
      <c r="Z868" t="n">
        <v>-0.55707</v>
      </c>
    </row>
    <row r="869">
      <c r="A869" t="inlineStr">
        <is>
          <t>therapy</t>
        </is>
      </c>
      <c r="B869" t="n">
        <v>-1.6277</v>
      </c>
      <c r="C869" t="n">
        <v>0.65667</v>
      </c>
      <c r="D869" t="n">
        <v>-1.1053</v>
      </c>
      <c r="E869" t="n">
        <v>0.1958</v>
      </c>
      <c r="F869" t="n">
        <v>1.5788</v>
      </c>
      <c r="G869" t="n">
        <v>-0.23999</v>
      </c>
      <c r="H869" t="n">
        <v>0.94208</v>
      </c>
      <c r="I869" t="n">
        <v>-1.4013</v>
      </c>
      <c r="J869" t="n">
        <v>1.4217</v>
      </c>
      <c r="K869" t="n">
        <v>-0.063767</v>
      </c>
      <c r="L869" t="n">
        <v>-0.094929</v>
      </c>
      <c r="M869" t="n">
        <v>0.22558</v>
      </c>
      <c r="N869" t="n">
        <v>-2.5353</v>
      </c>
      <c r="O869" t="n">
        <v>-0.42779</v>
      </c>
      <c r="P869" t="n">
        <v>1.2407</v>
      </c>
      <c r="Q869" t="n">
        <v>-0.20767</v>
      </c>
      <c r="R869" t="n">
        <v>-0.1106</v>
      </c>
      <c r="S869" t="n">
        <v>0.45726</v>
      </c>
      <c r="T869" t="n">
        <v>0.46445</v>
      </c>
      <c r="U869" t="n">
        <v>-0.43423</v>
      </c>
      <c r="V869" t="n">
        <v>-0.17682</v>
      </c>
      <c r="W869" t="n">
        <v>-0.17735</v>
      </c>
      <c r="X869" t="n">
        <v>-0.09482400000000001</v>
      </c>
      <c r="Y869" t="n">
        <v>0.51515</v>
      </c>
      <c r="Z869" t="n">
        <v>0.52494</v>
      </c>
    </row>
    <row r="870">
      <c r="A870" t="inlineStr">
        <is>
          <t>neighbors</t>
        </is>
      </c>
      <c r="B870" t="n">
        <v>-0.91726</v>
      </c>
      <c r="C870" t="n">
        <v>0.69802</v>
      </c>
      <c r="D870" t="n">
        <v>1.299</v>
      </c>
      <c r="E870" t="n">
        <v>0.4455</v>
      </c>
      <c r="F870" t="n">
        <v>-0.13481</v>
      </c>
      <c r="G870" t="n">
        <v>0.0056608</v>
      </c>
      <c r="H870" t="n">
        <v>1.3003</v>
      </c>
      <c r="I870" t="n">
        <v>-1.3828</v>
      </c>
      <c r="J870" t="n">
        <v>0.35121</v>
      </c>
      <c r="K870" t="n">
        <v>0.86786</v>
      </c>
      <c r="L870" t="n">
        <v>-0.60439</v>
      </c>
      <c r="M870" t="n">
        <v>-0.10027</v>
      </c>
      <c r="N870" t="n">
        <v>-2.6389</v>
      </c>
      <c r="O870" t="n">
        <v>-0.13777</v>
      </c>
      <c r="P870" t="n">
        <v>-0.11257</v>
      </c>
      <c r="Q870" t="n">
        <v>0.56515</v>
      </c>
      <c r="R870" t="n">
        <v>0.86454</v>
      </c>
      <c r="S870" t="n">
        <v>-0.515</v>
      </c>
      <c r="T870" t="n">
        <v>0.34591</v>
      </c>
      <c r="U870" t="n">
        <v>-0.43976</v>
      </c>
      <c r="V870" t="n">
        <v>1.0864</v>
      </c>
      <c r="W870" t="n">
        <v>-0.25228</v>
      </c>
      <c r="X870" t="n">
        <v>0.10214</v>
      </c>
      <c r="Y870" t="n">
        <v>-1.4272</v>
      </c>
      <c r="Z870" t="n">
        <v>0.25379</v>
      </c>
    </row>
    <row r="871">
      <c r="A871" t="inlineStr">
        <is>
          <t>curly</t>
        </is>
      </c>
      <c r="B871" t="n">
        <v>-1.5083</v>
      </c>
      <c r="C871" t="n">
        <v>-1.061</v>
      </c>
      <c r="D871" t="n">
        <v>-0.4259</v>
      </c>
      <c r="E871" t="n">
        <v>0.076683</v>
      </c>
      <c r="F871" t="n">
        <v>0.45551</v>
      </c>
      <c r="G871" t="n">
        <v>0.98878</v>
      </c>
      <c r="H871" t="n">
        <v>0.72099</v>
      </c>
      <c r="I871" t="n">
        <v>-0.9747400000000001</v>
      </c>
      <c r="J871" t="n">
        <v>-0.60502</v>
      </c>
      <c r="K871" t="n">
        <v>-0.23547</v>
      </c>
      <c r="L871" t="n">
        <v>-0.027461</v>
      </c>
      <c r="M871" t="n">
        <v>-0.010953</v>
      </c>
      <c r="N871" t="n">
        <v>-2.4674</v>
      </c>
      <c r="O871" t="n">
        <v>-1.1995</v>
      </c>
      <c r="P871" t="n">
        <v>-0.48138</v>
      </c>
      <c r="Q871" t="n">
        <v>-0.11813</v>
      </c>
      <c r="R871" t="n">
        <v>0.46926</v>
      </c>
      <c r="S871" t="n">
        <v>-1.3113</v>
      </c>
      <c r="T871" t="n">
        <v>-0.086854</v>
      </c>
      <c r="U871" t="n">
        <v>1.0474</v>
      </c>
      <c r="V871" t="n">
        <v>-0.26154</v>
      </c>
      <c r="W871" t="n">
        <v>1.7307</v>
      </c>
      <c r="X871" t="n">
        <v>0.70421</v>
      </c>
      <c r="Y871" t="n">
        <v>0.44718</v>
      </c>
      <c r="Z871" t="n">
        <v>-0.72962</v>
      </c>
    </row>
    <row r="872">
      <c r="A872" t="inlineStr">
        <is>
          <t>sincerely</t>
        </is>
      </c>
      <c r="B872" t="n">
        <v>-0.24117</v>
      </c>
      <c r="C872" t="n">
        <v>-0.013691</v>
      </c>
      <c r="D872" t="n">
        <v>0.086192</v>
      </c>
      <c r="E872" t="n">
        <v>0.20237</v>
      </c>
      <c r="F872" t="n">
        <v>-0.65081</v>
      </c>
      <c r="G872" t="n">
        <v>-0.43322</v>
      </c>
      <c r="H872" t="n">
        <v>1.5429</v>
      </c>
      <c r="I872" t="n">
        <v>-0.93193</v>
      </c>
      <c r="J872" t="n">
        <v>-1.2435</v>
      </c>
      <c r="K872" t="n">
        <v>0.71208</v>
      </c>
      <c r="L872" t="n">
        <v>-0.68648</v>
      </c>
      <c r="M872" t="n">
        <v>-0.065764</v>
      </c>
      <c r="N872" t="n">
        <v>-2.1861</v>
      </c>
      <c r="O872" t="n">
        <v>-0.46203</v>
      </c>
      <c r="P872" t="n">
        <v>-0.18079</v>
      </c>
      <c r="Q872" t="n">
        <v>0.37455</v>
      </c>
      <c r="R872" t="n">
        <v>0.63346</v>
      </c>
      <c r="S872" t="n">
        <v>-0.44043</v>
      </c>
      <c r="T872" t="n">
        <v>1.2393</v>
      </c>
      <c r="U872" t="n">
        <v>-1.1156</v>
      </c>
      <c r="V872" t="n">
        <v>0.22773</v>
      </c>
      <c r="W872" t="n">
        <v>-0.14636</v>
      </c>
      <c r="X872" t="n">
        <v>-0.33632</v>
      </c>
      <c r="Y872" t="n">
        <v>-0.32277</v>
      </c>
      <c r="Z872" t="n">
        <v>-0.91147</v>
      </c>
    </row>
    <row r="873">
      <c r="A873" t="inlineStr">
        <is>
          <t>burnt</t>
        </is>
      </c>
      <c r="B873" t="n">
        <v>-1.0299</v>
      </c>
      <c r="C873" t="n">
        <v>-0.40074</v>
      </c>
      <c r="D873" t="n">
        <v>0.8829</v>
      </c>
      <c r="E873" t="n">
        <v>0.40532</v>
      </c>
      <c r="F873" t="n">
        <v>-0.46171</v>
      </c>
      <c r="G873" t="n">
        <v>0.9205100000000001</v>
      </c>
      <c r="H873" t="n">
        <v>0.61585</v>
      </c>
      <c r="I873" t="n">
        <v>-2.1066</v>
      </c>
      <c r="J873" t="n">
        <v>-0.69382</v>
      </c>
      <c r="K873" t="n">
        <v>1.217</v>
      </c>
      <c r="L873" t="n">
        <v>0.27173</v>
      </c>
      <c r="M873" t="n">
        <v>0.36596</v>
      </c>
      <c r="N873" t="n">
        <v>-2.4659</v>
      </c>
      <c r="O873" t="n">
        <v>-0.61013</v>
      </c>
      <c r="P873" t="n">
        <v>0.2778</v>
      </c>
      <c r="Q873" t="n">
        <v>-0.60004</v>
      </c>
      <c r="R873" t="n">
        <v>1.3794</v>
      </c>
      <c r="S873" t="n">
        <v>-0.0047148</v>
      </c>
      <c r="T873" t="n">
        <v>0.23372</v>
      </c>
      <c r="U873" t="n">
        <v>-0.43117</v>
      </c>
      <c r="V873" t="n">
        <v>-0.025574</v>
      </c>
      <c r="W873" t="n">
        <v>1.1922</v>
      </c>
      <c r="X873" t="n">
        <v>1.1292</v>
      </c>
      <c r="Y873" t="n">
        <v>0.28852</v>
      </c>
      <c r="Z873" t="n">
        <v>0.5951</v>
      </c>
    </row>
    <row r="874">
      <c r="A874" t="inlineStr">
        <is>
          <t>roads</t>
        </is>
      </c>
      <c r="B874" t="n">
        <v>-0.78126</v>
      </c>
      <c r="C874" t="n">
        <v>-0.098084</v>
      </c>
      <c r="D874" t="n">
        <v>-0.14043</v>
      </c>
      <c r="E874" t="n">
        <v>-0.5154</v>
      </c>
      <c r="F874" t="n">
        <v>-0.9555900000000001</v>
      </c>
      <c r="G874" t="n">
        <v>1.5705</v>
      </c>
      <c r="H874" t="n">
        <v>0.78078</v>
      </c>
      <c r="I874" t="n">
        <v>-1.8638</v>
      </c>
      <c r="J874" t="n">
        <v>0.92359</v>
      </c>
      <c r="K874" t="n">
        <v>1.0472</v>
      </c>
      <c r="L874" t="n">
        <v>-0.31569</v>
      </c>
      <c r="M874" t="n">
        <v>-0.09959</v>
      </c>
      <c r="N874" t="n">
        <v>-3.0048</v>
      </c>
      <c r="O874" t="n">
        <v>1.4807</v>
      </c>
      <c r="P874" t="n">
        <v>0.73444</v>
      </c>
      <c r="Q874" t="n">
        <v>0.12588</v>
      </c>
      <c r="R874" t="n">
        <v>0.26481</v>
      </c>
      <c r="S874" t="n">
        <v>-0.45162</v>
      </c>
      <c r="T874" t="n">
        <v>1.1635</v>
      </c>
      <c r="U874" t="n">
        <v>-0.13369</v>
      </c>
      <c r="V874" t="n">
        <v>0.28833</v>
      </c>
      <c r="W874" t="n">
        <v>-0.89788</v>
      </c>
      <c r="X874" t="n">
        <v>0.98599</v>
      </c>
      <c r="Y874" t="n">
        <v>-0.80724</v>
      </c>
      <c r="Z874" t="n">
        <v>-0.13823</v>
      </c>
    </row>
    <row r="875">
      <c r="A875" t="inlineStr">
        <is>
          <t>bothered</t>
        </is>
      </c>
      <c r="B875" t="n">
        <v>-0.36748</v>
      </c>
      <c r="C875" t="n">
        <v>0.6877799999999999</v>
      </c>
      <c r="D875" t="n">
        <v>0.020714</v>
      </c>
      <c r="E875" t="n">
        <v>-0.7670400000000001</v>
      </c>
      <c r="F875" t="n">
        <v>-0.60284</v>
      </c>
      <c r="G875" t="n">
        <v>0.62301</v>
      </c>
      <c r="H875" t="n">
        <v>0.98745</v>
      </c>
      <c r="I875" t="n">
        <v>-1.6823</v>
      </c>
      <c r="J875" t="n">
        <v>-0.13263</v>
      </c>
      <c r="K875" t="n">
        <v>-0.11517</v>
      </c>
      <c r="L875" t="n">
        <v>-1.5093</v>
      </c>
      <c r="M875" t="n">
        <v>0.1935</v>
      </c>
      <c r="N875" t="n">
        <v>-3.0109</v>
      </c>
      <c r="O875" t="n">
        <v>-0.62903</v>
      </c>
      <c r="P875" t="n">
        <v>0.3738</v>
      </c>
      <c r="Q875" t="n">
        <v>1.3405</v>
      </c>
      <c r="R875" t="n">
        <v>0.36749</v>
      </c>
      <c r="S875" t="n">
        <v>-0.37602</v>
      </c>
      <c r="T875" t="n">
        <v>0.15266</v>
      </c>
      <c r="U875" t="n">
        <v>-1.6113</v>
      </c>
      <c r="V875" t="n">
        <v>0.41833</v>
      </c>
      <c r="W875" t="n">
        <v>0.41082</v>
      </c>
      <c r="X875" t="n">
        <v>0.22946</v>
      </c>
      <c r="Y875" t="n">
        <v>0.71657</v>
      </c>
      <c r="Z875" t="n">
        <v>-0.73837</v>
      </c>
    </row>
    <row r="876">
      <c r="A876" t="inlineStr">
        <is>
          <t>nplease</t>
        </is>
      </c>
      <c r="B876" t="n">
        <v>-0.95352</v>
      </c>
      <c r="C876" t="n">
        <v>0.17725</v>
      </c>
      <c r="D876" t="n">
        <v>-0.70529</v>
      </c>
      <c r="E876" t="n">
        <v>-0.38</v>
      </c>
      <c r="F876" t="n">
        <v>-1.7036</v>
      </c>
      <c r="G876" t="n">
        <v>-1.7671</v>
      </c>
      <c r="H876" t="n">
        <v>1.2831</v>
      </c>
      <c r="I876" t="n">
        <v>0.094336</v>
      </c>
      <c r="J876" t="n">
        <v>-1.6781</v>
      </c>
      <c r="K876" t="n">
        <v>-0.31105</v>
      </c>
      <c r="L876" t="n">
        <v>-0.36979</v>
      </c>
      <c r="M876" t="n">
        <v>0.17041</v>
      </c>
      <c r="N876" t="n">
        <v>-2.0537</v>
      </c>
      <c r="O876" t="n">
        <v>-0.2126</v>
      </c>
      <c r="P876" t="n">
        <v>-1.7795</v>
      </c>
      <c r="Q876" t="n">
        <v>-0.063011</v>
      </c>
      <c r="R876" t="n">
        <v>0.063904</v>
      </c>
      <c r="S876" t="n">
        <v>-1.0889</v>
      </c>
      <c r="T876" t="n">
        <v>0.40577</v>
      </c>
      <c r="U876" t="n">
        <v>-0.11601</v>
      </c>
      <c r="V876" t="n">
        <v>0.14661</v>
      </c>
      <c r="W876" t="n">
        <v>-1.2669</v>
      </c>
      <c r="X876" t="n">
        <v>0.59239</v>
      </c>
      <c r="Y876" t="n">
        <v>1.5234</v>
      </c>
      <c r="Z876" t="n">
        <v>-1.502</v>
      </c>
    </row>
    <row r="877">
      <c r="A877" t="inlineStr">
        <is>
          <t>worship</t>
        </is>
      </c>
      <c r="B877" t="n">
        <v>-1.0518</v>
      </c>
      <c r="C877" t="n">
        <v>0.66057</v>
      </c>
      <c r="D877" t="n">
        <v>-0.65908</v>
      </c>
      <c r="E877" t="n">
        <v>0.74855</v>
      </c>
      <c r="F877" t="n">
        <v>-0.064259</v>
      </c>
      <c r="G877" t="n">
        <v>-1.0122</v>
      </c>
      <c r="H877" t="n">
        <v>1.3407</v>
      </c>
      <c r="I877" t="n">
        <v>-1.1274</v>
      </c>
      <c r="J877" t="n">
        <v>0.26479</v>
      </c>
      <c r="K877" t="n">
        <v>-0.62336</v>
      </c>
      <c r="L877" t="n">
        <v>-0.91791</v>
      </c>
      <c r="M877" t="n">
        <v>0.44315</v>
      </c>
      <c r="N877" t="n">
        <v>-3.0046</v>
      </c>
      <c r="O877" t="n">
        <v>1.0981</v>
      </c>
      <c r="P877" t="n">
        <v>-1.0355</v>
      </c>
      <c r="Q877" t="n">
        <v>0.49403</v>
      </c>
      <c r="R877" t="n">
        <v>-0.31853</v>
      </c>
      <c r="S877" t="n">
        <v>0.45335</v>
      </c>
      <c r="T877" t="n">
        <v>0.34992</v>
      </c>
      <c r="U877" t="n">
        <v>-0.024005</v>
      </c>
      <c r="V877" t="n">
        <v>-0.40845</v>
      </c>
      <c r="W877" t="n">
        <v>0.34064</v>
      </c>
      <c r="X877" t="n">
        <v>-1.2754</v>
      </c>
      <c r="Y877" t="n">
        <v>-0.54367</v>
      </c>
      <c r="Z877" t="n">
        <v>0.78345</v>
      </c>
    </row>
    <row r="878">
      <c r="A878" t="inlineStr">
        <is>
          <t>normally</t>
        </is>
      </c>
      <c r="B878" t="n">
        <v>-0.23432</v>
      </c>
      <c r="C878" t="n">
        <v>0.11961</v>
      </c>
      <c r="D878" t="n">
        <v>-0.37373</v>
      </c>
      <c r="E878" t="n">
        <v>-0.54786</v>
      </c>
      <c r="F878" t="n">
        <v>-0.51372</v>
      </c>
      <c r="G878" t="n">
        <v>0.8607</v>
      </c>
      <c r="H878" t="n">
        <v>0.93063</v>
      </c>
      <c r="I878" t="n">
        <v>-1.6849</v>
      </c>
      <c r="J878" t="n">
        <v>0.30386</v>
      </c>
      <c r="K878" t="n">
        <v>-0.37587</v>
      </c>
      <c r="L878" t="n">
        <v>-0.6386500000000001</v>
      </c>
      <c r="M878" t="n">
        <v>0.023438</v>
      </c>
      <c r="N878" t="n">
        <v>-3.2331</v>
      </c>
      <c r="O878" t="n">
        <v>0.1397</v>
      </c>
      <c r="P878" t="n">
        <v>0.20521</v>
      </c>
      <c r="Q878" t="n">
        <v>0.9780799999999999</v>
      </c>
      <c r="R878" t="n">
        <v>0.30303</v>
      </c>
      <c r="S878" t="n">
        <v>-0.46382</v>
      </c>
      <c r="T878" t="n">
        <v>0.87249</v>
      </c>
      <c r="U878" t="n">
        <v>-1.148</v>
      </c>
      <c r="V878" t="n">
        <v>0.51393</v>
      </c>
      <c r="W878" t="n">
        <v>-0.44327</v>
      </c>
      <c r="X878" t="n">
        <v>-0.1788</v>
      </c>
      <c r="Y878" t="n">
        <v>0.82941</v>
      </c>
      <c r="Z878" t="n">
        <v>-0.93655</v>
      </c>
    </row>
    <row r="879">
      <c r="A879" t="inlineStr">
        <is>
          <t>phase</t>
        </is>
      </c>
      <c r="B879" t="n">
        <v>-0.020303</v>
      </c>
      <c r="C879" t="n">
        <v>0.072446</v>
      </c>
      <c r="D879" t="n">
        <v>-0.32282</v>
      </c>
      <c r="E879" t="n">
        <v>-0.23354</v>
      </c>
      <c r="F879" t="n">
        <v>0.51657</v>
      </c>
      <c r="G879" t="n">
        <v>-0.011496</v>
      </c>
      <c r="H879" t="n">
        <v>0.75537</v>
      </c>
      <c r="I879" t="n">
        <v>-0.97027</v>
      </c>
      <c r="J879" t="n">
        <v>0.66118</v>
      </c>
      <c r="K879" t="n">
        <v>-0.54449</v>
      </c>
      <c r="L879" t="n">
        <v>-0.6898300000000001</v>
      </c>
      <c r="M879" t="n">
        <v>0.58416</v>
      </c>
      <c r="N879" t="n">
        <v>-2.4633</v>
      </c>
      <c r="O879" t="n">
        <v>0.80967</v>
      </c>
      <c r="P879" t="n">
        <v>0.1672</v>
      </c>
      <c r="Q879" t="n">
        <v>1.576</v>
      </c>
      <c r="R879" t="n">
        <v>-0.12276</v>
      </c>
      <c r="S879" t="n">
        <v>0.38017</v>
      </c>
      <c r="T879" t="n">
        <v>-0.10168</v>
      </c>
      <c r="U879" t="n">
        <v>0.11894</v>
      </c>
      <c r="V879" t="n">
        <v>-0.14857</v>
      </c>
      <c r="W879" t="n">
        <v>-0.02008</v>
      </c>
      <c r="X879" t="n">
        <v>0.4744</v>
      </c>
      <c r="Y879" t="n">
        <v>-0.25629</v>
      </c>
      <c r="Z879" t="n">
        <v>0.21111</v>
      </c>
    </row>
    <row r="880">
      <c r="A880" t="inlineStr">
        <is>
          <t>iight</t>
        </is>
      </c>
      <c r="B880" t="n">
        <v>0.075707</v>
      </c>
      <c r="C880" t="n">
        <v>1.7221</v>
      </c>
      <c r="D880" t="n">
        <v>-0.069103</v>
      </c>
      <c r="E880" t="n">
        <v>-0.66437</v>
      </c>
      <c r="F880" t="n">
        <v>-0.48581</v>
      </c>
      <c r="G880" t="n">
        <v>-0.14221</v>
      </c>
      <c r="H880" t="n">
        <v>0.51925</v>
      </c>
      <c r="I880" t="n">
        <v>-0.65271</v>
      </c>
      <c r="J880" t="n">
        <v>-0.31453</v>
      </c>
      <c r="K880" t="n">
        <v>-0.11051</v>
      </c>
      <c r="L880" t="n">
        <v>-1.7271</v>
      </c>
      <c r="M880" t="n">
        <v>1.1615</v>
      </c>
      <c r="N880" t="n">
        <v>-2.1933</v>
      </c>
      <c r="O880" t="n">
        <v>-0.828</v>
      </c>
      <c r="P880" t="n">
        <v>0.87161</v>
      </c>
      <c r="Q880" t="n">
        <v>-0.49391</v>
      </c>
      <c r="R880" t="n">
        <v>1.394</v>
      </c>
      <c r="S880" t="n">
        <v>-0.7763600000000001</v>
      </c>
      <c r="T880" t="n">
        <v>-0.77312</v>
      </c>
      <c r="U880" t="n">
        <v>0.48497</v>
      </c>
      <c r="V880" t="n">
        <v>2.0773</v>
      </c>
      <c r="W880" t="n">
        <v>0.62469</v>
      </c>
      <c r="X880" t="n">
        <v>1.2057</v>
      </c>
      <c r="Y880" t="n">
        <v>1.4965</v>
      </c>
      <c r="Z880" t="n">
        <v>0.7466</v>
      </c>
    </row>
    <row r="881">
      <c r="A881" t="inlineStr">
        <is>
          <t>hills</t>
        </is>
      </c>
      <c r="B881" t="n">
        <v>-1.5703</v>
      </c>
      <c r="C881" t="n">
        <v>-0.39696</v>
      </c>
      <c r="D881" t="n">
        <v>1.0218</v>
      </c>
      <c r="E881" t="n">
        <v>-0.44532</v>
      </c>
      <c r="F881" t="n">
        <v>-1.1144</v>
      </c>
      <c r="G881" t="n">
        <v>0.70359</v>
      </c>
      <c r="H881" t="n">
        <v>0.48882</v>
      </c>
      <c r="I881" t="n">
        <v>-0.81277</v>
      </c>
      <c r="J881" t="n">
        <v>1.0124</v>
      </c>
      <c r="K881" t="n">
        <v>-0.32181</v>
      </c>
      <c r="L881" t="n">
        <v>-0.10858</v>
      </c>
      <c r="M881" t="n">
        <v>-0.34037</v>
      </c>
      <c r="N881" t="n">
        <v>-2.9653</v>
      </c>
      <c r="O881" t="n">
        <v>0.61122</v>
      </c>
      <c r="P881" t="n">
        <v>1.0508</v>
      </c>
      <c r="Q881" t="n">
        <v>-0.7669899999999999</v>
      </c>
      <c r="R881" t="n">
        <v>0.22924</v>
      </c>
      <c r="S881" t="n">
        <v>-0.20473</v>
      </c>
      <c r="T881" t="n">
        <v>0.56259</v>
      </c>
      <c r="U881" t="n">
        <v>0.79645</v>
      </c>
      <c r="V881" t="n">
        <v>0.14484</v>
      </c>
      <c r="W881" t="n">
        <v>-0.43659</v>
      </c>
      <c r="X881" t="n">
        <v>-0.1658</v>
      </c>
      <c r="Y881" t="n">
        <v>-1.1847</v>
      </c>
      <c r="Z881" t="n">
        <v>0.51026</v>
      </c>
    </row>
    <row r="882">
      <c r="A882" t="inlineStr">
        <is>
          <t>soundtrack</t>
        </is>
      </c>
      <c r="B882" t="n">
        <v>-0.34163</v>
      </c>
      <c r="C882" t="n">
        <v>-0.42793</v>
      </c>
      <c r="D882" t="n">
        <v>1.293</v>
      </c>
      <c r="E882" t="n">
        <v>0.2438</v>
      </c>
      <c r="F882" t="n">
        <v>0.43952</v>
      </c>
      <c r="G882" t="n">
        <v>-0.06736</v>
      </c>
      <c r="H882" t="n">
        <v>1.3733</v>
      </c>
      <c r="I882" t="n">
        <v>0.38368</v>
      </c>
      <c r="J882" t="n">
        <v>0.20916</v>
      </c>
      <c r="K882" t="n">
        <v>-1.1146</v>
      </c>
      <c r="L882" t="n">
        <v>0.61504</v>
      </c>
      <c r="M882" t="n">
        <v>0.96145</v>
      </c>
      <c r="N882" t="n">
        <v>-2.0477</v>
      </c>
      <c r="O882" t="n">
        <v>0.33978</v>
      </c>
      <c r="P882" t="n">
        <v>0.27542</v>
      </c>
      <c r="Q882" t="n">
        <v>1.0234</v>
      </c>
      <c r="R882" t="n">
        <v>0.25742</v>
      </c>
      <c r="S882" t="n">
        <v>0.65641</v>
      </c>
      <c r="T882" t="n">
        <v>0.06674099999999999</v>
      </c>
      <c r="U882" t="n">
        <v>0.46179</v>
      </c>
      <c r="V882" t="n">
        <v>-1.309</v>
      </c>
      <c r="W882" t="n">
        <v>-0.30235</v>
      </c>
      <c r="X882" t="n">
        <v>-0.63241</v>
      </c>
      <c r="Y882" t="n">
        <v>-0.2854</v>
      </c>
      <c r="Z882" t="n">
        <v>0.71875</v>
      </c>
    </row>
    <row r="883">
      <c r="A883" t="inlineStr">
        <is>
          <t>century</t>
        </is>
      </c>
      <c r="B883" t="n">
        <v>0.12805</v>
      </c>
      <c r="C883" t="n">
        <v>0.11777</v>
      </c>
      <c r="D883" t="n">
        <v>0.74531</v>
      </c>
      <c r="E883" t="n">
        <v>-0.93701</v>
      </c>
      <c r="F883" t="n">
        <v>0.12774</v>
      </c>
      <c r="G883" t="n">
        <v>-0.37271</v>
      </c>
      <c r="H883" t="n">
        <v>0.30059</v>
      </c>
      <c r="I883" t="n">
        <v>-0.39525</v>
      </c>
      <c r="J883" t="n">
        <v>0.8827</v>
      </c>
      <c r="K883" t="n">
        <v>0.32765</v>
      </c>
      <c r="L883" t="n">
        <v>0.36761</v>
      </c>
      <c r="M883" t="n">
        <v>0.79594</v>
      </c>
      <c r="N883" t="n">
        <v>-2.2213</v>
      </c>
      <c r="O883" t="n">
        <v>0.82495</v>
      </c>
      <c r="P883" t="n">
        <v>0.15023</v>
      </c>
      <c r="Q883" t="n">
        <v>-0.56024</v>
      </c>
      <c r="R883" t="n">
        <v>0.45108</v>
      </c>
      <c r="S883" t="n">
        <v>0.58326</v>
      </c>
      <c r="T883" t="n">
        <v>-0.062037</v>
      </c>
      <c r="U883" t="n">
        <v>-0.24392</v>
      </c>
      <c r="V883" t="n">
        <v>-0.89827</v>
      </c>
      <c r="W883" t="n">
        <v>0.17705</v>
      </c>
      <c r="X883" t="n">
        <v>-1.4081</v>
      </c>
      <c r="Y883" t="n">
        <v>-1.2875</v>
      </c>
      <c r="Z883" t="n">
        <v>-0.47334</v>
      </c>
    </row>
    <row r="884">
      <c r="A884" t="inlineStr">
        <is>
          <t>height</t>
        </is>
      </c>
      <c r="B884" t="n">
        <v>-0.21987</v>
      </c>
      <c r="C884" t="n">
        <v>-1.3891</v>
      </c>
      <c r="D884" t="n">
        <v>-0.09778199999999999</v>
      </c>
      <c r="E884" t="n">
        <v>-0.10415</v>
      </c>
      <c r="F884" t="n">
        <v>0.9490499999999999</v>
      </c>
      <c r="G884" t="n">
        <v>0.0055825</v>
      </c>
      <c r="H884" t="n">
        <v>0.48382</v>
      </c>
      <c r="I884" t="n">
        <v>-0.75031</v>
      </c>
      <c r="J884" t="n">
        <v>0.52817</v>
      </c>
      <c r="K884" t="n">
        <v>0.65982</v>
      </c>
      <c r="L884" t="n">
        <v>-0.63801</v>
      </c>
      <c r="M884" t="n">
        <v>-0.08137</v>
      </c>
      <c r="N884" t="n">
        <v>-2.667</v>
      </c>
      <c r="O884" t="n">
        <v>0.9039700000000001</v>
      </c>
      <c r="P884" t="n">
        <v>-0.18857</v>
      </c>
      <c r="Q884" t="n">
        <v>-0.13641</v>
      </c>
      <c r="R884" t="n">
        <v>0.33858</v>
      </c>
      <c r="S884" t="n">
        <v>0.30409</v>
      </c>
      <c r="T884" t="n">
        <v>0.51796</v>
      </c>
      <c r="U884" t="n">
        <v>0.31199</v>
      </c>
      <c r="V884" t="n">
        <v>-0.31847</v>
      </c>
      <c r="W884" t="n">
        <v>0.85058</v>
      </c>
      <c r="X884" t="n">
        <v>0.77551</v>
      </c>
      <c r="Y884" t="n">
        <v>0.8231000000000001</v>
      </c>
      <c r="Z884" t="n">
        <v>-2.0022</v>
      </c>
    </row>
    <row r="885">
      <c r="A885" t="inlineStr">
        <is>
          <t>wh</t>
        </is>
      </c>
      <c r="B885" t="n">
        <v>0.32539</v>
      </c>
      <c r="C885" t="n">
        <v>0.84812</v>
      </c>
      <c r="D885" t="n">
        <v>-0.44242</v>
      </c>
      <c r="E885" t="n">
        <v>-0.39674</v>
      </c>
      <c r="F885" t="n">
        <v>-0.070156</v>
      </c>
      <c r="G885" t="n">
        <v>-1.0243</v>
      </c>
      <c r="H885" t="n">
        <v>-0.11736</v>
      </c>
      <c r="I885" t="n">
        <v>-0.23134</v>
      </c>
      <c r="J885" t="n">
        <v>0.8892600000000001</v>
      </c>
      <c r="K885" t="n">
        <v>0.6533</v>
      </c>
      <c r="L885" t="n">
        <v>-0.31379</v>
      </c>
      <c r="M885" t="n">
        <v>0.50122</v>
      </c>
      <c r="N885" t="n">
        <v>-2.4582</v>
      </c>
      <c r="O885" t="n">
        <v>-0.06611300000000001</v>
      </c>
      <c r="P885" t="n">
        <v>-0.018619</v>
      </c>
      <c r="Q885" t="n">
        <v>-0.31183</v>
      </c>
      <c r="R885" t="n">
        <v>0.079071</v>
      </c>
      <c r="S885" t="n">
        <v>0.59172</v>
      </c>
      <c r="T885" t="n">
        <v>0.58447</v>
      </c>
      <c r="U885" t="n">
        <v>0.35058</v>
      </c>
      <c r="V885" t="n">
        <v>0.36173</v>
      </c>
      <c r="W885" t="n">
        <v>-0.545</v>
      </c>
      <c r="X885" t="n">
        <v>0.45392</v>
      </c>
      <c r="Y885" t="n">
        <v>0.14338</v>
      </c>
      <c r="Z885" t="n">
        <v>-0.7805</v>
      </c>
    </row>
    <row r="886">
      <c r="A886" t="inlineStr">
        <is>
          <t>finishing</t>
        </is>
      </c>
      <c r="B886" t="n">
        <v>-0.24143</v>
      </c>
      <c r="C886" t="n">
        <v>1.0681</v>
      </c>
      <c r="D886" t="n">
        <v>1.0398</v>
      </c>
      <c r="E886" t="n">
        <v>-0.08648500000000001</v>
      </c>
      <c r="F886" t="n">
        <v>0.08867899999999999</v>
      </c>
      <c r="G886" t="n">
        <v>0.79231</v>
      </c>
      <c r="H886" t="n">
        <v>0.8812</v>
      </c>
      <c r="I886" t="n">
        <v>-1.5915</v>
      </c>
      <c r="J886" t="n">
        <v>0.35779</v>
      </c>
      <c r="K886" t="n">
        <v>-0.51157</v>
      </c>
      <c r="L886" t="n">
        <v>-0.36679</v>
      </c>
      <c r="M886" t="n">
        <v>0.45347</v>
      </c>
      <c r="N886" t="n">
        <v>-2.6184</v>
      </c>
      <c r="O886" t="n">
        <v>0.42806</v>
      </c>
      <c r="P886" t="n">
        <v>1.0209</v>
      </c>
      <c r="Q886" t="n">
        <v>0.00066047</v>
      </c>
      <c r="R886" t="n">
        <v>0.067762</v>
      </c>
      <c r="S886" t="n">
        <v>-0.021221</v>
      </c>
      <c r="T886" t="n">
        <v>-0.53964</v>
      </c>
      <c r="U886" t="n">
        <v>-0.83243</v>
      </c>
      <c r="V886" t="n">
        <v>-1.6774</v>
      </c>
      <c r="W886" t="n">
        <v>0.29425</v>
      </c>
      <c r="X886" t="n">
        <v>-0.56465</v>
      </c>
      <c r="Y886" t="n">
        <v>0.45335</v>
      </c>
      <c r="Z886" t="n">
        <v>-0.61897</v>
      </c>
    </row>
    <row r="887">
      <c r="A887" t="inlineStr">
        <is>
          <t>cooler</t>
        </is>
      </c>
      <c r="B887" t="n">
        <v>-0.72945</v>
      </c>
      <c r="C887" t="n">
        <v>-0.3436</v>
      </c>
      <c r="D887" t="n">
        <v>0.27751</v>
      </c>
      <c r="E887" t="n">
        <v>-0.64062</v>
      </c>
      <c r="F887" t="n">
        <v>0.56631</v>
      </c>
      <c r="G887" t="n">
        <v>1.5973</v>
      </c>
      <c r="H887" t="n">
        <v>-0.12667</v>
      </c>
      <c r="I887" t="n">
        <v>-1.287</v>
      </c>
      <c r="J887" t="n">
        <v>-0.042115</v>
      </c>
      <c r="K887" t="n">
        <v>-0.076268</v>
      </c>
      <c r="L887" t="n">
        <v>0.035735</v>
      </c>
      <c r="M887" t="n">
        <v>0.40687</v>
      </c>
      <c r="N887" t="n">
        <v>-2.7446</v>
      </c>
      <c r="O887" t="n">
        <v>-0.35299</v>
      </c>
      <c r="P887" t="n">
        <v>-0.10959</v>
      </c>
      <c r="Q887" t="n">
        <v>0.072084</v>
      </c>
      <c r="R887" t="n">
        <v>1.2698</v>
      </c>
      <c r="S887" t="n">
        <v>0.22837</v>
      </c>
      <c r="T887" t="n">
        <v>1.039</v>
      </c>
      <c r="U887" t="n">
        <v>0.34042</v>
      </c>
      <c r="V887" t="n">
        <v>-0.13696</v>
      </c>
      <c r="W887" t="n">
        <v>-0.25365</v>
      </c>
      <c r="X887" t="n">
        <v>0.49779</v>
      </c>
      <c r="Y887" t="n">
        <v>0.5698</v>
      </c>
      <c r="Z887" t="n">
        <v>0.12128</v>
      </c>
    </row>
    <row r="888">
      <c r="A888" t="inlineStr">
        <is>
          <t>assignment</t>
        </is>
      </c>
      <c r="B888" t="n">
        <v>0.69225</v>
      </c>
      <c r="C888" t="n">
        <v>-0.10976</v>
      </c>
      <c r="D888" t="n">
        <v>0.80932</v>
      </c>
      <c r="E888" t="n">
        <v>-0.77715</v>
      </c>
      <c r="F888" t="n">
        <v>0.66889</v>
      </c>
      <c r="G888" t="n">
        <v>-0.16727</v>
      </c>
      <c r="H888" t="n">
        <v>0.99477</v>
      </c>
      <c r="I888" t="n">
        <v>-1.0887</v>
      </c>
      <c r="J888" t="n">
        <v>1.3554</v>
      </c>
      <c r="K888" t="n">
        <v>0.37129</v>
      </c>
      <c r="L888" t="n">
        <v>-0.6936600000000001</v>
      </c>
      <c r="M888" t="n">
        <v>0.1701</v>
      </c>
      <c r="N888" t="n">
        <v>-2.3671</v>
      </c>
      <c r="O888" t="n">
        <v>0.60205</v>
      </c>
      <c r="P888" t="n">
        <v>1.4155</v>
      </c>
      <c r="Q888" t="n">
        <v>0.60149</v>
      </c>
      <c r="R888" t="n">
        <v>1.2841</v>
      </c>
      <c r="S888" t="n">
        <v>-0.25578</v>
      </c>
      <c r="T888" t="n">
        <v>-0.3603</v>
      </c>
      <c r="U888" t="n">
        <v>-0.97193</v>
      </c>
      <c r="V888" t="n">
        <v>-0.92397</v>
      </c>
      <c r="W888" t="n">
        <v>-0.37329</v>
      </c>
      <c r="X888" t="n">
        <v>-0.88286</v>
      </c>
      <c r="Y888" t="n">
        <v>1.1979</v>
      </c>
      <c r="Z888" t="n">
        <v>-0.82177</v>
      </c>
    </row>
    <row r="889">
      <c r="A889" t="inlineStr">
        <is>
          <t>anthem</t>
        </is>
      </c>
      <c r="B889" t="n">
        <v>-0.31592</v>
      </c>
      <c r="C889" t="n">
        <v>0.35831</v>
      </c>
      <c r="D889" t="n">
        <v>0.55346</v>
      </c>
      <c r="E889" t="n">
        <v>-0.81502</v>
      </c>
      <c r="F889" t="n">
        <v>0.12569</v>
      </c>
      <c r="G889" t="n">
        <v>-0.75239</v>
      </c>
      <c r="H889" t="n">
        <v>1.2209</v>
      </c>
      <c r="I889" t="n">
        <v>0.03401</v>
      </c>
      <c r="J889" t="n">
        <v>0.26249</v>
      </c>
      <c r="K889" t="n">
        <v>-0.67218</v>
      </c>
      <c r="L889" t="n">
        <v>-0.2708</v>
      </c>
      <c r="M889" t="n">
        <v>1.1334</v>
      </c>
      <c r="N889" t="n">
        <v>-2.3623</v>
      </c>
      <c r="O889" t="n">
        <v>0.17215</v>
      </c>
      <c r="P889" t="n">
        <v>0.097576</v>
      </c>
      <c r="Q889" t="n">
        <v>0.66751</v>
      </c>
      <c r="R889" t="n">
        <v>-0.36725</v>
      </c>
      <c r="S889" t="n">
        <v>-0.22749</v>
      </c>
      <c r="T889" t="n">
        <v>0.6888300000000001</v>
      </c>
      <c r="U889" t="n">
        <v>0.81959</v>
      </c>
      <c r="V889" t="n">
        <v>-0.66981</v>
      </c>
      <c r="W889" t="n">
        <v>0.84312</v>
      </c>
      <c r="X889" t="n">
        <v>0.29213</v>
      </c>
      <c r="Y889" t="n">
        <v>-1.2475</v>
      </c>
      <c r="Z889" t="n">
        <v>1.128</v>
      </c>
    </row>
    <row r="890">
      <c r="A890" t="inlineStr">
        <is>
          <t>sector</t>
        </is>
      </c>
      <c r="B890" t="n">
        <v>-0.003951</v>
      </c>
      <c r="C890" t="n">
        <v>0.39165</v>
      </c>
      <c r="D890" t="n">
        <v>-0.89439</v>
      </c>
      <c r="E890" t="n">
        <v>-0.7521</v>
      </c>
      <c r="F890" t="n">
        <v>1.1587</v>
      </c>
      <c r="G890" t="n">
        <v>0.31</v>
      </c>
      <c r="H890" t="n">
        <v>-1.5778</v>
      </c>
      <c r="I890" t="n">
        <v>-0.043328</v>
      </c>
      <c r="J890" t="n">
        <v>1.0123</v>
      </c>
      <c r="K890" t="n">
        <v>-0.14888</v>
      </c>
      <c r="L890" t="n">
        <v>0.35527</v>
      </c>
      <c r="M890" t="n">
        <v>-1.5066</v>
      </c>
      <c r="N890" t="n">
        <v>-2.8438</v>
      </c>
      <c r="O890" t="n">
        <v>1.1582</v>
      </c>
      <c r="P890" t="n">
        <v>1.2473</v>
      </c>
      <c r="Q890" t="n">
        <v>-0.6941000000000001</v>
      </c>
      <c r="R890" t="n">
        <v>0.6541</v>
      </c>
      <c r="S890" t="n">
        <v>0.88158</v>
      </c>
      <c r="T890" t="n">
        <v>1.0298</v>
      </c>
      <c r="U890" t="n">
        <v>-0.42563</v>
      </c>
      <c r="V890" t="n">
        <v>0.3703</v>
      </c>
      <c r="W890" t="n">
        <v>-1.0558</v>
      </c>
      <c r="X890" t="n">
        <v>-0.051988</v>
      </c>
      <c r="Y890" t="n">
        <v>-1.0803</v>
      </c>
      <c r="Z890" t="n">
        <v>1.0715</v>
      </c>
    </row>
    <row r="891">
      <c r="A891" t="inlineStr">
        <is>
          <t>selection</t>
        </is>
      </c>
      <c r="B891" t="n">
        <v>-0.5748799999999999</v>
      </c>
      <c r="C891" t="n">
        <v>-0.22182</v>
      </c>
      <c r="D891" t="n">
        <v>-0.37099</v>
      </c>
      <c r="E891" t="n">
        <v>-0.60378</v>
      </c>
      <c r="F891" t="n">
        <v>0.96938</v>
      </c>
      <c r="G891" t="n">
        <v>0.024121</v>
      </c>
      <c r="H891" t="n">
        <v>0.35079</v>
      </c>
      <c r="I891" t="n">
        <v>-1.0671</v>
      </c>
      <c r="J891" t="n">
        <v>0.79278</v>
      </c>
      <c r="K891" t="n">
        <v>-0.62822</v>
      </c>
      <c r="L891" t="n">
        <v>0.96072</v>
      </c>
      <c r="M891" t="n">
        <v>0.30569</v>
      </c>
      <c r="N891" t="n">
        <v>-2.5981</v>
      </c>
      <c r="O891" t="n">
        <v>0.6013500000000001</v>
      </c>
      <c r="P891" t="n">
        <v>0.093918</v>
      </c>
      <c r="Q891" t="n">
        <v>-0.29986</v>
      </c>
      <c r="R891" t="n">
        <v>0.63806</v>
      </c>
      <c r="S891" t="n">
        <v>-0.47944</v>
      </c>
      <c r="T891" t="n">
        <v>0.1332</v>
      </c>
      <c r="U891" t="n">
        <v>0.83743</v>
      </c>
      <c r="V891" t="n">
        <v>-1.2913</v>
      </c>
      <c r="W891" t="n">
        <v>-0.6188900000000001</v>
      </c>
      <c r="X891" t="n">
        <v>-0.345</v>
      </c>
      <c r="Y891" t="n">
        <v>0.06478</v>
      </c>
      <c r="Z891" t="n">
        <v>-0.50858</v>
      </c>
    </row>
    <row r="892">
      <c r="A892" t="inlineStr">
        <is>
          <t>fourth</t>
        </is>
      </c>
      <c r="B892" t="n">
        <v>-0.12443</v>
      </c>
      <c r="C892" t="n">
        <v>0.72134</v>
      </c>
      <c r="D892" t="n">
        <v>0.77062</v>
      </c>
      <c r="E892" t="n">
        <v>-0.45096</v>
      </c>
      <c r="F892" t="n">
        <v>0.23051</v>
      </c>
      <c r="G892" t="n">
        <v>-0.42635</v>
      </c>
      <c r="H892" t="n">
        <v>0.76941</v>
      </c>
      <c r="I892" t="n">
        <v>-0.9446600000000001</v>
      </c>
      <c r="J892" t="n">
        <v>-0.0017689</v>
      </c>
      <c r="K892" t="n">
        <v>-0.8863</v>
      </c>
      <c r="L892" t="n">
        <v>0.021092</v>
      </c>
      <c r="M892" t="n">
        <v>0.53681</v>
      </c>
      <c r="N892" t="n">
        <v>-3.0085</v>
      </c>
      <c r="O892" t="n">
        <v>1.7051</v>
      </c>
      <c r="P892" t="n">
        <v>0.40941</v>
      </c>
      <c r="Q892" t="n">
        <v>-0.80277</v>
      </c>
      <c r="R892" t="n">
        <v>0.42743</v>
      </c>
      <c r="S892" t="n">
        <v>0.19321</v>
      </c>
      <c r="T892" t="n">
        <v>-0.39983</v>
      </c>
      <c r="U892" t="n">
        <v>-0.30484</v>
      </c>
      <c r="V892" t="n">
        <v>-1.4164</v>
      </c>
      <c r="W892" t="n">
        <v>0.72641</v>
      </c>
      <c r="X892" t="n">
        <v>0.7285700000000001</v>
      </c>
      <c r="Y892" t="n">
        <v>-0.43913</v>
      </c>
      <c r="Z892" t="n">
        <v>-0.75035</v>
      </c>
    </row>
    <row r="893">
      <c r="A893" t="inlineStr">
        <is>
          <t>scratch</t>
        </is>
      </c>
      <c r="B893" t="n">
        <v>-0.17931</v>
      </c>
      <c r="C893" t="n">
        <v>0.22065</v>
      </c>
      <c r="D893" t="n">
        <v>-0.20475</v>
      </c>
      <c r="E893" t="n">
        <v>0.61237</v>
      </c>
      <c r="F893" t="n">
        <v>0.16717</v>
      </c>
      <c r="G893" t="n">
        <v>-0.14108</v>
      </c>
      <c r="H893" t="n">
        <v>0.4321</v>
      </c>
      <c r="I893" t="n">
        <v>-1.3833</v>
      </c>
      <c r="J893" t="n">
        <v>0.022679</v>
      </c>
      <c r="K893" t="n">
        <v>-0.10018</v>
      </c>
      <c r="L893" t="n">
        <v>0.38901</v>
      </c>
      <c r="M893" t="n">
        <v>0.26601</v>
      </c>
      <c r="N893" t="n">
        <v>-2.6586</v>
      </c>
      <c r="O893" t="n">
        <v>-0.94977</v>
      </c>
      <c r="P893" t="n">
        <v>0.14817</v>
      </c>
      <c r="Q893" t="n">
        <v>0.35318</v>
      </c>
      <c r="R893" t="n">
        <v>0.85987</v>
      </c>
      <c r="S893" t="n">
        <v>-0.63308</v>
      </c>
      <c r="T893" t="n">
        <v>0.089139</v>
      </c>
      <c r="U893" t="n">
        <v>-0.19614</v>
      </c>
      <c r="V893" t="n">
        <v>-0.57959</v>
      </c>
      <c r="W893" t="n">
        <v>0.073573</v>
      </c>
      <c r="X893" t="n">
        <v>1.6617</v>
      </c>
      <c r="Y893" t="n">
        <v>0.63722</v>
      </c>
      <c r="Z893" t="n">
        <v>-0.08991499999999999</v>
      </c>
    </row>
    <row r="894">
      <c r="A894" t="inlineStr">
        <is>
          <t>cracking</t>
        </is>
      </c>
      <c r="B894" t="n">
        <v>-0.56372</v>
      </c>
      <c r="C894" t="n">
        <v>0.8848200000000001</v>
      </c>
      <c r="D894" t="n">
        <v>0.72733</v>
      </c>
      <c r="E894" t="n">
        <v>-0.13386</v>
      </c>
      <c r="F894" t="n">
        <v>0.53937</v>
      </c>
      <c r="G894" t="n">
        <v>0.38149</v>
      </c>
      <c r="H894" t="n">
        <v>0.98992</v>
      </c>
      <c r="I894" t="n">
        <v>-1.6633</v>
      </c>
      <c r="J894" t="n">
        <v>-0.72058</v>
      </c>
      <c r="K894" t="n">
        <v>-0.14924</v>
      </c>
      <c r="L894" t="n">
        <v>-0.24875</v>
      </c>
      <c r="M894" t="n">
        <v>1.0205</v>
      </c>
      <c r="N894" t="n">
        <v>-2.3898</v>
      </c>
      <c r="O894" t="n">
        <v>-0.48779</v>
      </c>
      <c r="P894" t="n">
        <v>1.1275</v>
      </c>
      <c r="Q894" t="n">
        <v>0.55198</v>
      </c>
      <c r="R894" t="n">
        <v>0.35829</v>
      </c>
      <c r="S894" t="n">
        <v>-0.36221</v>
      </c>
      <c r="T894" t="n">
        <v>-0.86921</v>
      </c>
      <c r="U894" t="n">
        <v>-0.33239</v>
      </c>
      <c r="V894" t="n">
        <v>-0.21447</v>
      </c>
      <c r="W894" t="n">
        <v>0.65128</v>
      </c>
      <c r="X894" t="n">
        <v>0.71835</v>
      </c>
      <c r="Y894" t="n">
        <v>-0.12896</v>
      </c>
      <c r="Z894" t="n">
        <v>-0.303</v>
      </c>
    </row>
    <row r="895">
      <c r="A895" t="inlineStr">
        <is>
          <t>offense</t>
        </is>
      </c>
      <c r="B895" t="n">
        <v>0.89471</v>
      </c>
      <c r="C895" t="n">
        <v>0.47806</v>
      </c>
      <c r="D895" t="n">
        <v>-0.888</v>
      </c>
      <c r="E895" t="n">
        <v>-0.81763</v>
      </c>
      <c r="F895" t="n">
        <v>-0.12901</v>
      </c>
      <c r="G895" t="n">
        <v>0.57495</v>
      </c>
      <c r="H895" t="n">
        <v>0.50268</v>
      </c>
      <c r="I895" t="n">
        <v>-0.89377</v>
      </c>
      <c r="J895" t="n">
        <v>0.16659</v>
      </c>
      <c r="K895" t="n">
        <v>-0.71807</v>
      </c>
      <c r="L895" t="n">
        <v>0.10091</v>
      </c>
      <c r="M895" t="n">
        <v>0.68306</v>
      </c>
      <c r="N895" t="n">
        <v>-2.9649</v>
      </c>
      <c r="O895" t="n">
        <v>0.49397</v>
      </c>
      <c r="P895" t="n">
        <v>1.6155</v>
      </c>
      <c r="Q895" t="n">
        <v>-0.24302</v>
      </c>
      <c r="R895" t="n">
        <v>-0.26557</v>
      </c>
      <c r="S895" t="n">
        <v>-0.88922</v>
      </c>
      <c r="T895" t="n">
        <v>0.58316</v>
      </c>
      <c r="U895" t="n">
        <v>-0.16394</v>
      </c>
      <c r="V895" t="n">
        <v>0.032669</v>
      </c>
      <c r="W895" t="n">
        <v>1.2811</v>
      </c>
      <c r="X895" t="n">
        <v>0.88378</v>
      </c>
      <c r="Y895" t="n">
        <v>-0.56996</v>
      </c>
      <c r="Z895" t="n">
        <v>-0.90999</v>
      </c>
    </row>
    <row r="896">
      <c r="A896" t="inlineStr">
        <is>
          <t>effective</t>
        </is>
      </c>
      <c r="B896" t="n">
        <v>0.023513</v>
      </c>
      <c r="C896" t="n">
        <v>-0.027658</v>
      </c>
      <c r="D896" t="n">
        <v>-1.3841</v>
      </c>
      <c r="E896" t="n">
        <v>-0.046019</v>
      </c>
      <c r="F896" t="n">
        <v>1.6647</v>
      </c>
      <c r="G896" t="n">
        <v>0.16504</v>
      </c>
      <c r="H896" t="n">
        <v>0.95929</v>
      </c>
      <c r="I896" t="n">
        <v>-1.2499</v>
      </c>
      <c r="J896" t="n">
        <v>0.44151</v>
      </c>
      <c r="K896" t="n">
        <v>-0.064399</v>
      </c>
      <c r="L896" t="n">
        <v>-0.072537</v>
      </c>
      <c r="M896" t="n">
        <v>-0.22835</v>
      </c>
      <c r="N896" t="n">
        <v>-2.5107</v>
      </c>
      <c r="O896" t="n">
        <v>0.29535</v>
      </c>
      <c r="P896" t="n">
        <v>0.80327</v>
      </c>
      <c r="Q896" t="n">
        <v>-0.055949</v>
      </c>
      <c r="R896" t="n">
        <v>0.56498</v>
      </c>
      <c r="S896" t="n">
        <v>0.51381</v>
      </c>
      <c r="T896" t="n">
        <v>0.82461</v>
      </c>
      <c r="U896" t="n">
        <v>-1.5243</v>
      </c>
      <c r="V896" t="n">
        <v>-0.9619799999999999</v>
      </c>
      <c r="W896" t="n">
        <v>-0.2599</v>
      </c>
      <c r="X896" t="n">
        <v>-1.1307</v>
      </c>
      <c r="Y896" t="n">
        <v>0.43291</v>
      </c>
      <c r="Z896" t="n">
        <v>-0.79078</v>
      </c>
    </row>
    <row r="897">
      <c r="A897" t="inlineStr">
        <is>
          <t>throughout</t>
        </is>
      </c>
      <c r="B897" t="n">
        <v>-0.31588</v>
      </c>
      <c r="C897" t="n">
        <v>0.21893</v>
      </c>
      <c r="D897" t="n">
        <v>0.41801</v>
      </c>
      <c r="E897" t="n">
        <v>0.0024201</v>
      </c>
      <c r="F897" t="n">
        <v>-0.18045</v>
      </c>
      <c r="G897" t="n">
        <v>-0.29624</v>
      </c>
      <c r="H897" t="n">
        <v>0.84411</v>
      </c>
      <c r="I897" t="n">
        <v>-1.3476</v>
      </c>
      <c r="J897" t="n">
        <v>-0.81009</v>
      </c>
      <c r="K897" t="n">
        <v>-0.09439599999999999</v>
      </c>
      <c r="L897" t="n">
        <v>-0.81825</v>
      </c>
      <c r="M897" t="n">
        <v>0.4076</v>
      </c>
      <c r="N897" t="n">
        <v>-3.1545</v>
      </c>
      <c r="O897" t="n">
        <v>1.7116</v>
      </c>
      <c r="P897" t="n">
        <v>0.22816</v>
      </c>
      <c r="Q897" t="n">
        <v>0.46949</v>
      </c>
      <c r="R897" t="n">
        <v>0.047775</v>
      </c>
      <c r="S897" t="n">
        <v>-0.027907</v>
      </c>
      <c r="T897" t="n">
        <v>0.56979</v>
      </c>
      <c r="U897" t="n">
        <v>-0.8021</v>
      </c>
      <c r="V897" t="n">
        <v>-1.2181</v>
      </c>
      <c r="W897" t="n">
        <v>-0.67604</v>
      </c>
      <c r="X897" t="n">
        <v>-0.51784</v>
      </c>
      <c r="Y897" t="n">
        <v>-0.58819</v>
      </c>
      <c r="Z897" t="n">
        <v>-0.14495</v>
      </c>
    </row>
    <row r="898">
      <c r="A898" t="inlineStr">
        <is>
          <t>invented</t>
        </is>
      </c>
      <c r="B898" t="n">
        <v>0.1866</v>
      </c>
      <c r="C898" t="n">
        <v>0.044162</v>
      </c>
      <c r="D898" t="n">
        <v>0.57725</v>
      </c>
      <c r="E898" t="n">
        <v>-0.28975</v>
      </c>
      <c r="F898" t="n">
        <v>-0.1677</v>
      </c>
      <c r="G898" t="n">
        <v>-0.53647</v>
      </c>
      <c r="H898" t="n">
        <v>0.97698</v>
      </c>
      <c r="I898" t="n">
        <v>-1.505</v>
      </c>
      <c r="J898" t="n">
        <v>-0.20352</v>
      </c>
      <c r="K898" t="n">
        <v>0.49926</v>
      </c>
      <c r="L898" t="n">
        <v>1.0934</v>
      </c>
      <c r="M898" t="n">
        <v>0.2968</v>
      </c>
      <c r="N898" t="n">
        <v>-3.0839</v>
      </c>
      <c r="O898" t="n">
        <v>-0.93403</v>
      </c>
      <c r="P898" t="n">
        <v>0.19329</v>
      </c>
      <c r="Q898" t="n">
        <v>0.97779</v>
      </c>
      <c r="R898" t="n">
        <v>1.1429</v>
      </c>
      <c r="S898" t="n">
        <v>0.56146</v>
      </c>
      <c r="T898" t="n">
        <v>1.3623</v>
      </c>
      <c r="U898" t="n">
        <v>0.073459</v>
      </c>
      <c r="V898" t="n">
        <v>0.3711</v>
      </c>
      <c r="W898" t="n">
        <v>1.0582</v>
      </c>
      <c r="X898" t="n">
        <v>-0.17476</v>
      </c>
      <c r="Y898" t="n">
        <v>-0.19476</v>
      </c>
      <c r="Z898" t="n">
        <v>-0.085267</v>
      </c>
    </row>
    <row r="899">
      <c r="A899" t="inlineStr">
        <is>
          <t>emotionally</t>
        </is>
      </c>
      <c r="B899" t="n">
        <v>-0.76025</v>
      </c>
      <c r="C899" t="n">
        <v>-0.92694</v>
      </c>
      <c r="D899" t="n">
        <v>-0.42458</v>
      </c>
      <c r="E899" t="n">
        <v>-0.50858</v>
      </c>
      <c r="F899" t="n">
        <v>0.34164</v>
      </c>
      <c r="G899" t="n">
        <v>1.4011</v>
      </c>
      <c r="H899" t="n">
        <v>0.93953</v>
      </c>
      <c r="I899" t="n">
        <v>-1.4079</v>
      </c>
      <c r="J899" t="n">
        <v>-0.45896</v>
      </c>
      <c r="K899" t="n">
        <v>0.45556</v>
      </c>
      <c r="L899" t="n">
        <v>-1.4991</v>
      </c>
      <c r="M899" t="n">
        <v>0.68581</v>
      </c>
      <c r="N899" t="n">
        <v>-2.4728</v>
      </c>
      <c r="O899" t="n">
        <v>0.50985</v>
      </c>
      <c r="P899" t="n">
        <v>-0.64741</v>
      </c>
      <c r="Q899" t="n">
        <v>0.48563</v>
      </c>
      <c r="R899" t="n">
        <v>0.088309</v>
      </c>
      <c r="S899" t="n">
        <v>0.53994</v>
      </c>
      <c r="T899" t="n">
        <v>1.6519</v>
      </c>
      <c r="U899" t="n">
        <v>-3.151</v>
      </c>
      <c r="V899" t="n">
        <v>0.20995</v>
      </c>
      <c r="W899" t="n">
        <v>0.40494</v>
      </c>
      <c r="X899" t="n">
        <v>-0.039833</v>
      </c>
      <c r="Y899" t="n">
        <v>-0.50302</v>
      </c>
      <c r="Z899" t="n">
        <v>-1.0802</v>
      </c>
    </row>
    <row r="900">
      <c r="A900" t="inlineStr">
        <is>
          <t>concerned</t>
        </is>
      </c>
      <c r="B900" t="n">
        <v>-0.35004</v>
      </c>
      <c r="C900" t="n">
        <v>0.30084</v>
      </c>
      <c r="D900" t="n">
        <v>-0.52364</v>
      </c>
      <c r="E900" t="n">
        <v>-0.64538</v>
      </c>
      <c r="F900" t="n">
        <v>0.11967</v>
      </c>
      <c r="G900" t="n">
        <v>0.18692</v>
      </c>
      <c r="H900" t="n">
        <v>0.69516</v>
      </c>
      <c r="I900" t="n">
        <v>-1.181</v>
      </c>
      <c r="J900" t="n">
        <v>-0.29825</v>
      </c>
      <c r="K900" t="n">
        <v>0.1262</v>
      </c>
      <c r="L900" t="n">
        <v>-1.0066</v>
      </c>
      <c r="M900" t="n">
        <v>0.38831</v>
      </c>
      <c r="N900" t="n">
        <v>-3.0819</v>
      </c>
      <c r="O900" t="n">
        <v>0.39927</v>
      </c>
      <c r="P900" t="n">
        <v>0.23187</v>
      </c>
      <c r="Q900" t="n">
        <v>-0.16906</v>
      </c>
      <c r="R900" t="n">
        <v>0.09253599999999999</v>
      </c>
      <c r="S900" t="n">
        <v>0.41874</v>
      </c>
      <c r="T900" t="n">
        <v>0.74261</v>
      </c>
      <c r="U900" t="n">
        <v>-1.3946</v>
      </c>
      <c r="V900" t="n">
        <v>1.1995</v>
      </c>
      <c r="W900" t="n">
        <v>0.43605</v>
      </c>
      <c r="X900" t="n">
        <v>-0.85905</v>
      </c>
      <c r="Y900" t="n">
        <v>-0.62834</v>
      </c>
      <c r="Z900" t="n">
        <v>-1.5457</v>
      </c>
    </row>
    <row r="901">
      <c r="A901" t="inlineStr">
        <is>
          <t>tricks</t>
        </is>
      </c>
      <c r="B901" t="n">
        <v>0.48267</v>
      </c>
      <c r="C901" t="n">
        <v>0.86891</v>
      </c>
      <c r="D901" t="n">
        <v>-0.3404</v>
      </c>
      <c r="E901" t="n">
        <v>0.054108</v>
      </c>
      <c r="F901" t="n">
        <v>1.4162</v>
      </c>
      <c r="G901" t="n">
        <v>0.30421</v>
      </c>
      <c r="H901" t="n">
        <v>0.43623</v>
      </c>
      <c r="I901" t="n">
        <v>-1.4653</v>
      </c>
      <c r="J901" t="n">
        <v>0.23041</v>
      </c>
      <c r="K901" t="n">
        <v>-0.43397</v>
      </c>
      <c r="L901" t="n">
        <v>-0.044546</v>
      </c>
      <c r="M901" t="n">
        <v>0.7543299999999999</v>
      </c>
      <c r="N901" t="n">
        <v>-2.5321</v>
      </c>
      <c r="O901" t="n">
        <v>-1.1689</v>
      </c>
      <c r="P901" t="n">
        <v>-0.28087</v>
      </c>
      <c r="Q901" t="n">
        <v>0.53221</v>
      </c>
      <c r="R901" t="n">
        <v>-0.03296</v>
      </c>
      <c r="S901" t="n">
        <v>-0.83627</v>
      </c>
      <c r="T901" t="n">
        <v>0.68937</v>
      </c>
      <c r="U901" t="n">
        <v>-0.15165</v>
      </c>
      <c r="V901" t="n">
        <v>-0.25366</v>
      </c>
      <c r="W901" t="n">
        <v>-0.31531</v>
      </c>
      <c r="X901" t="n">
        <v>0.0041921</v>
      </c>
      <c r="Y901" t="n">
        <v>0.067672</v>
      </c>
      <c r="Z901" t="n">
        <v>-0.091916</v>
      </c>
    </row>
    <row r="902">
      <c r="A902" t="inlineStr">
        <is>
          <t>refollow</t>
        </is>
      </c>
      <c r="B902" t="n">
        <v>-0.12872</v>
      </c>
      <c r="C902" t="n">
        <v>0.40716</v>
      </c>
      <c r="D902" t="n">
        <v>-0.87971</v>
      </c>
      <c r="E902" t="n">
        <v>-1.1569</v>
      </c>
      <c r="F902" t="n">
        <v>-1.6767</v>
      </c>
      <c r="G902" t="n">
        <v>-1.226</v>
      </c>
      <c r="H902" t="n">
        <v>-1.0102</v>
      </c>
      <c r="I902" t="n">
        <v>0.19124</v>
      </c>
      <c r="J902" t="n">
        <v>-1.0674</v>
      </c>
      <c r="K902" t="n">
        <v>0.43936</v>
      </c>
      <c r="L902" t="n">
        <v>-0.7208599999999999</v>
      </c>
      <c r="M902" t="n">
        <v>1.0975</v>
      </c>
      <c r="N902" t="n">
        <v>-1.4964</v>
      </c>
      <c r="O902" t="n">
        <v>-1.6373</v>
      </c>
      <c r="P902" t="n">
        <v>-1.8141</v>
      </c>
      <c r="Q902" t="n">
        <v>0.18026</v>
      </c>
      <c r="R902" t="n">
        <v>-0.22379</v>
      </c>
      <c r="S902" t="n">
        <v>-1.2734</v>
      </c>
      <c r="T902" t="n">
        <v>-0.045587</v>
      </c>
      <c r="U902" t="n">
        <v>0.14898</v>
      </c>
      <c r="V902" t="n">
        <v>0.6943</v>
      </c>
      <c r="W902" t="n">
        <v>-2.5437</v>
      </c>
      <c r="X902" t="n">
        <v>1.1196</v>
      </c>
      <c r="Y902" t="n">
        <v>-0.44857</v>
      </c>
      <c r="Z902" t="n">
        <v>-0.75107</v>
      </c>
    </row>
    <row r="903">
      <c r="A903" t="inlineStr">
        <is>
          <t>counts</t>
        </is>
      </c>
      <c r="B903" t="n">
        <v>0.62537</v>
      </c>
      <c r="C903" t="n">
        <v>0.46408</v>
      </c>
      <c r="D903" t="n">
        <v>-0.6301</v>
      </c>
      <c r="E903" t="n">
        <v>0.30433</v>
      </c>
      <c r="F903" t="n">
        <v>0.15315</v>
      </c>
      <c r="G903" t="n">
        <v>-1.3053</v>
      </c>
      <c r="H903" t="n">
        <v>1.1563</v>
      </c>
      <c r="I903" t="n">
        <v>-1.718</v>
      </c>
      <c r="J903" t="n">
        <v>-1.3655</v>
      </c>
      <c r="K903" t="n">
        <v>-0.06719</v>
      </c>
      <c r="L903" t="n">
        <v>0.38425</v>
      </c>
      <c r="M903" t="n">
        <v>0.73095</v>
      </c>
      <c r="N903" t="n">
        <v>-2.3156</v>
      </c>
      <c r="O903" t="n">
        <v>0.32977</v>
      </c>
      <c r="P903" t="n">
        <v>0.27022</v>
      </c>
      <c r="Q903" t="n">
        <v>0.11481</v>
      </c>
      <c r="R903" t="n">
        <v>-0.61593</v>
      </c>
      <c r="S903" t="n">
        <v>-0.05746</v>
      </c>
      <c r="T903" t="n">
        <v>0.12686</v>
      </c>
      <c r="U903" t="n">
        <v>-0.84488</v>
      </c>
      <c r="V903" t="n">
        <v>-0.49799</v>
      </c>
      <c r="W903" t="n">
        <v>0.65218</v>
      </c>
      <c r="X903" t="n">
        <v>0.23341</v>
      </c>
      <c r="Y903" t="n">
        <v>0.13797</v>
      </c>
      <c r="Z903" t="n">
        <v>-0.49218</v>
      </c>
    </row>
    <row r="904">
      <c r="A904" t="inlineStr">
        <is>
          <t>function</t>
        </is>
      </c>
      <c r="B904" t="n">
        <v>-0.099491</v>
      </c>
      <c r="C904" t="n">
        <v>0.33268</v>
      </c>
      <c r="D904" t="n">
        <v>-0.3326</v>
      </c>
      <c r="E904" t="n">
        <v>-0.081667</v>
      </c>
      <c r="F904" t="n">
        <v>0.7252</v>
      </c>
      <c r="G904" t="n">
        <v>0.5279700000000001</v>
      </c>
      <c r="H904" t="n">
        <v>0.76275</v>
      </c>
      <c r="I904" t="n">
        <v>-1.0984</v>
      </c>
      <c r="J904" t="n">
        <v>1.6097</v>
      </c>
      <c r="K904" t="n">
        <v>0.54755</v>
      </c>
      <c r="L904" t="n">
        <v>-1.1109</v>
      </c>
      <c r="M904" t="n">
        <v>0.45114</v>
      </c>
      <c r="N904" t="n">
        <v>-2.5516</v>
      </c>
      <c r="O904" t="n">
        <v>0.051197</v>
      </c>
      <c r="P904" t="n">
        <v>0.48391</v>
      </c>
      <c r="Q904" t="n">
        <v>1.053</v>
      </c>
      <c r="R904" t="n">
        <v>0.57451</v>
      </c>
      <c r="S904" t="n">
        <v>-0.29387</v>
      </c>
      <c r="T904" t="n">
        <v>0.38617</v>
      </c>
      <c r="U904" t="n">
        <v>-0.74171</v>
      </c>
      <c r="V904" t="n">
        <v>-0.19637</v>
      </c>
      <c r="W904" t="n">
        <v>-0.42348</v>
      </c>
      <c r="X904" t="n">
        <v>-0.1765</v>
      </c>
      <c r="Y904" t="n">
        <v>0.6235000000000001</v>
      </c>
      <c r="Z904" t="n">
        <v>-0.39422</v>
      </c>
    </row>
    <row r="905">
      <c r="A905" t="inlineStr">
        <is>
          <t>wing</t>
        </is>
      </c>
      <c r="B905" t="n">
        <v>-0.30429</v>
      </c>
      <c r="C905" t="n">
        <v>0.23441</v>
      </c>
      <c r="D905" t="n">
        <v>0.083624</v>
      </c>
      <c r="E905" t="n">
        <v>0.062832</v>
      </c>
      <c r="F905" t="n">
        <v>-0.0072147</v>
      </c>
      <c r="G905" t="n">
        <v>-0.01534</v>
      </c>
      <c r="H905" t="n">
        <v>0.65485</v>
      </c>
      <c r="I905" t="n">
        <v>-0.79161</v>
      </c>
      <c r="J905" t="n">
        <v>1.2095</v>
      </c>
      <c r="K905" t="n">
        <v>0.10517</v>
      </c>
      <c r="L905" t="n">
        <v>0.20483</v>
      </c>
      <c r="M905" t="n">
        <v>0.2556</v>
      </c>
      <c r="N905" t="n">
        <v>-2.5853</v>
      </c>
      <c r="O905" t="n">
        <v>-0.0027361</v>
      </c>
      <c r="P905" t="n">
        <v>0.20675</v>
      </c>
      <c r="Q905" t="n">
        <v>-0.52806</v>
      </c>
      <c r="R905" t="n">
        <v>0.66918</v>
      </c>
      <c r="S905" t="n">
        <v>-0.39018</v>
      </c>
      <c r="T905" t="n">
        <v>0.28729</v>
      </c>
      <c r="U905" t="n">
        <v>0.65157</v>
      </c>
      <c r="V905" t="n">
        <v>-0.31405</v>
      </c>
      <c r="W905" t="n">
        <v>0.76533</v>
      </c>
      <c r="X905" t="n">
        <v>0.24414</v>
      </c>
      <c r="Y905" t="n">
        <v>-0.71673</v>
      </c>
      <c r="Z905" t="n">
        <v>0.26911</v>
      </c>
    </row>
    <row r="906">
      <c r="A906" t="inlineStr">
        <is>
          <t>hiphop</t>
        </is>
      </c>
      <c r="B906" t="n">
        <v>0.12994</v>
      </c>
      <c r="C906" t="n">
        <v>1.1345</v>
      </c>
      <c r="D906" t="n">
        <v>0.21045</v>
      </c>
      <c r="E906" t="n">
        <v>-0.51527</v>
      </c>
      <c r="F906" t="n">
        <v>1.093</v>
      </c>
      <c r="G906" t="n">
        <v>-0.19812</v>
      </c>
      <c r="H906" t="n">
        <v>0.50974</v>
      </c>
      <c r="I906" t="n">
        <v>0.14004</v>
      </c>
      <c r="J906" t="n">
        <v>0.32676</v>
      </c>
      <c r="K906" t="n">
        <v>-1.0279</v>
      </c>
      <c r="L906" t="n">
        <v>-0.75642</v>
      </c>
      <c r="M906" t="n">
        <v>0.9187</v>
      </c>
      <c r="N906" t="n">
        <v>-1.9581</v>
      </c>
      <c r="O906" t="n">
        <v>-0.33911</v>
      </c>
      <c r="P906" t="n">
        <v>-0.30569</v>
      </c>
      <c r="Q906" t="n">
        <v>0.36702</v>
      </c>
      <c r="R906" t="n">
        <v>-0.06818</v>
      </c>
      <c r="S906" t="n">
        <v>-0.30074</v>
      </c>
      <c r="T906" t="n">
        <v>-0.047107</v>
      </c>
      <c r="U906" t="n">
        <v>1.5001</v>
      </c>
      <c r="V906" t="n">
        <v>-0.1717</v>
      </c>
      <c r="W906" t="n">
        <v>-0.47845</v>
      </c>
      <c r="X906" t="n">
        <v>-0.60597</v>
      </c>
      <c r="Y906" t="n">
        <v>-1.7181</v>
      </c>
      <c r="Z906" t="n">
        <v>1.4199</v>
      </c>
    </row>
    <row r="907">
      <c r="A907" t="inlineStr">
        <is>
          <t>tocando</t>
        </is>
      </c>
      <c r="B907" t="n">
        <v>0.64198</v>
      </c>
      <c r="C907" t="n">
        <v>-0.569</v>
      </c>
      <c r="D907" t="n">
        <v>2.4524</v>
      </c>
      <c r="E907" t="n">
        <v>-0.023599</v>
      </c>
      <c r="F907" t="n">
        <v>-0.33603</v>
      </c>
      <c r="G907" t="n">
        <v>0.3102</v>
      </c>
      <c r="H907" t="n">
        <v>0.048102</v>
      </c>
      <c r="I907" t="n">
        <v>1.0471</v>
      </c>
      <c r="J907" t="n">
        <v>0.44884</v>
      </c>
      <c r="K907" t="n">
        <v>-1.6339</v>
      </c>
      <c r="L907" t="n">
        <v>-0.34805</v>
      </c>
      <c r="M907" t="n">
        <v>-1.4188</v>
      </c>
      <c r="N907" t="n">
        <v>-0.81969</v>
      </c>
      <c r="O907" t="n">
        <v>-1.2038</v>
      </c>
      <c r="P907" t="n">
        <v>0.19976</v>
      </c>
      <c r="Q907" t="n">
        <v>1.0423</v>
      </c>
      <c r="R907" t="n">
        <v>-0.25672</v>
      </c>
      <c r="S907" t="n">
        <v>-0.13186</v>
      </c>
      <c r="T907" t="n">
        <v>0.29052</v>
      </c>
      <c r="U907" t="n">
        <v>-0.7875799999999999</v>
      </c>
      <c r="V907" t="n">
        <v>0.16433</v>
      </c>
      <c r="W907" t="n">
        <v>-0.055957</v>
      </c>
      <c r="X907" t="n">
        <v>1.1279</v>
      </c>
      <c r="Y907" t="n">
        <v>-0.052383</v>
      </c>
      <c r="Z907" t="n">
        <v>1.3302</v>
      </c>
    </row>
    <row r="908">
      <c r="A908" t="inlineStr">
        <is>
          <t>appearance</t>
        </is>
      </c>
      <c r="B908" t="n">
        <v>-0.45388</v>
      </c>
      <c r="C908" t="n">
        <v>-0.16416</v>
      </c>
      <c r="D908" t="n">
        <v>-0.15422</v>
      </c>
      <c r="E908" t="n">
        <v>-0.083885</v>
      </c>
      <c r="F908" t="n">
        <v>0.67349</v>
      </c>
      <c r="G908" t="n">
        <v>-0.37926</v>
      </c>
      <c r="H908" t="n">
        <v>1.0632</v>
      </c>
      <c r="I908" t="n">
        <v>-0.8561</v>
      </c>
      <c r="J908" t="n">
        <v>-0.057606</v>
      </c>
      <c r="K908" t="n">
        <v>-1.2082</v>
      </c>
      <c r="L908" t="n">
        <v>-0.12721</v>
      </c>
      <c r="M908" t="n">
        <v>0.93489</v>
      </c>
      <c r="N908" t="n">
        <v>-2.9747</v>
      </c>
      <c r="O908" t="n">
        <v>1.2354</v>
      </c>
      <c r="P908" t="n">
        <v>0.63818</v>
      </c>
      <c r="Q908" t="n">
        <v>0.45508</v>
      </c>
      <c r="R908" t="n">
        <v>-0.29124</v>
      </c>
      <c r="S908" t="n">
        <v>-0.24213</v>
      </c>
      <c r="T908" t="n">
        <v>-0.036695</v>
      </c>
      <c r="U908" t="n">
        <v>-0.35079</v>
      </c>
      <c r="V908" t="n">
        <v>-0.53106</v>
      </c>
      <c r="W908" t="n">
        <v>0.36906</v>
      </c>
      <c r="X908" t="n">
        <v>-0.2996</v>
      </c>
      <c r="Y908" t="n">
        <v>-0.49399</v>
      </c>
      <c r="Z908" t="n">
        <v>-1.2182</v>
      </c>
    </row>
    <row r="909">
      <c r="A909" t="inlineStr">
        <is>
          <t>wherever</t>
        </is>
      </c>
      <c r="B909" t="n">
        <v>-1.1343</v>
      </c>
      <c r="C909" t="n">
        <v>0.36743</v>
      </c>
      <c r="D909" t="n">
        <v>-0.44313</v>
      </c>
      <c r="E909" t="n">
        <v>0.59097</v>
      </c>
      <c r="F909" t="n">
        <v>-1.592</v>
      </c>
      <c r="G909" t="n">
        <v>-0.39486</v>
      </c>
      <c r="H909" t="n">
        <v>0.74004</v>
      </c>
      <c r="I909" t="n">
        <v>-0.78769</v>
      </c>
      <c r="J909" t="n">
        <v>-0.2495</v>
      </c>
      <c r="K909" t="n">
        <v>-0.108</v>
      </c>
      <c r="L909" t="n">
        <v>-0.5742699999999999</v>
      </c>
      <c r="M909" t="n">
        <v>0.39401</v>
      </c>
      <c r="N909" t="n">
        <v>-2.9954</v>
      </c>
      <c r="O909" t="n">
        <v>0.43483</v>
      </c>
      <c r="P909" t="n">
        <v>-0.23151</v>
      </c>
      <c r="Q909" t="n">
        <v>0.75997</v>
      </c>
      <c r="R909" t="n">
        <v>-0.16496</v>
      </c>
      <c r="S909" t="n">
        <v>-0.29607</v>
      </c>
      <c r="T909" t="n">
        <v>1.0766</v>
      </c>
      <c r="U909" t="n">
        <v>-0.057771</v>
      </c>
      <c r="V909" t="n">
        <v>0.42129</v>
      </c>
      <c r="W909" t="n">
        <v>-0.53215</v>
      </c>
      <c r="X909" t="n">
        <v>0.044604</v>
      </c>
      <c r="Y909" t="n">
        <v>0.37951</v>
      </c>
      <c r="Z909" t="n">
        <v>-0.029344</v>
      </c>
    </row>
    <row r="910">
      <c r="A910" t="inlineStr">
        <is>
          <t>warrior</t>
        </is>
      </c>
      <c r="B910" t="n">
        <v>-0.80999</v>
      </c>
      <c r="C910" t="n">
        <v>-0.3817</v>
      </c>
      <c r="D910" t="n">
        <v>-0.28406</v>
      </c>
      <c r="E910" t="n">
        <v>-0.19033</v>
      </c>
      <c r="F910" t="n">
        <v>0.09934900000000001</v>
      </c>
      <c r="G910" t="n">
        <v>-0.36131</v>
      </c>
      <c r="H910" t="n">
        <v>1.3527</v>
      </c>
      <c r="I910" t="n">
        <v>0.27573</v>
      </c>
      <c r="J910" t="n">
        <v>0.71683</v>
      </c>
      <c r="K910" t="n">
        <v>-1.198</v>
      </c>
      <c r="L910" t="n">
        <v>0.063309</v>
      </c>
      <c r="M910" t="n">
        <v>0.27497</v>
      </c>
      <c r="N910" t="n">
        <v>-2.2148</v>
      </c>
      <c r="O910" t="n">
        <v>0.24116</v>
      </c>
      <c r="P910" t="n">
        <v>-0.22036</v>
      </c>
      <c r="Q910" t="n">
        <v>0.57177</v>
      </c>
      <c r="R910" t="n">
        <v>-0.4938</v>
      </c>
      <c r="S910" t="n">
        <v>0.1622</v>
      </c>
      <c r="T910" t="n">
        <v>0.5073800000000001</v>
      </c>
      <c r="U910" t="n">
        <v>0.72442</v>
      </c>
      <c r="V910" t="n">
        <v>-0.69376</v>
      </c>
      <c r="W910" t="n">
        <v>0.86907</v>
      </c>
      <c r="X910" t="n">
        <v>-0.018216</v>
      </c>
      <c r="Y910" t="n">
        <v>-0.73139</v>
      </c>
      <c r="Z910" t="n">
        <v>0.48322</v>
      </c>
    </row>
    <row r="911">
      <c r="A911" t="inlineStr">
        <is>
          <t>pleasee</t>
        </is>
      </c>
      <c r="B911" t="n">
        <v>-0.8221000000000001</v>
      </c>
      <c r="C911" t="n">
        <v>0.8519</v>
      </c>
      <c r="D911" t="n">
        <v>-0.5898600000000001</v>
      </c>
      <c r="E911" t="n">
        <v>-0.15438</v>
      </c>
      <c r="F911" t="n">
        <v>-1.2614</v>
      </c>
      <c r="G911" t="n">
        <v>-1.3195</v>
      </c>
      <c r="H911" t="n">
        <v>0.40814</v>
      </c>
      <c r="I911" t="n">
        <v>0.49602</v>
      </c>
      <c r="J911" t="n">
        <v>-1.3926</v>
      </c>
      <c r="K911" t="n">
        <v>-0.22076</v>
      </c>
      <c r="L911" t="n">
        <v>-0.82894</v>
      </c>
      <c r="M911" t="n">
        <v>0.056549</v>
      </c>
      <c r="N911" t="n">
        <v>-1.8626</v>
      </c>
      <c r="O911" t="n">
        <v>-1.0983</v>
      </c>
      <c r="P911" t="n">
        <v>-0.302</v>
      </c>
      <c r="Q911" t="n">
        <v>0.2786</v>
      </c>
      <c r="R911" t="n">
        <v>-0.22</v>
      </c>
      <c r="S911" t="n">
        <v>-1.7021</v>
      </c>
      <c r="T911" t="n">
        <v>-0.5661</v>
      </c>
      <c r="U911" t="n">
        <v>-0.23103</v>
      </c>
      <c r="V911" t="n">
        <v>0.04605</v>
      </c>
      <c r="W911" t="n">
        <v>-0.55433</v>
      </c>
      <c r="X911" t="n">
        <v>-0.26351</v>
      </c>
      <c r="Y911" t="n">
        <v>1.6016</v>
      </c>
      <c r="Z911" t="n">
        <v>-0.58775</v>
      </c>
    </row>
    <row r="912">
      <c r="A912" t="inlineStr">
        <is>
          <t>forces</t>
        </is>
      </c>
      <c r="B912" t="n">
        <v>0.30581</v>
      </c>
      <c r="C912" t="n">
        <v>0.34244</v>
      </c>
      <c r="D912" t="n">
        <v>-1.2494</v>
      </c>
      <c r="E912" t="n">
        <v>0.28724</v>
      </c>
      <c r="F912" t="n">
        <v>-0.49799</v>
      </c>
      <c r="G912" t="n">
        <v>-0.7095900000000001</v>
      </c>
      <c r="H912" t="n">
        <v>0.17198</v>
      </c>
      <c r="I912" t="n">
        <v>-1.2442</v>
      </c>
      <c r="J912" t="n">
        <v>0.91264</v>
      </c>
      <c r="K912" t="n">
        <v>0.65017</v>
      </c>
      <c r="L912" t="n">
        <v>1.0633</v>
      </c>
      <c r="M912" t="n">
        <v>-0.19655</v>
      </c>
      <c r="N912" t="n">
        <v>-2.8617</v>
      </c>
      <c r="O912" t="n">
        <v>1.401</v>
      </c>
      <c r="P912" t="n">
        <v>-0.20105</v>
      </c>
      <c r="Q912" t="n">
        <v>0.63818</v>
      </c>
      <c r="R912" t="n">
        <v>-0.07861600000000001</v>
      </c>
      <c r="S912" t="n">
        <v>-0.07825699999999999</v>
      </c>
      <c r="T912" t="n">
        <v>0.38925</v>
      </c>
      <c r="U912" t="n">
        <v>-0.38417</v>
      </c>
      <c r="V912" t="n">
        <v>0.1589</v>
      </c>
      <c r="W912" t="n">
        <v>0.18077</v>
      </c>
      <c r="X912" t="n">
        <v>0.012366</v>
      </c>
      <c r="Y912" t="n">
        <v>-2.1626</v>
      </c>
      <c r="Z912" t="n">
        <v>-0.098145</v>
      </c>
    </row>
    <row r="913">
      <c r="A913" t="inlineStr">
        <is>
          <t>champs</t>
        </is>
      </c>
      <c r="B913" t="n">
        <v>0.14971</v>
      </c>
      <c r="C913" t="n">
        <v>0.49685</v>
      </c>
      <c r="D913" t="n">
        <v>-0.84773</v>
      </c>
      <c r="E913" t="n">
        <v>-1.6062</v>
      </c>
      <c r="F913" t="n">
        <v>-0.27927</v>
      </c>
      <c r="G913" t="n">
        <v>0.14051</v>
      </c>
      <c r="H913" t="n">
        <v>-0.11094</v>
      </c>
      <c r="I913" t="n">
        <v>-0.82443</v>
      </c>
      <c r="J913" t="n">
        <v>-0.21125</v>
      </c>
      <c r="K913" t="n">
        <v>-0.65871</v>
      </c>
      <c r="L913" t="n">
        <v>-0.21369</v>
      </c>
      <c r="M913" t="n">
        <v>-0.11889</v>
      </c>
      <c r="N913" t="n">
        <v>-2.5043</v>
      </c>
      <c r="O913" t="n">
        <v>1.374</v>
      </c>
      <c r="P913" t="n">
        <v>0.7674299999999999</v>
      </c>
      <c r="Q913" t="n">
        <v>0.07709000000000001</v>
      </c>
      <c r="R913" t="n">
        <v>-0.51125</v>
      </c>
      <c r="S913" t="n">
        <v>-1.1879</v>
      </c>
      <c r="T913" t="n">
        <v>-0.74492</v>
      </c>
      <c r="U913" t="n">
        <v>1.4472</v>
      </c>
      <c r="V913" t="n">
        <v>-1.1037</v>
      </c>
      <c r="W913" t="n">
        <v>0.49654</v>
      </c>
      <c r="X913" t="n">
        <v>0.9676900000000001</v>
      </c>
      <c r="Y913" t="n">
        <v>-0.86347</v>
      </c>
      <c r="Z913" t="n">
        <v>0.6156199999999999</v>
      </c>
    </row>
    <row r="914">
      <c r="A914" t="inlineStr">
        <is>
          <t>coverage</t>
        </is>
      </c>
      <c r="B914" t="n">
        <v>0.39792</v>
      </c>
      <c r="C914" t="n">
        <v>0.42458</v>
      </c>
      <c r="D914" t="n">
        <v>-0.60641</v>
      </c>
      <c r="E914" t="n">
        <v>-1.028</v>
      </c>
      <c r="F914" t="n">
        <v>0.84962</v>
      </c>
      <c r="G914" t="n">
        <v>-0.8974</v>
      </c>
      <c r="H914" t="n">
        <v>0.9225</v>
      </c>
      <c r="I914" t="n">
        <v>-1.0039</v>
      </c>
      <c r="J914" t="n">
        <v>0.32205</v>
      </c>
      <c r="K914" t="n">
        <v>-0.49971</v>
      </c>
      <c r="L914" t="n">
        <v>0.13696</v>
      </c>
      <c r="M914" t="n">
        <v>0.40725</v>
      </c>
      <c r="N914" t="n">
        <v>-2.6545</v>
      </c>
      <c r="O914" t="n">
        <v>1.1526</v>
      </c>
      <c r="P914" t="n">
        <v>1.5262</v>
      </c>
      <c r="Q914" t="n">
        <v>0.061022</v>
      </c>
      <c r="R914" t="n">
        <v>-0.21213</v>
      </c>
      <c r="S914" t="n">
        <v>0.082596</v>
      </c>
      <c r="T914" t="n">
        <v>-0.09990300000000001</v>
      </c>
      <c r="U914" t="n">
        <v>-0.51663</v>
      </c>
      <c r="V914" t="n">
        <v>-0.9653</v>
      </c>
      <c r="W914" t="n">
        <v>-0.5954700000000001</v>
      </c>
      <c r="X914" t="n">
        <v>0.17266</v>
      </c>
      <c r="Y914" t="n">
        <v>-0.97858</v>
      </c>
      <c r="Z914" t="n">
        <v>-0.7574</v>
      </c>
    </row>
    <row r="915">
      <c r="A915" t="inlineStr">
        <is>
          <t>property</t>
        </is>
      </c>
      <c r="B915" t="n">
        <v>-0.9902300000000001</v>
      </c>
      <c r="C915" t="n">
        <v>0.60563</v>
      </c>
      <c r="D915" t="n">
        <v>-0.97374</v>
      </c>
      <c r="E915" t="n">
        <v>-0.65746</v>
      </c>
      <c r="F915" t="n">
        <v>0.7884</v>
      </c>
      <c r="G915" t="n">
        <v>-0.34</v>
      </c>
      <c r="H915" t="n">
        <v>-0.57709</v>
      </c>
      <c r="I915" t="n">
        <v>-1.1496</v>
      </c>
      <c r="J915" t="n">
        <v>1.1212</v>
      </c>
      <c r="K915" t="n">
        <v>0.5428500000000001</v>
      </c>
      <c r="L915" t="n">
        <v>0.51668</v>
      </c>
      <c r="M915" t="n">
        <v>-0.70563</v>
      </c>
      <c r="N915" t="n">
        <v>-3.2609</v>
      </c>
      <c r="O915" t="n">
        <v>0.76602</v>
      </c>
      <c r="P915" t="n">
        <v>0.40077</v>
      </c>
      <c r="Q915" t="n">
        <v>-0.65909</v>
      </c>
      <c r="R915" t="n">
        <v>0.64794</v>
      </c>
      <c r="S915" t="n">
        <v>-0.058352</v>
      </c>
      <c r="T915" t="n">
        <v>0.61927</v>
      </c>
      <c r="U915" t="n">
        <v>0.15989</v>
      </c>
      <c r="V915" t="n">
        <v>-0.056795</v>
      </c>
      <c r="W915" t="n">
        <v>-1.3188</v>
      </c>
      <c r="X915" t="n">
        <v>-0.78759</v>
      </c>
      <c r="Y915" t="n">
        <v>-0.94494</v>
      </c>
      <c r="Z915" t="n">
        <v>-0.63496</v>
      </c>
    </row>
    <row r="916">
      <c r="A916" t="inlineStr">
        <is>
          <t>torn</t>
        </is>
      </c>
      <c r="B916" t="n">
        <v>-0.32821</v>
      </c>
      <c r="C916" t="n">
        <v>-0.6331</v>
      </c>
      <c r="D916" t="n">
        <v>0.31687</v>
      </c>
      <c r="E916" t="n">
        <v>0.77046</v>
      </c>
      <c r="F916" t="n">
        <v>-0.44238</v>
      </c>
      <c r="G916" t="n">
        <v>0.24125</v>
      </c>
      <c r="H916" t="n">
        <v>0.43482</v>
      </c>
      <c r="I916" t="n">
        <v>-0.2788</v>
      </c>
      <c r="J916" t="n">
        <v>-1.3604</v>
      </c>
      <c r="K916" t="n">
        <v>-1.0643</v>
      </c>
      <c r="L916" t="n">
        <v>0.23551</v>
      </c>
      <c r="M916" t="n">
        <v>0.73926</v>
      </c>
      <c r="N916" t="n">
        <v>-1.8099</v>
      </c>
      <c r="O916" t="n">
        <v>0.53318</v>
      </c>
      <c r="P916" t="n">
        <v>0.17379</v>
      </c>
      <c r="Q916" t="n">
        <v>1.4286</v>
      </c>
      <c r="R916" t="n">
        <v>-0.8537400000000001</v>
      </c>
      <c r="S916" t="n">
        <v>0.60443</v>
      </c>
      <c r="T916" t="n">
        <v>-0.46934</v>
      </c>
      <c r="U916" t="n">
        <v>-0.39513</v>
      </c>
      <c r="V916" t="n">
        <v>-0.52517</v>
      </c>
      <c r="W916" t="n">
        <v>0.33051</v>
      </c>
      <c r="X916" t="n">
        <v>1.2986</v>
      </c>
      <c r="Y916" t="n">
        <v>-0.48677</v>
      </c>
      <c r="Z916" t="n">
        <v>-1.2305</v>
      </c>
    </row>
    <row r="917">
      <c r="A917" t="inlineStr">
        <is>
          <t>flashback</t>
        </is>
      </c>
      <c r="B917" t="n">
        <v>0.33705</v>
      </c>
      <c r="C917" t="n">
        <v>0.97628</v>
      </c>
      <c r="D917" t="n">
        <v>0.42581</v>
      </c>
      <c r="E917" t="n">
        <v>0.056318</v>
      </c>
      <c r="F917" t="n">
        <v>0.36503</v>
      </c>
      <c r="G917" t="n">
        <v>-0.17323</v>
      </c>
      <c r="H917" t="n">
        <v>1.6572</v>
      </c>
      <c r="I917" t="n">
        <v>1.1006</v>
      </c>
      <c r="J917" t="n">
        <v>0.53578</v>
      </c>
      <c r="K917" t="n">
        <v>-0.024776</v>
      </c>
      <c r="L917" t="n">
        <v>-0.25234</v>
      </c>
      <c r="M917" t="n">
        <v>1.0207</v>
      </c>
      <c r="N917" t="n">
        <v>-1.0183</v>
      </c>
      <c r="O917" t="n">
        <v>0.17001</v>
      </c>
      <c r="P917" t="n">
        <v>0.054042</v>
      </c>
      <c r="Q917" t="n">
        <v>1.0565</v>
      </c>
      <c r="R917" t="n">
        <v>-0.32343</v>
      </c>
      <c r="S917" t="n">
        <v>-0.15411</v>
      </c>
      <c r="T917" t="n">
        <v>-0.81024</v>
      </c>
      <c r="U917" t="n">
        <v>-0.06755899999999999</v>
      </c>
      <c r="V917" t="n">
        <v>-0.67189</v>
      </c>
      <c r="W917" t="n">
        <v>0.78434</v>
      </c>
      <c r="X917" t="n">
        <v>-0.60664</v>
      </c>
      <c r="Y917" t="n">
        <v>0.11547</v>
      </c>
      <c r="Z917" t="n">
        <v>0.218</v>
      </c>
    </row>
    <row r="918">
      <c r="A918" t="inlineStr">
        <is>
          <t>suffering</t>
        </is>
      </c>
      <c r="B918" t="n">
        <v>-0.77689</v>
      </c>
      <c r="C918" t="n">
        <v>0.66412</v>
      </c>
      <c r="D918" t="n">
        <v>-1.0229</v>
      </c>
      <c r="E918" t="n">
        <v>1.1284</v>
      </c>
      <c r="F918" t="n">
        <v>-0.008412599999999999</v>
      </c>
      <c r="G918" t="n">
        <v>0.10155</v>
      </c>
      <c r="H918" t="n">
        <v>1.1585</v>
      </c>
      <c r="I918" t="n">
        <v>-1.2911</v>
      </c>
      <c r="J918" t="n">
        <v>-0.6623599999999999</v>
      </c>
      <c r="K918" t="n">
        <v>0.43363</v>
      </c>
      <c r="L918" t="n">
        <v>0.015271</v>
      </c>
      <c r="M918" t="n">
        <v>0.63853</v>
      </c>
      <c r="N918" t="n">
        <v>-2.6439</v>
      </c>
      <c r="O918" t="n">
        <v>1.0362</v>
      </c>
      <c r="P918" t="n">
        <v>0.92966</v>
      </c>
      <c r="Q918" t="n">
        <v>0.081509</v>
      </c>
      <c r="R918" t="n">
        <v>-0.12948</v>
      </c>
      <c r="S918" t="n">
        <v>1.0529</v>
      </c>
      <c r="T918" t="n">
        <v>1.3821</v>
      </c>
      <c r="U918" t="n">
        <v>-1.7402</v>
      </c>
      <c r="V918" t="n">
        <v>-0.03074</v>
      </c>
      <c r="W918" t="n">
        <v>0.89763</v>
      </c>
      <c r="X918" t="n">
        <v>-0.32559</v>
      </c>
      <c r="Y918" t="n">
        <v>-0.51014</v>
      </c>
      <c r="Z918" t="n">
        <v>0.15657</v>
      </c>
    </row>
    <row r="919">
      <c r="A919" t="inlineStr">
        <is>
          <t>announces</t>
        </is>
      </c>
      <c r="B919" t="n">
        <v>-0.11748</v>
      </c>
      <c r="C919" t="n">
        <v>1.1905</v>
      </c>
      <c r="D919" t="n">
        <v>-0.080127</v>
      </c>
      <c r="E919" t="n">
        <v>-1.0085</v>
      </c>
      <c r="F919" t="n">
        <v>0.3689</v>
      </c>
      <c r="G919" t="n">
        <v>-1.3384</v>
      </c>
      <c r="H919" t="n">
        <v>0.056762</v>
      </c>
      <c r="I919" t="n">
        <v>-0.49619</v>
      </c>
      <c r="J919" t="n">
        <v>1.4775</v>
      </c>
      <c r="K919" t="n">
        <v>-1.4137</v>
      </c>
      <c r="L919" t="n">
        <v>2.0003</v>
      </c>
      <c r="M919" t="n">
        <v>0.74407</v>
      </c>
      <c r="N919" t="n">
        <v>-2.9825</v>
      </c>
      <c r="O919" t="n">
        <v>0.50379</v>
      </c>
      <c r="P919" t="n">
        <v>0.5908600000000001</v>
      </c>
      <c r="Q919" t="n">
        <v>-0.67877</v>
      </c>
      <c r="R919" t="n">
        <v>-0.29419</v>
      </c>
      <c r="S919" t="n">
        <v>0.8278</v>
      </c>
      <c r="T919" t="n">
        <v>0.33148</v>
      </c>
      <c r="U919" t="n">
        <v>-0.038856</v>
      </c>
      <c r="V919" t="n">
        <v>-0.30322</v>
      </c>
      <c r="W919" t="n">
        <v>-0.81005</v>
      </c>
      <c r="X919" t="n">
        <v>-0.10592</v>
      </c>
      <c r="Y919" t="n">
        <v>-0.5361399999999999</v>
      </c>
      <c r="Z919" t="n">
        <v>-0.92991</v>
      </c>
    </row>
    <row r="920">
      <c r="A920" t="inlineStr">
        <is>
          <t>inc.</t>
        </is>
      </c>
      <c r="B920" t="n">
        <v>-0.2085</v>
      </c>
      <c r="C920" t="n">
        <v>0.54581</v>
      </c>
      <c r="D920" t="n">
        <v>-0.18925</v>
      </c>
      <c r="E920" t="n">
        <v>-0.88501</v>
      </c>
      <c r="F920" t="n">
        <v>0.31579</v>
      </c>
      <c r="G920" t="n">
        <v>-0.92103</v>
      </c>
      <c r="H920" t="n">
        <v>-0.17699</v>
      </c>
      <c r="I920" t="n">
        <v>-0.59393</v>
      </c>
      <c r="J920" t="n">
        <v>1.3253</v>
      </c>
      <c r="K920" t="n">
        <v>-0.5266</v>
      </c>
      <c r="L920" t="n">
        <v>1.0111</v>
      </c>
      <c r="M920" t="n">
        <v>0.08051899999999999</v>
      </c>
      <c r="N920" t="n">
        <v>-2.8392</v>
      </c>
      <c r="O920" t="n">
        <v>-0.0433</v>
      </c>
      <c r="P920" t="n">
        <v>0.66227</v>
      </c>
      <c r="Q920" t="n">
        <v>-1.0105</v>
      </c>
      <c r="R920" t="n">
        <v>0.23935</v>
      </c>
      <c r="S920" t="n">
        <v>0.76588</v>
      </c>
      <c r="T920" t="n">
        <v>1.0865</v>
      </c>
      <c r="U920" t="n">
        <v>0.67015</v>
      </c>
      <c r="V920" t="n">
        <v>0.06766900000000001</v>
      </c>
      <c r="W920" t="n">
        <v>-2.0173</v>
      </c>
      <c r="X920" t="n">
        <v>-0.34712</v>
      </c>
      <c r="Y920" t="n">
        <v>0.084255</v>
      </c>
      <c r="Z920" t="n">
        <v>-0.16919</v>
      </c>
    </row>
    <row r="921">
      <c r="A921" t="inlineStr">
        <is>
          <t>tome</t>
        </is>
      </c>
      <c r="B921" t="n">
        <v>0.19068</v>
      </c>
      <c r="C921" t="n">
        <v>-0.31029</v>
      </c>
      <c r="D921" t="n">
        <v>0.24952</v>
      </c>
      <c r="E921" t="n">
        <v>0.97195</v>
      </c>
      <c r="F921" t="n">
        <v>-0.1949</v>
      </c>
      <c r="G921" t="n">
        <v>0.28051</v>
      </c>
      <c r="H921" t="n">
        <v>-1.1214</v>
      </c>
      <c r="I921" t="n">
        <v>0.24704</v>
      </c>
      <c r="J921" t="n">
        <v>0.56027</v>
      </c>
      <c r="K921" t="n">
        <v>-0.44457</v>
      </c>
      <c r="L921" t="n">
        <v>-0.056883</v>
      </c>
      <c r="M921" t="n">
        <v>-2.7898</v>
      </c>
      <c r="N921" t="n">
        <v>-1.7221</v>
      </c>
      <c r="O921" t="n">
        <v>0.51233</v>
      </c>
      <c r="P921" t="n">
        <v>0.51558</v>
      </c>
      <c r="Q921" t="n">
        <v>0.11279</v>
      </c>
      <c r="R921" t="n">
        <v>0.7756</v>
      </c>
      <c r="S921" t="n">
        <v>0.6425999999999999</v>
      </c>
      <c r="T921" t="n">
        <v>0.011829</v>
      </c>
      <c r="U921" t="n">
        <v>-0.040696</v>
      </c>
      <c r="V921" t="n">
        <v>0.78242</v>
      </c>
      <c r="W921" t="n">
        <v>-0.37488</v>
      </c>
      <c r="X921" t="n">
        <v>0.99976</v>
      </c>
      <c r="Y921" t="n">
        <v>0.94989</v>
      </c>
      <c r="Z921" t="n">
        <v>-0.26021</v>
      </c>
    </row>
    <row r="922">
      <c r="A922" t="inlineStr">
        <is>
          <t>pinches</t>
        </is>
      </c>
      <c r="B922" t="n">
        <v>1.3323</v>
      </c>
      <c r="C922" t="n">
        <v>0.4728</v>
      </c>
      <c r="D922" t="n">
        <v>0.12719</v>
      </c>
      <c r="E922" t="n">
        <v>0.4492</v>
      </c>
      <c r="F922" t="n">
        <v>-0.50077</v>
      </c>
      <c r="G922" t="n">
        <v>1.3706</v>
      </c>
      <c r="H922" t="n">
        <v>0.030756</v>
      </c>
      <c r="I922" t="n">
        <v>0.66809</v>
      </c>
      <c r="J922" t="n">
        <v>-2.1189</v>
      </c>
      <c r="K922" t="n">
        <v>-0.52674</v>
      </c>
      <c r="L922" t="n">
        <v>0.69777</v>
      </c>
      <c r="M922" t="n">
        <v>-1.9552</v>
      </c>
      <c r="N922" t="n">
        <v>-0.61808</v>
      </c>
      <c r="O922" t="n">
        <v>-0.96318</v>
      </c>
      <c r="P922" t="n">
        <v>1.0751</v>
      </c>
      <c r="Q922" t="n">
        <v>-0.12032</v>
      </c>
      <c r="R922" t="n">
        <v>0.71666</v>
      </c>
      <c r="S922" t="n">
        <v>-1.1472</v>
      </c>
      <c r="T922" t="n">
        <v>0.97236</v>
      </c>
      <c r="U922" t="n">
        <v>0.90156</v>
      </c>
      <c r="V922" t="n">
        <v>1.3825</v>
      </c>
      <c r="W922" t="n">
        <v>0.03447</v>
      </c>
      <c r="X922" t="n">
        <v>0.72864</v>
      </c>
      <c r="Y922" t="n">
        <v>0.41229</v>
      </c>
      <c r="Z922" t="n">
        <v>-0.21108</v>
      </c>
    </row>
    <row r="923">
      <c r="A923" t="inlineStr">
        <is>
          <t>houses</t>
        </is>
      </c>
      <c r="B923" t="n">
        <v>-0.74352</v>
      </c>
      <c r="C923" t="n">
        <v>-0.079779</v>
      </c>
      <c r="D923" t="n">
        <v>1.1396</v>
      </c>
      <c r="E923" t="n">
        <v>-0.39424</v>
      </c>
      <c r="F923" t="n">
        <v>-0.18635</v>
      </c>
      <c r="G923" t="n">
        <v>0.46977</v>
      </c>
      <c r="H923" t="n">
        <v>0.47073</v>
      </c>
      <c r="I923" t="n">
        <v>-2.3461</v>
      </c>
      <c r="J923" t="n">
        <v>0.099186</v>
      </c>
      <c r="K923" t="n">
        <v>0.739</v>
      </c>
      <c r="L923" t="n">
        <v>0.42469</v>
      </c>
      <c r="M923" t="n">
        <v>-0.8718900000000001</v>
      </c>
      <c r="N923" t="n">
        <v>-3.1757</v>
      </c>
      <c r="O923" t="n">
        <v>0.5822000000000001</v>
      </c>
      <c r="P923" t="n">
        <v>-0.58514</v>
      </c>
      <c r="Q923" t="n">
        <v>0.17812</v>
      </c>
      <c r="R923" t="n">
        <v>0.65623</v>
      </c>
      <c r="S923" t="n">
        <v>-0.92922</v>
      </c>
      <c r="T923" t="n">
        <v>0.82729</v>
      </c>
      <c r="U923" t="n">
        <v>0.098802</v>
      </c>
      <c r="V923" t="n">
        <v>-0.09375799999999999</v>
      </c>
      <c r="W923" t="n">
        <v>-0.72978</v>
      </c>
      <c r="X923" t="n">
        <v>-0.15204</v>
      </c>
      <c r="Y923" t="n">
        <v>-1.2514</v>
      </c>
      <c r="Z923" t="n">
        <v>0.37514</v>
      </c>
    </row>
    <row r="924">
      <c r="A924" t="inlineStr">
        <is>
          <t>highschool</t>
        </is>
      </c>
      <c r="B924" t="n">
        <v>0.066258</v>
      </c>
      <c r="C924" t="n">
        <v>0.97684</v>
      </c>
      <c r="D924" t="n">
        <v>1.3501</v>
      </c>
      <c r="E924" t="n">
        <v>-1.5429</v>
      </c>
      <c r="F924" t="n">
        <v>0.39942</v>
      </c>
      <c r="G924" t="n">
        <v>-0.34432</v>
      </c>
      <c r="H924" t="n">
        <v>1.3105</v>
      </c>
      <c r="I924" t="n">
        <v>-0.75273</v>
      </c>
      <c r="J924" t="n">
        <v>-0.28162</v>
      </c>
      <c r="K924" t="n">
        <v>-0.26212</v>
      </c>
      <c r="L924" t="n">
        <v>-1.903</v>
      </c>
      <c r="M924" t="n">
        <v>-0.10707</v>
      </c>
      <c r="N924" t="n">
        <v>-2.6761</v>
      </c>
      <c r="O924" t="n">
        <v>0.9593699999999999</v>
      </c>
      <c r="P924" t="n">
        <v>0.64497</v>
      </c>
      <c r="Q924" t="n">
        <v>0.46631</v>
      </c>
      <c r="R924" t="n">
        <v>0.3927</v>
      </c>
      <c r="S924" t="n">
        <v>-0.56776</v>
      </c>
      <c r="T924" t="n">
        <v>0.41525</v>
      </c>
      <c r="U924" t="n">
        <v>0.13958</v>
      </c>
      <c r="V924" t="n">
        <v>-0.023641</v>
      </c>
      <c r="W924" t="n">
        <v>0.8223</v>
      </c>
      <c r="X924" t="n">
        <v>-0.26687</v>
      </c>
      <c r="Y924" t="n">
        <v>-0.73543</v>
      </c>
      <c r="Z924" t="n">
        <v>-0.08069999999999999</v>
      </c>
    </row>
    <row r="925">
      <c r="A925" t="inlineStr">
        <is>
          <t>tommorow</t>
        </is>
      </c>
      <c r="B925" t="n">
        <v>-0.6556999999999999</v>
      </c>
      <c r="C925" t="n">
        <v>1.1403</v>
      </c>
      <c r="D925" t="n">
        <v>0.62351</v>
      </c>
      <c r="E925" t="n">
        <v>-1.0301</v>
      </c>
      <c r="F925" t="n">
        <v>-0.53295</v>
      </c>
      <c r="G925" t="n">
        <v>-0.51795</v>
      </c>
      <c r="H925" t="n">
        <v>0.88142</v>
      </c>
      <c r="I925" t="n">
        <v>-1.3125</v>
      </c>
      <c r="J925" t="n">
        <v>-0.3413</v>
      </c>
      <c r="K925" t="n">
        <v>-0.10106</v>
      </c>
      <c r="L925" t="n">
        <v>-1.3073</v>
      </c>
      <c r="M925" t="n">
        <v>0.17419</v>
      </c>
      <c r="N925" t="n">
        <v>-2.6777</v>
      </c>
      <c r="O925" t="n">
        <v>0.6150099999999999</v>
      </c>
      <c r="P925" t="n">
        <v>1.2272</v>
      </c>
      <c r="Q925" t="n">
        <v>0.036556</v>
      </c>
      <c r="R925" t="n">
        <v>0.12671</v>
      </c>
      <c r="S925" t="n">
        <v>-1.3536</v>
      </c>
      <c r="T925" t="n">
        <v>-0.73338</v>
      </c>
      <c r="U925" t="n">
        <v>-0.12204</v>
      </c>
      <c r="V925" t="n">
        <v>-0.61068</v>
      </c>
      <c r="W925" t="n">
        <v>-0.021815</v>
      </c>
      <c r="X925" t="n">
        <v>0.35015</v>
      </c>
      <c r="Y925" t="n">
        <v>1.0584</v>
      </c>
      <c r="Z925" t="n">
        <v>0.80697</v>
      </c>
    </row>
    <row r="926">
      <c r="A926" t="inlineStr">
        <is>
          <t>foul</t>
        </is>
      </c>
      <c r="B926" t="n">
        <v>0.71512</v>
      </c>
      <c r="C926" t="n">
        <v>0.46925</v>
      </c>
      <c r="D926" t="n">
        <v>0.15664</v>
      </c>
      <c r="E926" t="n">
        <v>0.17144</v>
      </c>
      <c r="F926" t="n">
        <v>0.41651</v>
      </c>
      <c r="G926" t="n">
        <v>0.53873</v>
      </c>
      <c r="H926" t="n">
        <v>0.2923</v>
      </c>
      <c r="I926" t="n">
        <v>-0.46821</v>
      </c>
      <c r="J926" t="n">
        <v>0.11061</v>
      </c>
      <c r="K926" t="n">
        <v>-0.13053</v>
      </c>
      <c r="L926" t="n">
        <v>-0.20989</v>
      </c>
      <c r="M926" t="n">
        <v>1.1973</v>
      </c>
      <c r="N926" t="n">
        <v>-2.5558</v>
      </c>
      <c r="O926" t="n">
        <v>0.5906400000000001</v>
      </c>
      <c r="P926" t="n">
        <v>1.6092</v>
      </c>
      <c r="Q926" t="n">
        <v>0.23456</v>
      </c>
      <c r="R926" t="n">
        <v>0.53182</v>
      </c>
      <c r="S926" t="n">
        <v>-0.45769</v>
      </c>
      <c r="T926" t="n">
        <v>0.28593</v>
      </c>
      <c r="U926" t="n">
        <v>-0.31546</v>
      </c>
      <c r="V926" t="n">
        <v>0.41923</v>
      </c>
      <c r="W926" t="n">
        <v>1.8882</v>
      </c>
      <c r="X926" t="n">
        <v>1.649</v>
      </c>
      <c r="Y926" t="n">
        <v>-0.7005</v>
      </c>
      <c r="Z926" t="n">
        <v>-1.1486</v>
      </c>
    </row>
    <row r="927">
      <c r="A927" t="inlineStr">
        <is>
          <t>thot</t>
        </is>
      </c>
      <c r="B927" t="n">
        <v>0.48509</v>
      </c>
      <c r="C927" t="n">
        <v>1.1564</v>
      </c>
      <c r="D927" t="n">
        <v>0.25687</v>
      </c>
      <c r="E927" t="n">
        <v>-0.25178</v>
      </c>
      <c r="F927" t="n">
        <v>0.81092</v>
      </c>
      <c r="G927" t="n">
        <v>-0.63557</v>
      </c>
      <c r="H927" t="n">
        <v>0.14604</v>
      </c>
      <c r="I927" t="n">
        <v>-0.80838</v>
      </c>
      <c r="J927" t="n">
        <v>-0.074743</v>
      </c>
      <c r="K927" t="n">
        <v>0.4424</v>
      </c>
      <c r="L927" t="n">
        <v>-0.93552</v>
      </c>
      <c r="M927" t="n">
        <v>0.19385</v>
      </c>
      <c r="N927" t="n">
        <v>-2.6736</v>
      </c>
      <c r="O927" t="n">
        <v>-0.51771</v>
      </c>
      <c r="P927" t="n">
        <v>-0.38952</v>
      </c>
      <c r="Q927" t="n">
        <v>0.55233</v>
      </c>
      <c r="R927" t="n">
        <v>1.1729</v>
      </c>
      <c r="S927" t="n">
        <v>-0.37245</v>
      </c>
      <c r="T927" t="n">
        <v>0.13127</v>
      </c>
      <c r="U927" t="n">
        <v>1.2575</v>
      </c>
      <c r="V927" t="n">
        <v>1.4888</v>
      </c>
      <c r="W927" t="n">
        <v>1.1683</v>
      </c>
      <c r="X927" t="n">
        <v>0.78198</v>
      </c>
      <c r="Y927" t="n">
        <v>-0.3686</v>
      </c>
      <c r="Z927" t="n">
        <v>0.1497</v>
      </c>
    </row>
    <row r="928">
      <c r="A928" t="inlineStr">
        <is>
          <t>thrones</t>
        </is>
      </c>
      <c r="B928" t="n">
        <v>0.48202</v>
      </c>
      <c r="C928" t="n">
        <v>-0.092099</v>
      </c>
      <c r="D928" t="n">
        <v>1.2264</v>
      </c>
      <c r="E928" t="n">
        <v>-0.17992</v>
      </c>
      <c r="F928" t="n">
        <v>-0.33863</v>
      </c>
      <c r="G928" t="n">
        <v>-0.30153</v>
      </c>
      <c r="H928" t="n">
        <v>1.0123</v>
      </c>
      <c r="I928" t="n">
        <v>-0.55889</v>
      </c>
      <c r="J928" t="n">
        <v>-0.18573</v>
      </c>
      <c r="K928" t="n">
        <v>-1.6129</v>
      </c>
      <c r="L928" t="n">
        <v>0.231</v>
      </c>
      <c r="M928" t="n">
        <v>0.27413</v>
      </c>
      <c r="N928" t="n">
        <v>-1.9984</v>
      </c>
      <c r="O928" t="n">
        <v>0.48937</v>
      </c>
      <c r="P928" t="n">
        <v>0.60104</v>
      </c>
      <c r="Q928" t="n">
        <v>0.28369</v>
      </c>
      <c r="R928" t="n">
        <v>-0.40544</v>
      </c>
      <c r="S928" t="n">
        <v>0.70345</v>
      </c>
      <c r="T928" t="n">
        <v>-0.49401</v>
      </c>
      <c r="U928" t="n">
        <v>0.57419</v>
      </c>
      <c r="V928" t="n">
        <v>-1.0001</v>
      </c>
      <c r="W928" t="n">
        <v>0.72485</v>
      </c>
      <c r="X928" t="n">
        <v>-0.30378</v>
      </c>
      <c r="Y928" t="n">
        <v>-0.89174</v>
      </c>
      <c r="Z928" t="n">
        <v>0.9315600000000001</v>
      </c>
    </row>
    <row r="929">
      <c r="A929" t="inlineStr">
        <is>
          <t>cleveland</t>
        </is>
      </c>
      <c r="B929" t="n">
        <v>-0.4284</v>
      </c>
      <c r="C929" t="n">
        <v>0.92592</v>
      </c>
      <c r="D929" t="n">
        <v>0.10766</v>
      </c>
      <c r="E929" t="n">
        <v>-1.0882</v>
      </c>
      <c r="F929" t="n">
        <v>-0.91381</v>
      </c>
      <c r="G929" t="n">
        <v>0.012958</v>
      </c>
      <c r="H929" t="n">
        <v>0.021048</v>
      </c>
      <c r="I929" t="n">
        <v>-0.43163</v>
      </c>
      <c r="J929" t="n">
        <v>0.26727</v>
      </c>
      <c r="K929" t="n">
        <v>-0.6138</v>
      </c>
      <c r="L929" t="n">
        <v>-0.04475</v>
      </c>
      <c r="M929" t="n">
        <v>0.43013</v>
      </c>
      <c r="N929" t="n">
        <v>-2.7763</v>
      </c>
      <c r="O929" t="n">
        <v>0.23159</v>
      </c>
      <c r="P929" t="n">
        <v>1.6091</v>
      </c>
      <c r="Q929" t="n">
        <v>-1.1045</v>
      </c>
      <c r="R929" t="n">
        <v>0.008013899999999999</v>
      </c>
      <c r="S929" t="n">
        <v>-0.63165</v>
      </c>
      <c r="T929" t="n">
        <v>0.39253</v>
      </c>
      <c r="U929" t="n">
        <v>0.35477</v>
      </c>
      <c r="V929" t="n">
        <v>0.27613</v>
      </c>
      <c r="W929" t="n">
        <v>-0.10622</v>
      </c>
      <c r="X929" t="n">
        <v>0.37744</v>
      </c>
      <c r="Y929" t="n">
        <v>-1.8657</v>
      </c>
      <c r="Z929" t="n">
        <v>0.27522</v>
      </c>
    </row>
    <row r="930">
      <c r="A930" t="inlineStr">
        <is>
          <t>woulda</t>
        </is>
      </c>
      <c r="B930" t="n">
        <v>-0.094581</v>
      </c>
      <c r="C930" t="n">
        <v>1.6747</v>
      </c>
      <c r="D930" t="n">
        <v>1.4404</v>
      </c>
      <c r="E930" t="n">
        <v>-1.0434</v>
      </c>
      <c r="F930" t="n">
        <v>-0.84474</v>
      </c>
      <c r="G930" t="n">
        <v>0.035505</v>
      </c>
      <c r="H930" t="n">
        <v>-0.1089</v>
      </c>
      <c r="I930" t="n">
        <v>-0.55098</v>
      </c>
      <c r="J930" t="n">
        <v>-0.88844</v>
      </c>
      <c r="K930" t="n">
        <v>-0.27862</v>
      </c>
      <c r="L930" t="n">
        <v>0.39475</v>
      </c>
      <c r="M930" t="n">
        <v>1.3002</v>
      </c>
      <c r="N930" t="n">
        <v>-3.371</v>
      </c>
      <c r="O930" t="n">
        <v>0.2895</v>
      </c>
      <c r="P930" t="n">
        <v>0.27511</v>
      </c>
      <c r="Q930" t="n">
        <v>0.61091</v>
      </c>
      <c r="R930" t="n">
        <v>1.6128</v>
      </c>
      <c r="S930" t="n">
        <v>0.017053</v>
      </c>
      <c r="T930" t="n">
        <v>0.18479</v>
      </c>
      <c r="U930" t="n">
        <v>-0.32606</v>
      </c>
      <c r="V930" t="n">
        <v>1.7031</v>
      </c>
      <c r="W930" t="n">
        <v>1.2025</v>
      </c>
      <c r="X930" t="n">
        <v>1.223</v>
      </c>
      <c r="Y930" t="n">
        <v>0.61973</v>
      </c>
      <c r="Z930" t="n">
        <v>0.05003</v>
      </c>
    </row>
    <row r="931">
      <c r="A931" t="inlineStr">
        <is>
          <t>fase</t>
        </is>
      </c>
      <c r="B931" t="n">
        <v>1.0994</v>
      </c>
      <c r="C931" t="n">
        <v>-0.006765</v>
      </c>
      <c r="D931" t="n">
        <v>0.5372400000000001</v>
      </c>
      <c r="E931" t="n">
        <v>-1.2084</v>
      </c>
      <c r="F931" t="n">
        <v>0.62703</v>
      </c>
      <c r="G931" t="n">
        <v>0.6301600000000001</v>
      </c>
      <c r="H931" t="n">
        <v>-0.014916</v>
      </c>
      <c r="I931" t="n">
        <v>1.2463</v>
      </c>
      <c r="J931" t="n">
        <v>1.1607</v>
      </c>
      <c r="K931" t="n">
        <v>-0.77401</v>
      </c>
      <c r="L931" t="n">
        <v>-0.92648</v>
      </c>
      <c r="M931" t="n">
        <v>-1.2743</v>
      </c>
      <c r="N931" t="n">
        <v>-0.49648</v>
      </c>
      <c r="O931" t="n">
        <v>1.2273</v>
      </c>
      <c r="P931" t="n">
        <v>0.12942</v>
      </c>
      <c r="Q931" t="n">
        <v>0.43688</v>
      </c>
      <c r="R931" t="n">
        <v>-1.1781</v>
      </c>
      <c r="S931" t="n">
        <v>1.3475</v>
      </c>
      <c r="T931" t="n">
        <v>-0.41297</v>
      </c>
      <c r="U931" t="n">
        <v>-0.53146</v>
      </c>
      <c r="V931" t="n">
        <v>-1.2162</v>
      </c>
      <c r="W931" t="n">
        <v>0.60837</v>
      </c>
      <c r="X931" t="n">
        <v>-0.13145</v>
      </c>
      <c r="Y931" t="n">
        <v>-0.2502</v>
      </c>
      <c r="Z931" t="n">
        <v>0.0095683</v>
      </c>
    </row>
    <row r="932">
      <c r="A932" t="inlineStr">
        <is>
          <t>sheets</t>
        </is>
      </c>
      <c r="B932" t="n">
        <v>-0.91705</v>
      </c>
      <c r="C932" t="n">
        <v>-0.42634</v>
      </c>
      <c r="D932" t="n">
        <v>1.036</v>
      </c>
      <c r="E932" t="n">
        <v>-0.14427</v>
      </c>
      <c r="F932" t="n">
        <v>0.56337</v>
      </c>
      <c r="G932" t="n">
        <v>0.81703</v>
      </c>
      <c r="H932" t="n">
        <v>-0.091365</v>
      </c>
      <c r="I932" t="n">
        <v>-1.8428</v>
      </c>
      <c r="J932" t="n">
        <v>0.26554</v>
      </c>
      <c r="K932" t="n">
        <v>0.59349</v>
      </c>
      <c r="L932" t="n">
        <v>0.13549</v>
      </c>
      <c r="M932" t="n">
        <v>0.55139</v>
      </c>
      <c r="N932" t="n">
        <v>-2.7249</v>
      </c>
      <c r="O932" t="n">
        <v>-0.25157</v>
      </c>
      <c r="P932" t="n">
        <v>-0.4372</v>
      </c>
      <c r="Q932" t="n">
        <v>0.083338</v>
      </c>
      <c r="R932" t="n">
        <v>0.3219</v>
      </c>
      <c r="S932" t="n">
        <v>-0.88835</v>
      </c>
      <c r="T932" t="n">
        <v>0.070315</v>
      </c>
      <c r="U932" t="n">
        <v>0.2216</v>
      </c>
      <c r="V932" t="n">
        <v>-1.0344</v>
      </c>
      <c r="W932" t="n">
        <v>0.36011</v>
      </c>
      <c r="X932" t="n">
        <v>0.97263</v>
      </c>
      <c r="Y932" t="n">
        <v>0.41932</v>
      </c>
      <c r="Z932" t="n">
        <v>-0.40539</v>
      </c>
    </row>
    <row r="933">
      <c r="A933" t="inlineStr">
        <is>
          <t>temporary</t>
        </is>
      </c>
      <c r="B933" t="n">
        <v>-0.64623</v>
      </c>
      <c r="C933" t="n">
        <v>0.67515</v>
      </c>
      <c r="D933" t="n">
        <v>-1.4116</v>
      </c>
      <c r="E933" t="n">
        <v>0.57198</v>
      </c>
      <c r="F933" t="n">
        <v>0.67357</v>
      </c>
      <c r="G933" t="n">
        <v>-0.13881</v>
      </c>
      <c r="H933" t="n">
        <v>0.93144</v>
      </c>
      <c r="I933" t="n">
        <v>-1.1376</v>
      </c>
      <c r="J933" t="n">
        <v>0.20394</v>
      </c>
      <c r="K933" t="n">
        <v>0.080127</v>
      </c>
      <c r="L933" t="n">
        <v>-0.78681</v>
      </c>
      <c r="M933" t="n">
        <v>-0.034036</v>
      </c>
      <c r="N933" t="n">
        <v>-2.7262</v>
      </c>
      <c r="O933" t="n">
        <v>0.7005</v>
      </c>
      <c r="P933" t="n">
        <v>0.30054</v>
      </c>
      <c r="Q933" t="n">
        <v>0.53515</v>
      </c>
      <c r="R933" t="n">
        <v>0.5348000000000001</v>
      </c>
      <c r="S933" t="n">
        <v>0.41085</v>
      </c>
      <c r="T933" t="n">
        <v>1.1749</v>
      </c>
      <c r="U933" t="n">
        <v>-0.7156</v>
      </c>
      <c r="V933" t="n">
        <v>-0.26431</v>
      </c>
      <c r="W933" t="n">
        <v>0.07423100000000001</v>
      </c>
      <c r="X933" t="n">
        <v>0.15365</v>
      </c>
      <c r="Y933" t="n">
        <v>0.042817</v>
      </c>
      <c r="Z933" t="n">
        <v>-1.2442</v>
      </c>
    </row>
    <row r="934">
      <c r="A934" t="inlineStr">
        <is>
          <t>waited</t>
        </is>
      </c>
      <c r="B934" t="n">
        <v>-0.51688</v>
      </c>
      <c r="C934" t="n">
        <v>1.1904</v>
      </c>
      <c r="D934" t="n">
        <v>1.4596</v>
      </c>
      <c r="E934" t="n">
        <v>-0.33773</v>
      </c>
      <c r="F934" t="n">
        <v>-1.2316</v>
      </c>
      <c r="G934" t="n">
        <v>-0.38531</v>
      </c>
      <c r="H934" t="n">
        <v>0.54373</v>
      </c>
      <c r="I934" t="n">
        <v>-1.1928</v>
      </c>
      <c r="J934" t="n">
        <v>-1.3292</v>
      </c>
      <c r="K934" t="n">
        <v>-0.27395</v>
      </c>
      <c r="L934" t="n">
        <v>-0.18529</v>
      </c>
      <c r="M934" t="n">
        <v>0.75502</v>
      </c>
      <c r="N934" t="n">
        <v>-2.7741</v>
      </c>
      <c r="O934" t="n">
        <v>1.1712</v>
      </c>
      <c r="P934" t="n">
        <v>-0.29617</v>
      </c>
      <c r="Q934" t="n">
        <v>0.4744</v>
      </c>
      <c r="R934" t="n">
        <v>0.76897</v>
      </c>
      <c r="S934" t="n">
        <v>0.10987</v>
      </c>
      <c r="T934" t="n">
        <v>-0.30284</v>
      </c>
      <c r="U934" t="n">
        <v>-1.498</v>
      </c>
      <c r="V934" t="n">
        <v>0.093379</v>
      </c>
      <c r="W934" t="n">
        <v>0.074682</v>
      </c>
      <c r="X934" t="n">
        <v>0.67521</v>
      </c>
      <c r="Y934" t="n">
        <v>0.48784</v>
      </c>
      <c r="Z934" t="n">
        <v>-0.28094</v>
      </c>
    </row>
    <row r="935">
      <c r="A935" t="inlineStr">
        <is>
          <t>booth</t>
        </is>
      </c>
      <c r="B935" t="n">
        <v>-0.9996</v>
      </c>
      <c r="C935" t="n">
        <v>0.70904</v>
      </c>
      <c r="D935" t="n">
        <v>0.85521</v>
      </c>
      <c r="E935" t="n">
        <v>-0.61368</v>
      </c>
      <c r="F935" t="n">
        <v>0.055385</v>
      </c>
      <c r="G935" t="n">
        <v>-0.69254</v>
      </c>
      <c r="H935" t="n">
        <v>0.34189</v>
      </c>
      <c r="I935" t="n">
        <v>-0.42849</v>
      </c>
      <c r="J935" t="n">
        <v>0.98324</v>
      </c>
      <c r="K935" t="n">
        <v>-0.22855</v>
      </c>
      <c r="L935" t="n">
        <v>0.1227</v>
      </c>
      <c r="M935" t="n">
        <v>0.24091</v>
      </c>
      <c r="N935" t="n">
        <v>-2.5463</v>
      </c>
      <c r="O935" t="n">
        <v>-0.19349</v>
      </c>
      <c r="P935" t="n">
        <v>0.36679</v>
      </c>
      <c r="Q935" t="n">
        <v>0.71671</v>
      </c>
      <c r="R935" t="n">
        <v>0.052059</v>
      </c>
      <c r="S935" t="n">
        <v>-0.7167</v>
      </c>
      <c r="T935" t="n">
        <v>-0.7013200000000001</v>
      </c>
      <c r="U935" t="n">
        <v>0.2122</v>
      </c>
      <c r="V935" t="n">
        <v>-0.92097</v>
      </c>
      <c r="W935" t="n">
        <v>-1.0198</v>
      </c>
      <c r="X935" t="n">
        <v>-0.46597</v>
      </c>
      <c r="Y935" t="n">
        <v>-0.43843</v>
      </c>
      <c r="Z935" t="n">
        <v>-0.41099</v>
      </c>
    </row>
    <row r="936">
      <c r="A936" t="inlineStr">
        <is>
          <t>armstrong</t>
        </is>
      </c>
      <c r="B936" t="n">
        <v>-0.0037849</v>
      </c>
      <c r="C936" t="n">
        <v>0.11612</v>
      </c>
      <c r="D936" t="n">
        <v>0.34001</v>
      </c>
      <c r="E936" t="n">
        <v>0.47337</v>
      </c>
      <c r="F936" t="n">
        <v>-0.7244699999999999</v>
      </c>
      <c r="G936" t="n">
        <v>-0.93199</v>
      </c>
      <c r="H936" t="n">
        <v>-0.23987</v>
      </c>
      <c r="I936" t="n">
        <v>0.26781</v>
      </c>
      <c r="J936" t="n">
        <v>-0.036191</v>
      </c>
      <c r="K936" t="n">
        <v>-0.95117</v>
      </c>
      <c r="L936" t="n">
        <v>1.357</v>
      </c>
      <c r="M936" t="n">
        <v>0.45969</v>
      </c>
      <c r="N936" t="n">
        <v>-2.5433</v>
      </c>
      <c r="O936" t="n">
        <v>0.07105599999999999</v>
      </c>
      <c r="P936" t="n">
        <v>0.83331</v>
      </c>
      <c r="Q936" t="n">
        <v>0.45219</v>
      </c>
      <c r="R936" t="n">
        <v>-0.451</v>
      </c>
      <c r="S936" t="n">
        <v>0.7436199999999999</v>
      </c>
      <c r="T936" t="n">
        <v>0.36736</v>
      </c>
      <c r="U936" t="n">
        <v>-0.21333</v>
      </c>
      <c r="V936" t="n">
        <v>0.12378</v>
      </c>
      <c r="W936" t="n">
        <v>0.8034</v>
      </c>
      <c r="X936" t="n">
        <v>-0.49534</v>
      </c>
      <c r="Y936" t="n">
        <v>-1.3579</v>
      </c>
      <c r="Z936" t="n">
        <v>-0.42391</v>
      </c>
    </row>
    <row r="937">
      <c r="A937" t="inlineStr">
        <is>
          <t>fears</t>
        </is>
      </c>
      <c r="B937" t="n">
        <v>-0.17934</v>
      </c>
      <c r="C937" t="n">
        <v>0.50405</v>
      </c>
      <c r="D937" t="n">
        <v>-0.99049</v>
      </c>
      <c r="E937" t="n">
        <v>1.6597</v>
      </c>
      <c r="F937" t="n">
        <v>-0.54925</v>
      </c>
      <c r="G937" t="n">
        <v>-0.26513</v>
      </c>
      <c r="H937" t="n">
        <v>1.1989</v>
      </c>
      <c r="I937" t="n">
        <v>-1.2485</v>
      </c>
      <c r="J937" t="n">
        <v>-0.033756</v>
      </c>
      <c r="K937" t="n">
        <v>-0.02902</v>
      </c>
      <c r="L937" t="n">
        <v>0.42202</v>
      </c>
      <c r="M937" t="n">
        <v>0.47072</v>
      </c>
      <c r="N937" t="n">
        <v>-2.5539</v>
      </c>
      <c r="O937" t="n">
        <v>1.4015</v>
      </c>
      <c r="P937" t="n">
        <v>0.21172</v>
      </c>
      <c r="Q937" t="n">
        <v>0.27664</v>
      </c>
      <c r="R937" t="n">
        <v>-0.93429</v>
      </c>
      <c r="S937" t="n">
        <v>0.52459</v>
      </c>
      <c r="T937" t="n">
        <v>1.6063</v>
      </c>
      <c r="U937" t="n">
        <v>-1.0965</v>
      </c>
      <c r="V937" t="n">
        <v>0.28402</v>
      </c>
      <c r="W937" t="n">
        <v>0.53668</v>
      </c>
      <c r="X937" t="n">
        <v>0.21001</v>
      </c>
      <c r="Y937" t="n">
        <v>-0.81876</v>
      </c>
      <c r="Z937" t="n">
        <v>-0.63893</v>
      </c>
    </row>
    <row r="938">
      <c r="A938" t="inlineStr">
        <is>
          <t>playoff</t>
        </is>
      </c>
      <c r="B938" t="n">
        <v>0.48962</v>
      </c>
      <c r="C938" t="n">
        <v>1.209</v>
      </c>
      <c r="D938" t="n">
        <v>-0.25603</v>
      </c>
      <c r="E938" t="n">
        <v>-1.3302</v>
      </c>
      <c r="F938" t="n">
        <v>0.11745</v>
      </c>
      <c r="G938" t="n">
        <v>0.47476</v>
      </c>
      <c r="H938" t="n">
        <v>0.39825</v>
      </c>
      <c r="I938" t="n">
        <v>-0.39291</v>
      </c>
      <c r="J938" t="n">
        <v>-0.21043</v>
      </c>
      <c r="K938" t="n">
        <v>-1.3813</v>
      </c>
      <c r="L938" t="n">
        <v>0.50459</v>
      </c>
      <c r="M938" t="n">
        <v>0.24054</v>
      </c>
      <c r="N938" t="n">
        <v>-2.7423</v>
      </c>
      <c r="O938" t="n">
        <v>1.8647</v>
      </c>
      <c r="P938" t="n">
        <v>1.1804</v>
      </c>
      <c r="Q938" t="n">
        <v>-0.06579400000000001</v>
      </c>
      <c r="R938" t="n">
        <v>-0.40886</v>
      </c>
      <c r="S938" t="n">
        <v>-0.73114</v>
      </c>
      <c r="T938" t="n">
        <v>0.1405</v>
      </c>
      <c r="U938" t="n">
        <v>0.46381</v>
      </c>
      <c r="V938" t="n">
        <v>-1.7957</v>
      </c>
      <c r="W938" t="n">
        <v>1.0558</v>
      </c>
      <c r="X938" t="n">
        <v>1.3046</v>
      </c>
      <c r="Y938" t="n">
        <v>-0.82699</v>
      </c>
      <c r="Z938" t="n">
        <v>-0.77921</v>
      </c>
    </row>
    <row r="939">
      <c r="A939" t="inlineStr">
        <is>
          <t>showers</t>
        </is>
      </c>
      <c r="B939" t="n">
        <v>-1.5561</v>
      </c>
      <c r="C939" t="n">
        <v>-0.14339</v>
      </c>
      <c r="D939" t="n">
        <v>0.15701</v>
      </c>
      <c r="E939" t="n">
        <v>0.42591</v>
      </c>
      <c r="F939" t="n">
        <v>-0.27741</v>
      </c>
      <c r="G939" t="n">
        <v>1.6432</v>
      </c>
      <c r="H939" t="n">
        <v>1.7978</v>
      </c>
      <c r="I939" t="n">
        <v>-2.0907</v>
      </c>
      <c r="J939" t="n">
        <v>0.044913</v>
      </c>
      <c r="K939" t="n">
        <v>0.17918</v>
      </c>
      <c r="L939" t="n">
        <v>-0.14231</v>
      </c>
      <c r="M939" t="n">
        <v>-0.096321</v>
      </c>
      <c r="N939" t="n">
        <v>-1.872</v>
      </c>
      <c r="O939" t="n">
        <v>1.5543</v>
      </c>
      <c r="P939" t="n">
        <v>0.020026</v>
      </c>
      <c r="Q939" t="n">
        <v>0.15811</v>
      </c>
      <c r="R939" t="n">
        <v>-0.1392</v>
      </c>
      <c r="S939" t="n">
        <v>-0.34111</v>
      </c>
      <c r="T939" t="n">
        <v>0.020074</v>
      </c>
      <c r="U939" t="n">
        <v>-0.40453</v>
      </c>
      <c r="V939" t="n">
        <v>-0.23619</v>
      </c>
      <c r="W939" t="n">
        <v>-0.22732</v>
      </c>
      <c r="X939" t="n">
        <v>0.79522</v>
      </c>
      <c r="Y939" t="n">
        <v>0.63036</v>
      </c>
      <c r="Z939" t="n">
        <v>-0.040932</v>
      </c>
    </row>
    <row r="940">
      <c r="A940" t="inlineStr">
        <is>
          <t>chorei</t>
        </is>
      </c>
      <c r="B940" t="n">
        <v>1.2934</v>
      </c>
      <c r="C940" t="n">
        <v>-0.49675</v>
      </c>
      <c r="D940" t="n">
        <v>1.9271</v>
      </c>
      <c r="E940" t="n">
        <v>-0.07174999999999999</v>
      </c>
      <c r="F940" t="n">
        <v>-0.5442399999999999</v>
      </c>
      <c r="G940" t="n">
        <v>-0.14853</v>
      </c>
      <c r="H940" t="n">
        <v>0.2925</v>
      </c>
      <c r="I940" t="n">
        <v>0.14526</v>
      </c>
      <c r="J940" t="n">
        <v>-0.65022</v>
      </c>
      <c r="K940" t="n">
        <v>-1.24</v>
      </c>
      <c r="L940" t="n">
        <v>-0.93029</v>
      </c>
      <c r="M940" t="n">
        <v>-1.0725</v>
      </c>
      <c r="N940" t="n">
        <v>0.12392</v>
      </c>
      <c r="O940" t="n">
        <v>-0.63326</v>
      </c>
      <c r="P940" t="n">
        <v>-0.55118</v>
      </c>
      <c r="Q940" t="n">
        <v>-0.52416</v>
      </c>
      <c r="R940" t="n">
        <v>-2.0753</v>
      </c>
      <c r="S940" t="n">
        <v>1.864</v>
      </c>
      <c r="T940" t="n">
        <v>-1.186</v>
      </c>
      <c r="U940" t="n">
        <v>-1.35</v>
      </c>
      <c r="V940" t="n">
        <v>0.11805</v>
      </c>
      <c r="W940" t="n">
        <v>1.2278</v>
      </c>
      <c r="X940" t="n">
        <v>1.7844</v>
      </c>
      <c r="Y940" t="n">
        <v>2.1012</v>
      </c>
      <c r="Z940" t="n">
        <v>0.41233</v>
      </c>
    </row>
    <row r="941">
      <c r="A941" t="inlineStr">
        <is>
          <t>smtown</t>
        </is>
      </c>
      <c r="B941" t="n">
        <v>-0.51539</v>
      </c>
      <c r="C941" t="n">
        <v>0.70241</v>
      </c>
      <c r="D941" t="n">
        <v>0.87051</v>
      </c>
      <c r="E941" t="n">
        <v>-1.0837</v>
      </c>
      <c r="F941" t="n">
        <v>-0.071894</v>
      </c>
      <c r="G941" t="n">
        <v>-0.98777</v>
      </c>
      <c r="H941" t="n">
        <v>1.2547</v>
      </c>
      <c r="I941" t="n">
        <v>1.1352</v>
      </c>
      <c r="J941" t="n">
        <v>1.0368</v>
      </c>
      <c r="K941" t="n">
        <v>-1.0405</v>
      </c>
      <c r="L941" t="n">
        <v>0.55274</v>
      </c>
      <c r="M941" t="n">
        <v>1.557</v>
      </c>
      <c r="N941" t="n">
        <v>-1.4203</v>
      </c>
      <c r="O941" t="n">
        <v>0.51259</v>
      </c>
      <c r="P941" t="n">
        <v>0.10245</v>
      </c>
      <c r="Q941" t="n">
        <v>-0.047744</v>
      </c>
      <c r="R941" t="n">
        <v>-0.64451</v>
      </c>
      <c r="S941" t="n">
        <v>-0.12734</v>
      </c>
      <c r="T941" t="n">
        <v>-1.1926</v>
      </c>
      <c r="U941" t="n">
        <v>0.7311800000000001</v>
      </c>
      <c r="V941" t="n">
        <v>-1.929</v>
      </c>
      <c r="W941" t="n">
        <v>-0.29469</v>
      </c>
      <c r="X941" t="n">
        <v>-0.6148400000000001</v>
      </c>
      <c r="Y941" t="n">
        <v>-0.46027</v>
      </c>
      <c r="Z941" t="n">
        <v>-0.37863</v>
      </c>
    </row>
    <row r="942">
      <c r="A942" t="inlineStr">
        <is>
          <t>incluso</t>
        </is>
      </c>
      <c r="B942" t="n">
        <v>0.46508</v>
      </c>
      <c r="C942" t="n">
        <v>-0.6812</v>
      </c>
      <c r="D942" t="n">
        <v>-0.34558</v>
      </c>
      <c r="E942" t="n">
        <v>0.55796</v>
      </c>
      <c r="F942" t="n">
        <v>-0.11512</v>
      </c>
      <c r="G942" t="n">
        <v>0.7195</v>
      </c>
      <c r="H942" t="n">
        <v>-0.60976</v>
      </c>
      <c r="I942" t="n">
        <v>1.5728</v>
      </c>
      <c r="J942" t="n">
        <v>-1.2416</v>
      </c>
      <c r="K942" t="n">
        <v>-0.89405</v>
      </c>
      <c r="L942" t="n">
        <v>1.1704</v>
      </c>
      <c r="M942" t="n">
        <v>-2.1563</v>
      </c>
      <c r="N942" t="n">
        <v>-0.11411</v>
      </c>
      <c r="O942" t="n">
        <v>0.64711</v>
      </c>
      <c r="P942" t="n">
        <v>0.58389</v>
      </c>
      <c r="Q942" t="n">
        <v>0.88289</v>
      </c>
      <c r="R942" t="n">
        <v>-0.35231</v>
      </c>
      <c r="S942" t="n">
        <v>0.99717</v>
      </c>
      <c r="T942" t="n">
        <v>1.122</v>
      </c>
      <c r="U942" t="n">
        <v>-1.1435</v>
      </c>
      <c r="V942" t="n">
        <v>0.45558</v>
      </c>
      <c r="W942" t="n">
        <v>-0.55821</v>
      </c>
      <c r="X942" t="n">
        <v>-0.094801</v>
      </c>
      <c r="Y942" t="n">
        <v>0.1725</v>
      </c>
      <c r="Z942" t="n">
        <v>-0.30166</v>
      </c>
    </row>
    <row r="943">
      <c r="A943" t="inlineStr">
        <is>
          <t>fathers</t>
        </is>
      </c>
      <c r="B943" t="n">
        <v>-1.0989</v>
      </c>
      <c r="C943" t="n">
        <v>1.3642</v>
      </c>
      <c r="D943" t="n">
        <v>0.12156</v>
      </c>
      <c r="E943" t="n">
        <v>0.53968</v>
      </c>
      <c r="F943" t="n">
        <v>0.51722</v>
      </c>
      <c r="G943" t="n">
        <v>-0.65133</v>
      </c>
      <c r="H943" t="n">
        <v>0.76507</v>
      </c>
      <c r="I943" t="n">
        <v>-1.1544</v>
      </c>
      <c r="J943" t="n">
        <v>-1.0802</v>
      </c>
      <c r="K943" t="n">
        <v>-0.4735</v>
      </c>
      <c r="L943" t="n">
        <v>-0.28344</v>
      </c>
      <c r="M943" t="n">
        <v>-0.1181</v>
      </c>
      <c r="N943" t="n">
        <v>-2.8403</v>
      </c>
      <c r="O943" t="n">
        <v>1.2166</v>
      </c>
      <c r="P943" t="n">
        <v>-0.9307</v>
      </c>
      <c r="Q943" t="n">
        <v>-0.34651</v>
      </c>
      <c r="R943" t="n">
        <v>0.76833</v>
      </c>
      <c r="S943" t="n">
        <v>-0.55661</v>
      </c>
      <c r="T943" t="n">
        <v>0.21774</v>
      </c>
      <c r="U943" t="n">
        <v>0.27174</v>
      </c>
      <c r="V943" t="n">
        <v>0.54189</v>
      </c>
      <c r="W943" t="n">
        <v>0.93367</v>
      </c>
      <c r="X943" t="n">
        <v>-1.0954</v>
      </c>
      <c r="Y943" t="n">
        <v>-0.48295</v>
      </c>
      <c r="Z943" t="n">
        <v>-0.13599</v>
      </c>
    </row>
    <row r="944">
      <c r="A944" t="inlineStr">
        <is>
          <t>twitt</t>
        </is>
      </c>
      <c r="B944" t="n">
        <v>1.0882</v>
      </c>
      <c r="C944" t="n">
        <v>1.3432</v>
      </c>
      <c r="D944" t="n">
        <v>-0.077622</v>
      </c>
      <c r="E944" t="n">
        <v>-0.060393</v>
      </c>
      <c r="F944" t="n">
        <v>1.1257</v>
      </c>
      <c r="G944" t="n">
        <v>-0.60853</v>
      </c>
      <c r="H944" t="n">
        <v>-0.55121</v>
      </c>
      <c r="I944" t="n">
        <v>2.1254</v>
      </c>
      <c r="J944" t="n">
        <v>0.058702</v>
      </c>
      <c r="K944" t="n">
        <v>0.3481</v>
      </c>
      <c r="L944" t="n">
        <v>-0.44585</v>
      </c>
      <c r="M944" t="n">
        <v>-0.10984</v>
      </c>
      <c r="N944" t="n">
        <v>-1.0104</v>
      </c>
      <c r="O944" t="n">
        <v>-0.52416</v>
      </c>
      <c r="P944" t="n">
        <v>0.08136</v>
      </c>
      <c r="Q944" t="n">
        <v>1.1043</v>
      </c>
      <c r="R944" t="n">
        <v>0.4238</v>
      </c>
      <c r="S944" t="n">
        <v>-0.11969</v>
      </c>
      <c r="T944" t="n">
        <v>-0.78034</v>
      </c>
      <c r="U944" t="n">
        <v>0.41752</v>
      </c>
      <c r="V944" t="n">
        <v>-0.47126</v>
      </c>
      <c r="W944" t="n">
        <v>-0.41599</v>
      </c>
      <c r="X944" t="n">
        <v>0.08221299999999999</v>
      </c>
      <c r="Y944" t="n">
        <v>0.90341</v>
      </c>
      <c r="Z944" t="n">
        <v>-0.62984</v>
      </c>
    </row>
    <row r="945">
      <c r="A945" t="inlineStr">
        <is>
          <t>shouldnt</t>
        </is>
      </c>
      <c r="B945" t="n">
        <v>0.31685</v>
      </c>
      <c r="C945" t="n">
        <v>1.256</v>
      </c>
      <c r="D945" t="n">
        <v>-0.018621</v>
      </c>
      <c r="E945" t="n">
        <v>-0.78674</v>
      </c>
      <c r="F945" t="n">
        <v>-0.61737</v>
      </c>
      <c r="G945" t="n">
        <v>-0.032504</v>
      </c>
      <c r="H945" t="n">
        <v>0.83362</v>
      </c>
      <c r="I945" t="n">
        <v>-1.3393</v>
      </c>
      <c r="J945" t="n">
        <v>-0.50714</v>
      </c>
      <c r="K945" t="n">
        <v>0.0015448</v>
      </c>
      <c r="L945" t="n">
        <v>-0.5170400000000001</v>
      </c>
      <c r="M945" t="n">
        <v>0.16747</v>
      </c>
      <c r="N945" t="n">
        <v>-3.2377</v>
      </c>
      <c r="O945" t="n">
        <v>-0.50736</v>
      </c>
      <c r="P945" t="n">
        <v>-0.37963</v>
      </c>
      <c r="Q945" t="n">
        <v>1.3051</v>
      </c>
      <c r="R945" t="n">
        <v>0.46339</v>
      </c>
      <c r="S945" t="n">
        <v>-0.55465</v>
      </c>
      <c r="T945" t="n">
        <v>0.74329</v>
      </c>
      <c r="U945" t="n">
        <v>-0.8994799999999999</v>
      </c>
      <c r="V945" t="n">
        <v>1.3201</v>
      </c>
      <c r="W945" t="n">
        <v>1.196</v>
      </c>
      <c r="X945" t="n">
        <v>0.058809</v>
      </c>
      <c r="Y945" t="n">
        <v>0.43575</v>
      </c>
      <c r="Z945" t="n">
        <v>-0.37075</v>
      </c>
    </row>
    <row r="946">
      <c r="A946" t="inlineStr">
        <is>
          <t>reveals</t>
        </is>
      </c>
      <c r="B946" t="n">
        <v>-0.049848</v>
      </c>
      <c r="C946" t="n">
        <v>-0.11487</v>
      </c>
      <c r="D946" t="n">
        <v>0.24169</v>
      </c>
      <c r="E946" t="n">
        <v>0.10353</v>
      </c>
      <c r="F946" t="n">
        <v>0.77241</v>
      </c>
      <c r="G946" t="n">
        <v>-0.89141</v>
      </c>
      <c r="H946" t="n">
        <v>0.69767</v>
      </c>
      <c r="I946" t="n">
        <v>-0.38942</v>
      </c>
      <c r="J946" t="n">
        <v>0.86335</v>
      </c>
      <c r="K946" t="n">
        <v>-1.1663</v>
      </c>
      <c r="L946" t="n">
        <v>1.4865</v>
      </c>
      <c r="M946" t="n">
        <v>1.6869</v>
      </c>
      <c r="N946" t="n">
        <v>-2.6622</v>
      </c>
      <c r="O946" t="n">
        <v>0.22777</v>
      </c>
      <c r="P946" t="n">
        <v>0.051749</v>
      </c>
      <c r="Q946" t="n">
        <v>-0.17927</v>
      </c>
      <c r="R946" t="n">
        <v>-0.09737</v>
      </c>
      <c r="S946" t="n">
        <v>0.95104</v>
      </c>
      <c r="T946" t="n">
        <v>0.29133</v>
      </c>
      <c r="U946" t="n">
        <v>-0.50598</v>
      </c>
      <c r="V946" t="n">
        <v>0.07117999999999999</v>
      </c>
      <c r="W946" t="n">
        <v>-0.07023799999999999</v>
      </c>
      <c r="X946" t="n">
        <v>-0.78199</v>
      </c>
      <c r="Y946" t="n">
        <v>-0.6545</v>
      </c>
      <c r="Z946" t="n">
        <v>-1.3507</v>
      </c>
    </row>
    <row r="947">
      <c r="A947" t="inlineStr">
        <is>
          <t>earrings</t>
        </is>
      </c>
      <c r="B947" t="n">
        <v>-1.463</v>
      </c>
      <c r="C947" t="n">
        <v>-1.9517</v>
      </c>
      <c r="D947" t="n">
        <v>0.1283</v>
      </c>
      <c r="E947" t="n">
        <v>-0.24067</v>
      </c>
      <c r="F947" t="n">
        <v>0.21399</v>
      </c>
      <c r="G947" t="n">
        <v>-0.14516</v>
      </c>
      <c r="H947" t="n">
        <v>-0.50527</v>
      </c>
      <c r="I947" t="n">
        <v>-1.126</v>
      </c>
      <c r="J947" t="n">
        <v>-0.049167</v>
      </c>
      <c r="K947" t="n">
        <v>-0.44813</v>
      </c>
      <c r="L947" t="n">
        <v>1.2186</v>
      </c>
      <c r="M947" t="n">
        <v>0.60289</v>
      </c>
      <c r="N947" t="n">
        <v>-2.8369</v>
      </c>
      <c r="O947" t="n">
        <v>-0.2766</v>
      </c>
      <c r="P947" t="n">
        <v>-2.0318</v>
      </c>
      <c r="Q947" t="n">
        <v>-0.25518</v>
      </c>
      <c r="R947" t="n">
        <v>0.90393</v>
      </c>
      <c r="S947" t="n">
        <v>-0.07045800000000001</v>
      </c>
      <c r="T947" t="n">
        <v>0.27769</v>
      </c>
      <c r="U947" t="n">
        <v>1.7157</v>
      </c>
      <c r="V947" t="n">
        <v>-1.1378</v>
      </c>
      <c r="W947" t="n">
        <v>-0.08601200000000001</v>
      </c>
      <c r="X947" t="n">
        <v>1.0426</v>
      </c>
      <c r="Y947" t="n">
        <v>0.69443</v>
      </c>
      <c r="Z947" t="n">
        <v>-0.60026</v>
      </c>
    </row>
    <row r="948">
      <c r="A948" t="inlineStr">
        <is>
          <t>offered</t>
        </is>
      </c>
      <c r="B948" t="n">
        <v>-0.78556</v>
      </c>
      <c r="C948" t="n">
        <v>1.4407</v>
      </c>
      <c r="D948" t="n">
        <v>-0.33064</v>
      </c>
      <c r="E948" t="n">
        <v>-0.4673</v>
      </c>
      <c r="F948" t="n">
        <v>-0.31068</v>
      </c>
      <c r="G948" t="n">
        <v>-0.61388</v>
      </c>
      <c r="H948" t="n">
        <v>-0.22748</v>
      </c>
      <c r="I948" t="n">
        <v>-1.0942</v>
      </c>
      <c r="J948" t="n">
        <v>-0.34653</v>
      </c>
      <c r="K948" t="n">
        <v>-0.70721</v>
      </c>
      <c r="L948" t="n">
        <v>1.3</v>
      </c>
      <c r="M948" t="n">
        <v>0.35756</v>
      </c>
      <c r="N948" t="n">
        <v>-3.4264</v>
      </c>
      <c r="O948" t="n">
        <v>-0.026085</v>
      </c>
      <c r="P948" t="n">
        <v>0.66638</v>
      </c>
      <c r="Q948" t="n">
        <v>-0.6140600000000001</v>
      </c>
      <c r="R948" t="n">
        <v>0.94058</v>
      </c>
      <c r="S948" t="n">
        <v>-0.45504</v>
      </c>
      <c r="T948" t="n">
        <v>0.41535</v>
      </c>
      <c r="U948" t="n">
        <v>-1.1293</v>
      </c>
      <c r="V948" t="n">
        <v>0.066146</v>
      </c>
      <c r="W948" t="n">
        <v>0.027715</v>
      </c>
      <c r="X948" t="n">
        <v>-0.34624</v>
      </c>
      <c r="Y948" t="n">
        <v>-0.18194</v>
      </c>
      <c r="Z948" t="n">
        <v>-0.80641</v>
      </c>
    </row>
    <row r="949">
      <c r="A949" t="inlineStr">
        <is>
          <t>burns</t>
        </is>
      </c>
      <c r="B949" t="n">
        <v>-1.1311</v>
      </c>
      <c r="C949" t="n">
        <v>-0.6202299999999999</v>
      </c>
      <c r="D949" t="n">
        <v>0.27645</v>
      </c>
      <c r="E949" t="n">
        <v>1.0317</v>
      </c>
      <c r="F949" t="n">
        <v>-0.25656</v>
      </c>
      <c r="G949" t="n">
        <v>0.13697</v>
      </c>
      <c r="H949" t="n">
        <v>0.41791</v>
      </c>
      <c r="I949" t="n">
        <v>-1.3033</v>
      </c>
      <c r="J949" t="n">
        <v>-0.076236</v>
      </c>
      <c r="K949" t="n">
        <v>0.018766</v>
      </c>
      <c r="L949" t="n">
        <v>0.91104</v>
      </c>
      <c r="M949" t="n">
        <v>0.86398</v>
      </c>
      <c r="N949" t="n">
        <v>-2.5738</v>
      </c>
      <c r="O949" t="n">
        <v>0.1261</v>
      </c>
      <c r="P949" t="n">
        <v>0.77075</v>
      </c>
      <c r="Q949" t="n">
        <v>-0.26626</v>
      </c>
      <c r="R949" t="n">
        <v>-0.35665</v>
      </c>
      <c r="S949" t="n">
        <v>0.35546</v>
      </c>
      <c r="T949" t="n">
        <v>0.65805</v>
      </c>
      <c r="U949" t="n">
        <v>-0.30163</v>
      </c>
      <c r="V949" t="n">
        <v>0.013358</v>
      </c>
      <c r="W949" t="n">
        <v>0.63381</v>
      </c>
      <c r="X949" t="n">
        <v>0.92427</v>
      </c>
      <c r="Y949" t="n">
        <v>0.06522799999999999</v>
      </c>
      <c r="Z949" t="n">
        <v>0.16714</v>
      </c>
    </row>
    <row r="950">
      <c r="A950" t="inlineStr">
        <is>
          <t>chosen</t>
        </is>
      </c>
      <c r="B950" t="n">
        <v>-0.39892</v>
      </c>
      <c r="C950" t="n">
        <v>1.025</v>
      </c>
      <c r="D950" t="n">
        <v>-0.26432</v>
      </c>
      <c r="E950" t="n">
        <v>-0.29731</v>
      </c>
      <c r="F950" t="n">
        <v>-0.058707</v>
      </c>
      <c r="G950" t="n">
        <v>-0.91428</v>
      </c>
      <c r="H950" t="n">
        <v>0.33625</v>
      </c>
      <c r="I950" t="n">
        <v>-0.74848</v>
      </c>
      <c r="J950" t="n">
        <v>-0.71003</v>
      </c>
      <c r="K950" t="n">
        <v>-1.4341</v>
      </c>
      <c r="L950" t="n">
        <v>0.45221</v>
      </c>
      <c r="M950" t="n">
        <v>0.84789</v>
      </c>
      <c r="N950" t="n">
        <v>-2.7312</v>
      </c>
      <c r="O950" t="n">
        <v>0.80784</v>
      </c>
      <c r="P950" t="n">
        <v>-0.82644</v>
      </c>
      <c r="Q950" t="n">
        <v>0.1996</v>
      </c>
      <c r="R950" t="n">
        <v>0.57781</v>
      </c>
      <c r="S950" t="n">
        <v>0.12562</v>
      </c>
      <c r="T950" t="n">
        <v>0.29827</v>
      </c>
      <c r="U950" t="n">
        <v>-0.61139</v>
      </c>
      <c r="V950" t="n">
        <v>-0.51952</v>
      </c>
      <c r="W950" t="n">
        <v>-0.27594</v>
      </c>
      <c r="X950" t="n">
        <v>-0.59275</v>
      </c>
      <c r="Y950" t="n">
        <v>-0.14704</v>
      </c>
      <c r="Z950" t="n">
        <v>-0.77932</v>
      </c>
    </row>
    <row r="951">
      <c r="A951" t="inlineStr">
        <is>
          <t>cooked</t>
        </is>
      </c>
      <c r="B951" t="n">
        <v>-1.478</v>
      </c>
      <c r="C951" t="n">
        <v>0.96155</v>
      </c>
      <c r="D951" t="n">
        <v>1.1282</v>
      </c>
      <c r="E951" t="n">
        <v>0.37838</v>
      </c>
      <c r="F951" t="n">
        <v>-0.028591</v>
      </c>
      <c r="G951" t="n">
        <v>0.4269</v>
      </c>
      <c r="H951" t="n">
        <v>0.24896</v>
      </c>
      <c r="I951" t="n">
        <v>-2.3083</v>
      </c>
      <c r="J951" t="n">
        <v>-0.85809</v>
      </c>
      <c r="K951" t="n">
        <v>0.18654</v>
      </c>
      <c r="L951" t="n">
        <v>0.86802</v>
      </c>
      <c r="M951" t="n">
        <v>0.077463</v>
      </c>
      <c r="N951" t="n">
        <v>-2.7276</v>
      </c>
      <c r="O951" t="n">
        <v>-0.73772</v>
      </c>
      <c r="P951" t="n">
        <v>0.040591</v>
      </c>
      <c r="Q951" t="n">
        <v>-0.89591</v>
      </c>
      <c r="R951" t="n">
        <v>2.2476</v>
      </c>
      <c r="S951" t="n">
        <v>-0.84438</v>
      </c>
      <c r="T951" t="n">
        <v>-0.34137</v>
      </c>
      <c r="U951" t="n">
        <v>-0.33489</v>
      </c>
      <c r="V951" t="n">
        <v>0.59655</v>
      </c>
      <c r="W951" t="n">
        <v>0.8372000000000001</v>
      </c>
      <c r="X951" t="n">
        <v>-0.78553</v>
      </c>
      <c r="Y951" t="n">
        <v>0.85549</v>
      </c>
      <c r="Z951" t="n">
        <v>1.2681</v>
      </c>
    </row>
    <row r="952">
      <c r="A952" t="inlineStr">
        <is>
          <t>reduce</t>
        </is>
      </c>
      <c r="B952" t="n">
        <v>0.12727</v>
      </c>
      <c r="C952" t="n">
        <v>0.26802</v>
      </c>
      <c r="D952" t="n">
        <v>-1.5766</v>
      </c>
      <c r="E952" t="n">
        <v>1.4199</v>
      </c>
      <c r="F952" t="n">
        <v>0.91858</v>
      </c>
      <c r="G952" t="n">
        <v>0.99857</v>
      </c>
      <c r="H952" t="n">
        <v>-0.1389</v>
      </c>
      <c r="I952" t="n">
        <v>-1.0528</v>
      </c>
      <c r="J952" t="n">
        <v>0.22195</v>
      </c>
      <c r="K952" t="n">
        <v>0.69794</v>
      </c>
      <c r="L952" t="n">
        <v>0.7176</v>
      </c>
      <c r="M952" t="n">
        <v>-1.281</v>
      </c>
      <c r="N952" t="n">
        <v>-2.5461</v>
      </c>
      <c r="O952" t="n">
        <v>0.50844</v>
      </c>
      <c r="P952" t="n">
        <v>0.47372</v>
      </c>
      <c r="Q952" t="n">
        <v>-0.098385</v>
      </c>
      <c r="R952" t="n">
        <v>-0.19399</v>
      </c>
      <c r="S952" t="n">
        <v>0.4742</v>
      </c>
      <c r="T952" t="n">
        <v>1.7034</v>
      </c>
      <c r="U952" t="n">
        <v>-1.5965</v>
      </c>
      <c r="V952" t="n">
        <v>-0.51368</v>
      </c>
      <c r="W952" t="n">
        <v>-0.37873</v>
      </c>
      <c r="X952" t="n">
        <v>0.55994</v>
      </c>
      <c r="Y952" t="n">
        <v>-0.038871</v>
      </c>
      <c r="Z952" t="n">
        <v>-0.19853</v>
      </c>
    </row>
    <row r="953">
      <c r="A953" t="inlineStr">
        <is>
          <t>forro</t>
        </is>
      </c>
      <c r="B953" t="n">
        <v>0.13677</v>
      </c>
      <c r="C953" t="n">
        <v>0.10781</v>
      </c>
      <c r="D953" t="n">
        <v>0.26915</v>
      </c>
      <c r="E953" t="n">
        <v>-0.13719</v>
      </c>
      <c r="F953" t="n">
        <v>0.14413</v>
      </c>
      <c r="G953" t="n">
        <v>0.11566</v>
      </c>
      <c r="H953" t="n">
        <v>-1.0566</v>
      </c>
      <c r="I953" t="n">
        <v>1.5876</v>
      </c>
      <c r="J953" t="n">
        <v>0.14546</v>
      </c>
      <c r="K953" t="n">
        <v>-0.5249200000000001</v>
      </c>
      <c r="L953" t="n">
        <v>0.23877</v>
      </c>
      <c r="M953" t="n">
        <v>-1.9325</v>
      </c>
      <c r="N953" t="n">
        <v>-0.96478</v>
      </c>
      <c r="O953" t="n">
        <v>-2.3047</v>
      </c>
      <c r="P953" t="n">
        <v>2.0959</v>
      </c>
      <c r="Q953" t="n">
        <v>0.47995</v>
      </c>
      <c r="R953" t="n">
        <v>-0.2524</v>
      </c>
      <c r="S953" t="n">
        <v>-0.036905</v>
      </c>
      <c r="T953" t="n">
        <v>0.19164</v>
      </c>
      <c r="U953" t="n">
        <v>0.45431</v>
      </c>
      <c r="V953" t="n">
        <v>0.51916</v>
      </c>
      <c r="W953" t="n">
        <v>0.64661</v>
      </c>
      <c r="X953" t="n">
        <v>1.7764</v>
      </c>
      <c r="Y953" t="n">
        <v>0.47293</v>
      </c>
      <c r="Z953" t="n">
        <v>0.088597</v>
      </c>
    </row>
    <row r="954">
      <c r="A954" t="inlineStr">
        <is>
          <t>caused</t>
        </is>
      </c>
      <c r="B954" t="n">
        <v>0.29134</v>
      </c>
      <c r="C954" t="n">
        <v>0.33816</v>
      </c>
      <c r="D954" t="n">
        <v>-0.74287</v>
      </c>
      <c r="E954" t="n">
        <v>0.85925</v>
      </c>
      <c r="F954" t="n">
        <v>-0.21205</v>
      </c>
      <c r="G954" t="n">
        <v>0.034269</v>
      </c>
      <c r="H954" t="n">
        <v>1.1986</v>
      </c>
      <c r="I954" t="n">
        <v>-1.3664</v>
      </c>
      <c r="J954" t="n">
        <v>-0.46977</v>
      </c>
      <c r="K954" t="n">
        <v>0.96405</v>
      </c>
      <c r="L954" t="n">
        <v>0.58592</v>
      </c>
      <c r="M954" t="n">
        <v>1.1027</v>
      </c>
      <c r="N954" t="n">
        <v>-2.4649</v>
      </c>
      <c r="O954" t="n">
        <v>0.94611</v>
      </c>
      <c r="P954" t="n">
        <v>1.5542</v>
      </c>
      <c r="Q954" t="n">
        <v>0.61175</v>
      </c>
      <c r="R954" t="n">
        <v>0.27775</v>
      </c>
      <c r="S954" t="n">
        <v>1.1617</v>
      </c>
      <c r="T954" t="n">
        <v>1.3242</v>
      </c>
      <c r="U954" t="n">
        <v>-1.5421</v>
      </c>
      <c r="V954" t="n">
        <v>0.28086</v>
      </c>
      <c r="W954" t="n">
        <v>0.21093</v>
      </c>
      <c r="X954" t="n">
        <v>0.72009</v>
      </c>
      <c r="Y954" t="n">
        <v>-0.64364</v>
      </c>
      <c r="Z954" t="n">
        <v>-0.21649</v>
      </c>
    </row>
    <row r="955">
      <c r="A955" t="inlineStr">
        <is>
          <t>ralph</t>
        </is>
      </c>
      <c r="B955" t="n">
        <v>-0.74144</v>
      </c>
      <c r="C955" t="n">
        <v>-0.99691</v>
      </c>
      <c r="D955" t="n">
        <v>0.40814</v>
      </c>
      <c r="E955" t="n">
        <v>-0.014105</v>
      </c>
      <c r="F955" t="n">
        <v>-0.29063</v>
      </c>
      <c r="G955" t="n">
        <v>-0.23279</v>
      </c>
      <c r="H955" t="n">
        <v>-0.26565</v>
      </c>
      <c r="I955" t="n">
        <v>0.15444</v>
      </c>
      <c r="J955" t="n">
        <v>-0.1353</v>
      </c>
      <c r="K955" t="n">
        <v>-1.4031</v>
      </c>
      <c r="L955" t="n">
        <v>0.12211</v>
      </c>
      <c r="M955" t="n">
        <v>0.39215</v>
      </c>
      <c r="N955" t="n">
        <v>-2.4478</v>
      </c>
      <c r="O955" t="n">
        <v>-0.71763</v>
      </c>
      <c r="P955" t="n">
        <v>0.40761</v>
      </c>
      <c r="Q955" t="n">
        <v>-0.1958</v>
      </c>
      <c r="R955" t="n">
        <v>0.10685</v>
      </c>
      <c r="S955" t="n">
        <v>0.10186</v>
      </c>
      <c r="T955" t="n">
        <v>0.90921</v>
      </c>
      <c r="U955" t="n">
        <v>0.94917</v>
      </c>
      <c r="V955" t="n">
        <v>-0.33136</v>
      </c>
      <c r="W955" t="n">
        <v>0.44301</v>
      </c>
      <c r="X955" t="n">
        <v>0.28336</v>
      </c>
      <c r="Y955" t="n">
        <v>-0.088487</v>
      </c>
      <c r="Z955" t="n">
        <v>-0.65489</v>
      </c>
    </row>
    <row r="956">
      <c r="A956" t="inlineStr">
        <is>
          <t>horario</t>
        </is>
      </c>
      <c r="B956" t="n">
        <v>1.2522</v>
      </c>
      <c r="C956" t="n">
        <v>0.32844</v>
      </c>
      <c r="D956" t="n">
        <v>-0.0053145</v>
      </c>
      <c r="E956" t="n">
        <v>-0.49068</v>
      </c>
      <c r="F956" t="n">
        <v>1.377</v>
      </c>
      <c r="G956" t="n">
        <v>-0.08116900000000001</v>
      </c>
      <c r="H956" t="n">
        <v>-0.82057</v>
      </c>
      <c r="I956" t="n">
        <v>1.1598</v>
      </c>
      <c r="J956" t="n">
        <v>0.55546</v>
      </c>
      <c r="K956" t="n">
        <v>-1.2657</v>
      </c>
      <c r="L956" t="n">
        <v>-0.37609</v>
      </c>
      <c r="M956" t="n">
        <v>-2.129</v>
      </c>
      <c r="N956" t="n">
        <v>-0.92913</v>
      </c>
      <c r="O956" t="n">
        <v>0.38316</v>
      </c>
      <c r="P956" t="n">
        <v>1.5133</v>
      </c>
      <c r="Q956" t="n">
        <v>-0.05419</v>
      </c>
      <c r="R956" t="n">
        <v>0.43071</v>
      </c>
      <c r="S956" t="n">
        <v>1.0461</v>
      </c>
      <c r="T956" t="n">
        <v>-0.051357</v>
      </c>
      <c r="U956" t="n">
        <v>-0.88273</v>
      </c>
      <c r="V956" t="n">
        <v>-0.52496</v>
      </c>
      <c r="W956" t="n">
        <v>-0.60055</v>
      </c>
      <c r="X956" t="n">
        <v>0.77142</v>
      </c>
      <c r="Y956" t="n">
        <v>0.77279</v>
      </c>
      <c r="Z956" t="n">
        <v>1.0197</v>
      </c>
    </row>
    <row r="957">
      <c r="A957" t="inlineStr">
        <is>
          <t>horses</t>
        </is>
      </c>
      <c r="B957" t="n">
        <v>-0.5148</v>
      </c>
      <c r="C957" t="n">
        <v>-0.21854</v>
      </c>
      <c r="D957" t="n">
        <v>0.046067</v>
      </c>
      <c r="E957" t="n">
        <v>-0.027062</v>
      </c>
      <c r="F957" t="n">
        <v>-0.54495</v>
      </c>
      <c r="G957" t="n">
        <v>0.26075</v>
      </c>
      <c r="H957" t="n">
        <v>0.78682</v>
      </c>
      <c r="I957" t="n">
        <v>-1.4008</v>
      </c>
      <c r="J957" t="n">
        <v>-0.32704</v>
      </c>
      <c r="K957" t="n">
        <v>0.24614</v>
      </c>
      <c r="L957" t="n">
        <v>0.75024</v>
      </c>
      <c r="M957" t="n">
        <v>-0.22865</v>
      </c>
      <c r="N957" t="n">
        <v>-2.5982</v>
      </c>
      <c r="O957" t="n">
        <v>-0.10571</v>
      </c>
      <c r="P957" t="n">
        <v>0.1053</v>
      </c>
      <c r="Q957" t="n">
        <v>0.25456</v>
      </c>
      <c r="R957" t="n">
        <v>0.61829</v>
      </c>
      <c r="S957" t="n">
        <v>-1.2227</v>
      </c>
      <c r="T957" t="n">
        <v>0.9866</v>
      </c>
      <c r="U957" t="n">
        <v>0.016521</v>
      </c>
      <c r="V957" t="n">
        <v>-0.15586</v>
      </c>
      <c r="W957" t="n">
        <v>0.83012</v>
      </c>
      <c r="X957" t="n">
        <v>0.09693499999999999</v>
      </c>
      <c r="Y957" t="n">
        <v>-1.5627</v>
      </c>
      <c r="Z957" t="n">
        <v>0.64158</v>
      </c>
    </row>
    <row r="958">
      <c r="A958" t="inlineStr">
        <is>
          <t>highlight</t>
        </is>
      </c>
      <c r="B958" t="n">
        <v>0.33573</v>
      </c>
      <c r="C958" t="n">
        <v>0.20018</v>
      </c>
      <c r="D958" t="n">
        <v>0.37649</v>
      </c>
      <c r="E958" t="n">
        <v>-0.77824</v>
      </c>
      <c r="F958" t="n">
        <v>0.674</v>
      </c>
      <c r="G958" t="n">
        <v>0.020472</v>
      </c>
      <c r="H958" t="n">
        <v>1.0769</v>
      </c>
      <c r="I958" t="n">
        <v>-0.80406</v>
      </c>
      <c r="J958" t="n">
        <v>-0.074346</v>
      </c>
      <c r="K958" t="n">
        <v>-1.1025</v>
      </c>
      <c r="L958" t="n">
        <v>0.08692800000000001</v>
      </c>
      <c r="M958" t="n">
        <v>1.0895</v>
      </c>
      <c r="N958" t="n">
        <v>-2.2844</v>
      </c>
      <c r="O958" t="n">
        <v>0.58089</v>
      </c>
      <c r="P958" t="n">
        <v>0.63801</v>
      </c>
      <c r="Q958" t="n">
        <v>0.47783</v>
      </c>
      <c r="R958" t="n">
        <v>0.31786</v>
      </c>
      <c r="S958" t="n">
        <v>-0.22095</v>
      </c>
      <c r="T958" t="n">
        <v>-0.7373</v>
      </c>
      <c r="U958" t="n">
        <v>-0.17695</v>
      </c>
      <c r="V958" t="n">
        <v>-0.84182</v>
      </c>
      <c r="W958" t="n">
        <v>0.052478</v>
      </c>
      <c r="X958" t="n">
        <v>-0.21174</v>
      </c>
      <c r="Y958" t="n">
        <v>-0.35082</v>
      </c>
      <c r="Z958" t="n">
        <v>-0.45378</v>
      </c>
    </row>
    <row r="959">
      <c r="A959" t="inlineStr">
        <is>
          <t>bons</t>
        </is>
      </c>
      <c r="B959" t="n">
        <v>2.2732</v>
      </c>
      <c r="C959" t="n">
        <v>-0.93403</v>
      </c>
      <c r="D959" t="n">
        <v>-0.732</v>
      </c>
      <c r="E959" t="n">
        <v>0.74065</v>
      </c>
      <c r="F959" t="n">
        <v>0.55416</v>
      </c>
      <c r="G959" t="n">
        <v>0.3149</v>
      </c>
      <c r="H959" t="n">
        <v>0.06049</v>
      </c>
      <c r="I959" t="n">
        <v>-1.1998</v>
      </c>
      <c r="J959" t="n">
        <v>-1.0103</v>
      </c>
      <c r="K959" t="n">
        <v>-1.3623</v>
      </c>
      <c r="L959" t="n">
        <v>0.09421499999999999</v>
      </c>
      <c r="M959" t="n">
        <v>-2.6149</v>
      </c>
      <c r="N959" t="n">
        <v>-0.43717</v>
      </c>
      <c r="O959" t="n">
        <v>1.0127</v>
      </c>
      <c r="P959" t="n">
        <v>-0.52755</v>
      </c>
      <c r="Q959" t="n">
        <v>-0.057352</v>
      </c>
      <c r="R959" t="n">
        <v>-0.48265</v>
      </c>
      <c r="S959" t="n">
        <v>-0.92783</v>
      </c>
      <c r="T959" t="n">
        <v>-1.7931</v>
      </c>
      <c r="U959" t="n">
        <v>0.54011</v>
      </c>
      <c r="V959" t="n">
        <v>-0.9063600000000001</v>
      </c>
      <c r="W959" t="n">
        <v>0.32907</v>
      </c>
      <c r="X959" t="n">
        <v>-0.55494</v>
      </c>
      <c r="Y959" t="n">
        <v>0.34887</v>
      </c>
      <c r="Z959" t="n">
        <v>0.18283</v>
      </c>
    </row>
    <row r="960">
      <c r="A960" t="inlineStr">
        <is>
          <t>torta</t>
        </is>
      </c>
      <c r="B960" t="n">
        <v>-1.5355</v>
      </c>
      <c r="C960" t="n">
        <v>-0.38653</v>
      </c>
      <c r="D960" t="n">
        <v>1.3317</v>
      </c>
      <c r="E960" t="n">
        <v>0.02456</v>
      </c>
      <c r="F960" t="n">
        <v>0.6602</v>
      </c>
      <c r="G960" t="n">
        <v>0.5716599999999999</v>
      </c>
      <c r="H960" t="n">
        <v>-0.34524</v>
      </c>
      <c r="I960" t="n">
        <v>0.70186</v>
      </c>
      <c r="J960" t="n">
        <v>0.33752</v>
      </c>
      <c r="K960" t="n">
        <v>-0.30197</v>
      </c>
      <c r="L960" t="n">
        <v>0.51885</v>
      </c>
      <c r="M960" t="n">
        <v>-3.4871</v>
      </c>
      <c r="N960" t="n">
        <v>-1.0735</v>
      </c>
      <c r="O960" t="n">
        <v>-0.94049</v>
      </c>
      <c r="P960" t="n">
        <v>-0.075348</v>
      </c>
      <c r="Q960" t="n">
        <v>0.51511</v>
      </c>
      <c r="R960" t="n">
        <v>0.8470800000000001</v>
      </c>
      <c r="S960" t="n">
        <v>0.12179</v>
      </c>
      <c r="T960" t="n">
        <v>-0.31414</v>
      </c>
      <c r="U960" t="n">
        <v>1.4115</v>
      </c>
      <c r="V960" t="n">
        <v>-0.29047</v>
      </c>
      <c r="W960" t="n">
        <v>0.64307</v>
      </c>
      <c r="X960" t="n">
        <v>0.31163</v>
      </c>
      <c r="Y960" t="n">
        <v>0.88719</v>
      </c>
      <c r="Z960" t="n">
        <v>0.67791</v>
      </c>
    </row>
    <row r="961">
      <c r="A961" t="inlineStr">
        <is>
          <t>incredibly</t>
        </is>
      </c>
      <c r="B961" t="n">
        <v>-0.64277</v>
      </c>
      <c r="C961" t="n">
        <v>-0.86059</v>
      </c>
      <c r="D961" t="n">
        <v>-0.20384</v>
      </c>
      <c r="E961" t="n">
        <v>-1.0503</v>
      </c>
      <c r="F961" t="n">
        <v>0.58369</v>
      </c>
      <c r="G961" t="n">
        <v>1.6816</v>
      </c>
      <c r="H961" t="n">
        <v>1.5505</v>
      </c>
      <c r="I961" t="n">
        <v>-1.1508</v>
      </c>
      <c r="J961" t="n">
        <v>-1.3343</v>
      </c>
      <c r="K961" t="n">
        <v>-0.93351</v>
      </c>
      <c r="L961" t="n">
        <v>-0.98785</v>
      </c>
      <c r="M961" t="n">
        <v>1.4182</v>
      </c>
      <c r="N961" t="n">
        <v>-2.7089</v>
      </c>
      <c r="O961" t="n">
        <v>-0.16232</v>
      </c>
      <c r="P961" t="n">
        <v>0.027</v>
      </c>
      <c r="Q961" t="n">
        <v>-0.25724</v>
      </c>
      <c r="R961" t="n">
        <v>0.62912</v>
      </c>
      <c r="S961" t="n">
        <v>0.44085</v>
      </c>
      <c r="T961" t="n">
        <v>0.23573</v>
      </c>
      <c r="U961" t="n">
        <v>-1.0883</v>
      </c>
      <c r="V961" t="n">
        <v>0.21264</v>
      </c>
      <c r="W961" t="n">
        <v>0.22662</v>
      </c>
      <c r="X961" t="n">
        <v>-0.94151</v>
      </c>
      <c r="Y961" t="n">
        <v>-0.29882</v>
      </c>
      <c r="Z961" t="n">
        <v>-0.99216</v>
      </c>
    </row>
    <row r="962">
      <c r="A962" t="inlineStr">
        <is>
          <t>irritating</t>
        </is>
      </c>
      <c r="B962" t="n">
        <v>-0.07353899999999999</v>
      </c>
      <c r="C962" t="n">
        <v>-0.0040373</v>
      </c>
      <c r="D962" t="n">
        <v>0.29453</v>
      </c>
      <c r="E962" t="n">
        <v>-0.30584</v>
      </c>
      <c r="F962" t="n">
        <v>1.0232</v>
      </c>
      <c r="G962" t="n">
        <v>1.0198</v>
      </c>
      <c r="H962" t="n">
        <v>1.2081</v>
      </c>
      <c r="I962" t="n">
        <v>-0.84701</v>
      </c>
      <c r="J962" t="n">
        <v>-0.36467</v>
      </c>
      <c r="K962" t="n">
        <v>0.40173</v>
      </c>
      <c r="L962" t="n">
        <v>-1.8357</v>
      </c>
      <c r="M962" t="n">
        <v>1.3221</v>
      </c>
      <c r="N962" t="n">
        <v>-1.9213</v>
      </c>
      <c r="O962" t="n">
        <v>-0.48414</v>
      </c>
      <c r="P962" t="n">
        <v>0.6466499999999999</v>
      </c>
      <c r="Q962" t="n">
        <v>0.98071</v>
      </c>
      <c r="R962" t="n">
        <v>0.30791</v>
      </c>
      <c r="S962" t="n">
        <v>-0.43194</v>
      </c>
      <c r="T962" t="n">
        <v>0.2671</v>
      </c>
      <c r="U962" t="n">
        <v>-0.36149</v>
      </c>
      <c r="V962" t="n">
        <v>1.7459</v>
      </c>
      <c r="W962" t="n">
        <v>1.0229</v>
      </c>
      <c r="X962" t="n">
        <v>0.35804</v>
      </c>
      <c r="Y962" t="n">
        <v>-0.07260800000000001</v>
      </c>
      <c r="Z962" t="n">
        <v>-0.85684</v>
      </c>
    </row>
    <row r="963">
      <c r="A963" t="inlineStr">
        <is>
          <t>threat</t>
        </is>
      </c>
      <c r="B963" t="n">
        <v>0.5663</v>
      </c>
      <c r="C963" t="n">
        <v>0.25287</v>
      </c>
      <c r="D963" t="n">
        <v>-1.1373</v>
      </c>
      <c r="E963" t="n">
        <v>0.096592</v>
      </c>
      <c r="F963" t="n">
        <v>0.44046</v>
      </c>
      <c r="G963" t="n">
        <v>-0.56712</v>
      </c>
      <c r="H963" t="n">
        <v>0.9441000000000001</v>
      </c>
      <c r="I963" t="n">
        <v>-1.0628</v>
      </c>
      <c r="J963" t="n">
        <v>0.72402</v>
      </c>
      <c r="K963" t="n">
        <v>0.55145</v>
      </c>
      <c r="L963" t="n">
        <v>0.1627</v>
      </c>
      <c r="M963" t="n">
        <v>0.70707</v>
      </c>
      <c r="N963" t="n">
        <v>-2.6786</v>
      </c>
      <c r="O963" t="n">
        <v>1.1867</v>
      </c>
      <c r="P963" t="n">
        <v>0.98006</v>
      </c>
      <c r="Q963" t="n">
        <v>0.09827</v>
      </c>
      <c r="R963" t="n">
        <v>0.023473</v>
      </c>
      <c r="S963" t="n">
        <v>0.7247400000000001</v>
      </c>
      <c r="T963" t="n">
        <v>0.4397</v>
      </c>
      <c r="U963" t="n">
        <v>-0.62802</v>
      </c>
      <c r="V963" t="n">
        <v>0.28039</v>
      </c>
      <c r="W963" t="n">
        <v>0.27705</v>
      </c>
      <c r="X963" t="n">
        <v>0.5416299999999999</v>
      </c>
      <c r="Y963" t="n">
        <v>-1.7024</v>
      </c>
      <c r="Z963" t="n">
        <v>-0.41539</v>
      </c>
    </row>
    <row r="964">
      <c r="A964" t="inlineStr">
        <is>
          <t>rates</t>
        </is>
      </c>
      <c r="B964" t="n">
        <v>0.26328</v>
      </c>
      <c r="C964" t="n">
        <v>0.61861</v>
      </c>
      <c r="D964" t="n">
        <v>-1.5078</v>
      </c>
      <c r="E964" t="n">
        <v>-0.42557</v>
      </c>
      <c r="F964" t="n">
        <v>1.2199</v>
      </c>
      <c r="G964" t="n">
        <v>-0.2006</v>
      </c>
      <c r="H964" t="n">
        <v>-0.15173</v>
      </c>
      <c r="I964" t="n">
        <v>-1.8651</v>
      </c>
      <c r="J964" t="n">
        <v>0.29731</v>
      </c>
      <c r="K964" t="n">
        <v>0.36565</v>
      </c>
      <c r="L964" t="n">
        <v>0.93912</v>
      </c>
      <c r="M964" t="n">
        <v>0.12315</v>
      </c>
      <c r="N964" t="n">
        <v>-2.3205</v>
      </c>
      <c r="O964" t="n">
        <v>1.0182</v>
      </c>
      <c r="P964" t="n">
        <v>0.61102</v>
      </c>
      <c r="Q964" t="n">
        <v>-0.99527</v>
      </c>
      <c r="R964" t="n">
        <v>-0.23554</v>
      </c>
      <c r="S964" t="n">
        <v>-0.63537</v>
      </c>
      <c r="T964" t="n">
        <v>-0.03218</v>
      </c>
      <c r="U964" t="n">
        <v>-0.9331700000000001</v>
      </c>
      <c r="V964" t="n">
        <v>0.057587</v>
      </c>
      <c r="W964" t="n">
        <v>-1.168</v>
      </c>
      <c r="X964" t="n">
        <v>0.67852</v>
      </c>
      <c r="Y964" t="n">
        <v>-0.029459</v>
      </c>
      <c r="Z964" t="n">
        <v>-1.0796</v>
      </c>
    </row>
    <row r="965">
      <c r="A965" t="inlineStr">
        <is>
          <t>warriors</t>
        </is>
      </c>
      <c r="B965" t="n">
        <v>0.23351</v>
      </c>
      <c r="C965" t="n">
        <v>0.67679</v>
      </c>
      <c r="D965" t="n">
        <v>-0.18896</v>
      </c>
      <c r="E965" t="n">
        <v>-0.80446</v>
      </c>
      <c r="F965" t="n">
        <v>-1.1819</v>
      </c>
      <c r="G965" t="n">
        <v>0.21504</v>
      </c>
      <c r="H965" t="n">
        <v>0.68048</v>
      </c>
      <c r="I965" t="n">
        <v>-0.24249</v>
      </c>
      <c r="J965" t="n">
        <v>0.20901</v>
      </c>
      <c r="K965" t="n">
        <v>-1.1496</v>
      </c>
      <c r="L965" t="n">
        <v>0.52433</v>
      </c>
      <c r="M965" t="n">
        <v>0.50809</v>
      </c>
      <c r="N965" t="n">
        <v>-2.305</v>
      </c>
      <c r="O965" t="n">
        <v>0.9583199999999999</v>
      </c>
      <c r="P965" t="n">
        <v>0.78351</v>
      </c>
      <c r="Q965" t="n">
        <v>-0.25842</v>
      </c>
      <c r="R965" t="n">
        <v>-0.66898</v>
      </c>
      <c r="S965" t="n">
        <v>-0.88318</v>
      </c>
      <c r="T965" t="n">
        <v>0.72668</v>
      </c>
      <c r="U965" t="n">
        <v>0.61231</v>
      </c>
      <c r="V965" t="n">
        <v>-0.86244</v>
      </c>
      <c r="W965" t="n">
        <v>0.8386</v>
      </c>
      <c r="X965" t="n">
        <v>0.6309</v>
      </c>
      <c r="Y965" t="n">
        <v>-1.2019</v>
      </c>
      <c r="Z965" t="n">
        <v>0.47028</v>
      </c>
    </row>
    <row r="966">
      <c r="A966" t="inlineStr">
        <is>
          <t>fiction</t>
        </is>
      </c>
      <c r="B966" t="n">
        <v>0.14959</v>
      </c>
      <c r="C966" t="n">
        <v>-0.68962</v>
      </c>
      <c r="D966" t="n">
        <v>0.045047</v>
      </c>
      <c r="E966" t="n">
        <v>0.3812</v>
      </c>
      <c r="F966" t="n">
        <v>0.87441</v>
      </c>
      <c r="G966" t="n">
        <v>-0.89166</v>
      </c>
      <c r="H966" t="n">
        <v>1.3862</v>
      </c>
      <c r="I966" t="n">
        <v>-0.6506999999999999</v>
      </c>
      <c r="J966" t="n">
        <v>0.38752</v>
      </c>
      <c r="K966" t="n">
        <v>-1.2447</v>
      </c>
      <c r="L966" t="n">
        <v>0.032054</v>
      </c>
      <c r="M966" t="n">
        <v>0.2432</v>
      </c>
      <c r="N966" t="n">
        <v>-2.3608</v>
      </c>
      <c r="O966" t="n">
        <v>-0.14836</v>
      </c>
      <c r="P966" t="n">
        <v>0.11368</v>
      </c>
      <c r="Q966" t="n">
        <v>1.191</v>
      </c>
      <c r="R966" t="n">
        <v>-0.044708</v>
      </c>
      <c r="S966" t="n">
        <v>1.1171</v>
      </c>
      <c r="T966" t="n">
        <v>-0.55726</v>
      </c>
      <c r="U966" t="n">
        <v>0.74034</v>
      </c>
      <c r="V966" t="n">
        <v>-0.33766</v>
      </c>
      <c r="W966" t="n">
        <v>-0.81367</v>
      </c>
      <c r="X966" t="n">
        <v>-1.3709</v>
      </c>
      <c r="Y966" t="n">
        <v>-0.49385</v>
      </c>
      <c r="Z966" t="n">
        <v>0.17213</v>
      </c>
    </row>
    <row r="967">
      <c r="A967" t="inlineStr">
        <is>
          <t>appears</t>
        </is>
      </c>
      <c r="B967" t="n">
        <v>-0.59277</v>
      </c>
      <c r="C967" t="n">
        <v>-0.59167</v>
      </c>
      <c r="D967" t="n">
        <v>0.41586</v>
      </c>
      <c r="E967" t="n">
        <v>-0.38583</v>
      </c>
      <c r="F967" t="n">
        <v>-0.083243</v>
      </c>
      <c r="G967" t="n">
        <v>-0.64879</v>
      </c>
      <c r="H967" t="n">
        <v>0.96712</v>
      </c>
      <c r="I967" t="n">
        <v>-0.91843</v>
      </c>
      <c r="J967" t="n">
        <v>0.14242</v>
      </c>
      <c r="K967" t="n">
        <v>-0.05009</v>
      </c>
      <c r="L967" t="n">
        <v>0.65045</v>
      </c>
      <c r="M967" t="n">
        <v>1.2715</v>
      </c>
      <c r="N967" t="n">
        <v>-2.7457</v>
      </c>
      <c r="O967" t="n">
        <v>0.35446</v>
      </c>
      <c r="P967" t="n">
        <v>0.33366</v>
      </c>
      <c r="Q967" t="n">
        <v>0.61105</v>
      </c>
      <c r="R967" t="n">
        <v>0.073656</v>
      </c>
      <c r="S967" t="n">
        <v>0.72927</v>
      </c>
      <c r="T967" t="n">
        <v>0.64403</v>
      </c>
      <c r="U967" t="n">
        <v>-1.128</v>
      </c>
      <c r="V967" t="n">
        <v>0.5809</v>
      </c>
      <c r="W967" t="n">
        <v>-0.18817</v>
      </c>
      <c r="X967" t="n">
        <v>0.10967</v>
      </c>
      <c r="Y967" t="n">
        <v>-0.4161</v>
      </c>
      <c r="Z967" t="n">
        <v>-0.9525</v>
      </c>
    </row>
    <row r="968">
      <c r="A968" t="inlineStr">
        <is>
          <t>liberty</t>
        </is>
      </c>
      <c r="B968" t="n">
        <v>-0.32529</v>
      </c>
      <c r="C968" t="n">
        <v>0.30329</v>
      </c>
      <c r="D968" t="n">
        <v>-0.93061</v>
      </c>
      <c r="E968" t="n">
        <v>-0.082954</v>
      </c>
      <c r="F968" t="n">
        <v>-0.98277</v>
      </c>
      <c r="G968" t="n">
        <v>-0.94017</v>
      </c>
      <c r="H968" t="n">
        <v>0.29186</v>
      </c>
      <c r="I968" t="n">
        <v>-0.50571</v>
      </c>
      <c r="J968" t="n">
        <v>1.0066</v>
      </c>
      <c r="K968" t="n">
        <v>0.14195</v>
      </c>
      <c r="L968" t="n">
        <v>0.16848</v>
      </c>
      <c r="M968" t="n">
        <v>0.056765</v>
      </c>
      <c r="N968" t="n">
        <v>-2.9562</v>
      </c>
      <c r="O968" t="n">
        <v>0.82387</v>
      </c>
      <c r="P968" t="n">
        <v>0.15914</v>
      </c>
      <c r="Q968" t="n">
        <v>-0.27145</v>
      </c>
      <c r="R968" t="n">
        <v>-0.40262</v>
      </c>
      <c r="S968" t="n">
        <v>0.85629</v>
      </c>
      <c r="T968" t="n">
        <v>1.1738</v>
      </c>
      <c r="U968" t="n">
        <v>0.34341</v>
      </c>
      <c r="V968" t="n">
        <v>-0.61069</v>
      </c>
      <c r="W968" t="n">
        <v>-0.18908</v>
      </c>
      <c r="X968" t="n">
        <v>-0.43414</v>
      </c>
      <c r="Y968" t="n">
        <v>-1.4449</v>
      </c>
      <c r="Z968" t="n">
        <v>0.014997</v>
      </c>
    </row>
    <row r="969">
      <c r="A969" t="inlineStr">
        <is>
          <t>treating</t>
        </is>
      </c>
      <c r="B969" t="n">
        <v>-1.3217</v>
      </c>
      <c r="C969" t="n">
        <v>1.5539</v>
      </c>
      <c r="D969" t="n">
        <v>-0.43676</v>
      </c>
      <c r="E969" t="n">
        <v>0.46894</v>
      </c>
      <c r="F969" t="n">
        <v>0.15285</v>
      </c>
      <c r="G969" t="n">
        <v>0.34429</v>
      </c>
      <c r="H969" t="n">
        <v>0.44034</v>
      </c>
      <c r="I969" t="n">
        <v>-1.7747</v>
      </c>
      <c r="J969" t="n">
        <v>-0.7209</v>
      </c>
      <c r="K969" t="n">
        <v>0.32439</v>
      </c>
      <c r="L969" t="n">
        <v>-1.14</v>
      </c>
      <c r="M969" t="n">
        <v>0.11549</v>
      </c>
      <c r="N969" t="n">
        <v>-2.9296</v>
      </c>
      <c r="O969" t="n">
        <v>-0.11312</v>
      </c>
      <c r="P969" t="n">
        <v>0.83562</v>
      </c>
      <c r="Q969" t="n">
        <v>-0.19154</v>
      </c>
      <c r="R969" t="n">
        <v>0.27009</v>
      </c>
      <c r="S969" t="n">
        <v>-0.664</v>
      </c>
      <c r="T969" t="n">
        <v>0.83687</v>
      </c>
      <c r="U969" t="n">
        <v>-0.91723</v>
      </c>
      <c r="V969" t="n">
        <v>0.53916</v>
      </c>
      <c r="W969" t="n">
        <v>0.53501</v>
      </c>
      <c r="X969" t="n">
        <v>-0.87473</v>
      </c>
      <c r="Y969" t="n">
        <v>-0.62315</v>
      </c>
      <c r="Z969" t="n">
        <v>0.009041199999999999</v>
      </c>
    </row>
    <row r="970">
      <c r="A970" t="inlineStr">
        <is>
          <t>replying</t>
        </is>
      </c>
      <c r="B970" t="n">
        <v>0.10578</v>
      </c>
      <c r="C970" t="n">
        <v>1.3442</v>
      </c>
      <c r="D970" t="n">
        <v>0.63168</v>
      </c>
      <c r="E970" t="n">
        <v>0.5751500000000001</v>
      </c>
      <c r="F970" t="n">
        <v>0.37936</v>
      </c>
      <c r="G970" t="n">
        <v>-0.33335</v>
      </c>
      <c r="H970" t="n">
        <v>0.49487</v>
      </c>
      <c r="I970" t="n">
        <v>-1.5053</v>
      </c>
      <c r="J970" t="n">
        <v>-1.2458</v>
      </c>
      <c r="K970" t="n">
        <v>0.48043</v>
      </c>
      <c r="L970" t="n">
        <v>-1.6703</v>
      </c>
      <c r="M970" t="n">
        <v>0.69717</v>
      </c>
      <c r="N970" t="n">
        <v>-2.1919</v>
      </c>
      <c r="O970" t="n">
        <v>-1.3005</v>
      </c>
      <c r="P970" t="n">
        <v>0.75459</v>
      </c>
      <c r="Q970" t="n">
        <v>0.78223</v>
      </c>
      <c r="R970" t="n">
        <v>-0.64574</v>
      </c>
      <c r="S970" t="n">
        <v>-0.63847</v>
      </c>
      <c r="T970" t="n">
        <v>-0.7907999999999999</v>
      </c>
      <c r="U970" t="n">
        <v>-1.7564</v>
      </c>
      <c r="V970" t="n">
        <v>0.74848</v>
      </c>
      <c r="W970" t="n">
        <v>-0.58449</v>
      </c>
      <c r="X970" t="n">
        <v>-0.086162</v>
      </c>
      <c r="Y970" t="n">
        <v>0.50405</v>
      </c>
      <c r="Z970" t="n">
        <v>-1.8993</v>
      </c>
    </row>
    <row r="971">
      <c r="A971" t="inlineStr">
        <is>
          <t>photoshoot</t>
        </is>
      </c>
      <c r="B971" t="n">
        <v>-0.72727</v>
      </c>
      <c r="C971" t="n">
        <v>-0.23337</v>
      </c>
      <c r="D971" t="n">
        <v>1.5859</v>
      </c>
      <c r="E971" t="n">
        <v>-0.68347</v>
      </c>
      <c r="F971" t="n">
        <v>1.1239</v>
      </c>
      <c r="G971" t="n">
        <v>-0.95201</v>
      </c>
      <c r="H971" t="n">
        <v>0.86628</v>
      </c>
      <c r="I971" t="n">
        <v>0.089883</v>
      </c>
      <c r="J971" t="n">
        <v>-0.010117</v>
      </c>
      <c r="K971" t="n">
        <v>-1.2399</v>
      </c>
      <c r="L971" t="n">
        <v>0.16576</v>
      </c>
      <c r="M971" t="n">
        <v>0.20102</v>
      </c>
      <c r="N971" t="n">
        <v>-1.8799</v>
      </c>
      <c r="O971" t="n">
        <v>-0.27269</v>
      </c>
      <c r="P971" t="n">
        <v>-0.24135</v>
      </c>
      <c r="Q971" t="n">
        <v>0.70372</v>
      </c>
      <c r="R971" t="n">
        <v>0.22493</v>
      </c>
      <c r="S971" t="n">
        <v>-0.62003</v>
      </c>
      <c r="T971" t="n">
        <v>-1.272</v>
      </c>
      <c r="U971" t="n">
        <v>0.19325</v>
      </c>
      <c r="V971" t="n">
        <v>-0.90059</v>
      </c>
      <c r="W971" t="n">
        <v>-0.83904</v>
      </c>
      <c r="X971" t="n">
        <v>-0.58726</v>
      </c>
      <c r="Y971" t="n">
        <v>-0.68323</v>
      </c>
      <c r="Z971" t="n">
        <v>-0.00057686</v>
      </c>
    </row>
    <row r="972">
      <c r="A972" t="inlineStr">
        <is>
          <t>rated</t>
        </is>
      </c>
      <c r="B972" t="n">
        <v>0.51815</v>
      </c>
      <c r="C972" t="n">
        <v>-0.059518</v>
      </c>
      <c r="D972" t="n">
        <v>0.29587</v>
      </c>
      <c r="E972" t="n">
        <v>-1.3585</v>
      </c>
      <c r="F972" t="n">
        <v>0.54408</v>
      </c>
      <c r="G972" t="n">
        <v>0.030636</v>
      </c>
      <c r="H972" t="n">
        <v>0.47279</v>
      </c>
      <c r="I972" t="n">
        <v>-0.53877</v>
      </c>
      <c r="J972" t="n">
        <v>-0.14622</v>
      </c>
      <c r="K972" t="n">
        <v>-0.77123</v>
      </c>
      <c r="L972" t="n">
        <v>-0.37141</v>
      </c>
      <c r="M972" t="n">
        <v>0.71406</v>
      </c>
      <c r="N972" t="n">
        <v>-2.3146</v>
      </c>
      <c r="O972" t="n">
        <v>0.21793</v>
      </c>
      <c r="P972" t="n">
        <v>-0.2391</v>
      </c>
      <c r="Q972" t="n">
        <v>0.026307</v>
      </c>
      <c r="R972" t="n">
        <v>0.7013200000000001</v>
      </c>
      <c r="S972" t="n">
        <v>0.011656</v>
      </c>
      <c r="T972" t="n">
        <v>0.53883</v>
      </c>
      <c r="U972" t="n">
        <v>0.4862</v>
      </c>
      <c r="V972" t="n">
        <v>-0.48625</v>
      </c>
      <c r="W972" t="n">
        <v>-0.011338</v>
      </c>
      <c r="X972" t="n">
        <v>-0.075934</v>
      </c>
      <c r="Y972" t="n">
        <v>-0.55263</v>
      </c>
      <c r="Z972" t="n">
        <v>-0.57285</v>
      </c>
    </row>
    <row r="973">
      <c r="A973" t="inlineStr">
        <is>
          <t>thrown</t>
        </is>
      </c>
      <c r="B973" t="n">
        <v>-0.21276</v>
      </c>
      <c r="C973" t="n">
        <v>0.035436</v>
      </c>
      <c r="D973" t="n">
        <v>0.85727</v>
      </c>
      <c r="E973" t="n">
        <v>0.35376</v>
      </c>
      <c r="F973" t="n">
        <v>-0.44232</v>
      </c>
      <c r="G973" t="n">
        <v>0.30361</v>
      </c>
      <c r="H973" t="n">
        <v>-0.14382</v>
      </c>
      <c r="I973" t="n">
        <v>-1.7254</v>
      </c>
      <c r="J973" t="n">
        <v>-0.52781</v>
      </c>
      <c r="K973" t="n">
        <v>0.32662</v>
      </c>
      <c r="L973" t="n">
        <v>0.93192</v>
      </c>
      <c r="M973" t="n">
        <v>1.2749</v>
      </c>
      <c r="N973" t="n">
        <v>-3.038</v>
      </c>
      <c r="O973" t="n">
        <v>0.5934700000000001</v>
      </c>
      <c r="P973" t="n">
        <v>0.10729</v>
      </c>
      <c r="Q973" t="n">
        <v>0.38686</v>
      </c>
      <c r="R973" t="n">
        <v>0.72931</v>
      </c>
      <c r="S973" t="n">
        <v>-0.40445</v>
      </c>
      <c r="T973" t="n">
        <v>0.63224</v>
      </c>
      <c r="U973" t="n">
        <v>-1.1092</v>
      </c>
      <c r="V973" t="n">
        <v>-0.32244</v>
      </c>
      <c r="W973" t="n">
        <v>0.82746</v>
      </c>
      <c r="X973" t="n">
        <v>1.3664</v>
      </c>
      <c r="Y973" t="n">
        <v>-0.65227</v>
      </c>
      <c r="Z973" t="n">
        <v>0.02755</v>
      </c>
    </row>
    <row r="974">
      <c r="A974" t="inlineStr">
        <is>
          <t>approach</t>
        </is>
      </c>
      <c r="B974" t="n">
        <v>-0.39944</v>
      </c>
      <c r="C974" t="n">
        <v>0.23216</v>
      </c>
      <c r="D974" t="n">
        <v>-1.2511</v>
      </c>
      <c r="E974" t="n">
        <v>0.26454</v>
      </c>
      <c r="F974" t="n">
        <v>0.70555</v>
      </c>
      <c r="G974" t="n">
        <v>0.38172</v>
      </c>
      <c r="H974" t="n">
        <v>0.52478</v>
      </c>
      <c r="I974" t="n">
        <v>-1.315</v>
      </c>
      <c r="J974" t="n">
        <v>1.42</v>
      </c>
      <c r="K974" t="n">
        <v>-0.8832</v>
      </c>
      <c r="L974" t="n">
        <v>-0.71189</v>
      </c>
      <c r="M974" t="n">
        <v>0.42691</v>
      </c>
      <c r="N974" t="n">
        <v>-3.3203</v>
      </c>
      <c r="O974" t="n">
        <v>0.57982</v>
      </c>
      <c r="P974" t="n">
        <v>0.4729</v>
      </c>
      <c r="Q974" t="n">
        <v>0.54371</v>
      </c>
      <c r="R974" t="n">
        <v>0.024185</v>
      </c>
      <c r="S974" t="n">
        <v>0.036453</v>
      </c>
      <c r="T974" t="n">
        <v>0.6554</v>
      </c>
      <c r="U974" t="n">
        <v>-0.73591</v>
      </c>
      <c r="V974" t="n">
        <v>0.21184</v>
      </c>
      <c r="W974" t="n">
        <v>-0.24694</v>
      </c>
      <c r="X974" t="n">
        <v>-0.69976</v>
      </c>
      <c r="Y974" t="n">
        <v>-0.28018</v>
      </c>
      <c r="Z974" t="n">
        <v>-1.1084</v>
      </c>
    </row>
    <row r="975">
      <c r="A975" t="inlineStr">
        <is>
          <t>stretch</t>
        </is>
      </c>
      <c r="B975" t="n">
        <v>-1.0432</v>
      </c>
      <c r="C975" t="n">
        <v>-0.32162</v>
      </c>
      <c r="D975" t="n">
        <v>-0.36123</v>
      </c>
      <c r="E975" t="n">
        <v>-0.022689</v>
      </c>
      <c r="F975" t="n">
        <v>0.32584</v>
      </c>
      <c r="G975" t="n">
        <v>0.79276</v>
      </c>
      <c r="H975" t="n">
        <v>0.34523</v>
      </c>
      <c r="I975" t="n">
        <v>-1.191</v>
      </c>
      <c r="J975" t="n">
        <v>0.38936</v>
      </c>
      <c r="K975" t="n">
        <v>-0.045763</v>
      </c>
      <c r="L975" t="n">
        <v>0.2942</v>
      </c>
      <c r="M975" t="n">
        <v>0.553</v>
      </c>
      <c r="N975" t="n">
        <v>-2.7211</v>
      </c>
      <c r="O975" t="n">
        <v>0.097027</v>
      </c>
      <c r="P975" t="n">
        <v>-0.71662</v>
      </c>
      <c r="Q975" t="n">
        <v>0.32471</v>
      </c>
      <c r="R975" t="n">
        <v>0.27836</v>
      </c>
      <c r="S975" t="n">
        <v>-0.92497</v>
      </c>
      <c r="T975" t="n">
        <v>0.3255</v>
      </c>
      <c r="U975" t="n">
        <v>-0.12011</v>
      </c>
      <c r="V975" t="n">
        <v>-1.1846</v>
      </c>
      <c r="W975" t="n">
        <v>0.8549600000000001</v>
      </c>
      <c r="X975" t="n">
        <v>1.5033</v>
      </c>
      <c r="Y975" t="n">
        <v>0.36651</v>
      </c>
      <c r="Z975" t="n">
        <v>-0.66769</v>
      </c>
    </row>
    <row r="976">
      <c r="A976" t="inlineStr">
        <is>
          <t>orleans</t>
        </is>
      </c>
      <c r="B976" t="n">
        <v>-0.58447</v>
      </c>
      <c r="C976" t="n">
        <v>0.97411</v>
      </c>
      <c r="D976" t="n">
        <v>0.31402</v>
      </c>
      <c r="E976" t="n">
        <v>-0.72981</v>
      </c>
      <c r="F976" t="n">
        <v>-0.99451</v>
      </c>
      <c r="G976" t="n">
        <v>-0.10488</v>
      </c>
      <c r="H976" t="n">
        <v>0.27621</v>
      </c>
      <c r="I976" t="n">
        <v>-0.59471</v>
      </c>
      <c r="J976" t="n">
        <v>0.19913</v>
      </c>
      <c r="K976" t="n">
        <v>-0.92777</v>
      </c>
      <c r="L976" t="n">
        <v>-0.14884</v>
      </c>
      <c r="M976" t="n">
        <v>-0.22685</v>
      </c>
      <c r="N976" t="n">
        <v>-2.7013</v>
      </c>
      <c r="O976" t="n">
        <v>0.81293</v>
      </c>
      <c r="P976" t="n">
        <v>1.2864</v>
      </c>
      <c r="Q976" t="n">
        <v>-0.66368</v>
      </c>
      <c r="R976" t="n">
        <v>-0.049076</v>
      </c>
      <c r="S976" t="n">
        <v>-0.4139</v>
      </c>
      <c r="T976" t="n">
        <v>0.31578</v>
      </c>
      <c r="U976" t="n">
        <v>0.5625599999999999</v>
      </c>
      <c r="V976" t="n">
        <v>0.016706</v>
      </c>
      <c r="W976" t="n">
        <v>-0.43427</v>
      </c>
      <c r="X976" t="n">
        <v>0.41868</v>
      </c>
      <c r="Y976" t="n">
        <v>-1.6428</v>
      </c>
      <c r="Z976" t="n">
        <v>0.94206</v>
      </c>
    </row>
    <row r="977">
      <c r="A977" t="inlineStr">
        <is>
          <t>everyones</t>
        </is>
      </c>
      <c r="B977" t="n">
        <v>-0.30341</v>
      </c>
      <c r="C977" t="n">
        <v>1.1952</v>
      </c>
      <c r="D977" t="n">
        <v>1.0897</v>
      </c>
      <c r="E977" t="n">
        <v>0.021932</v>
      </c>
      <c r="F977" t="n">
        <v>0.2596</v>
      </c>
      <c r="G977" t="n">
        <v>0.32373</v>
      </c>
      <c r="H977" t="n">
        <v>1.1891</v>
      </c>
      <c r="I977" t="n">
        <v>-1.0884</v>
      </c>
      <c r="J977" t="n">
        <v>-1.3202</v>
      </c>
      <c r="K977" t="n">
        <v>0.1908</v>
      </c>
      <c r="L977" t="n">
        <v>-1.3378</v>
      </c>
      <c r="M977" t="n">
        <v>0.09668499999999999</v>
      </c>
      <c r="N977" t="n">
        <v>-2.6964</v>
      </c>
      <c r="O977" t="n">
        <v>-0.027274</v>
      </c>
      <c r="P977" t="n">
        <v>0.21814</v>
      </c>
      <c r="Q977" t="n">
        <v>0.7708</v>
      </c>
      <c r="R977" t="n">
        <v>0.091807</v>
      </c>
      <c r="S977" t="n">
        <v>-0.49835</v>
      </c>
      <c r="T977" t="n">
        <v>-0.43253</v>
      </c>
      <c r="U977" t="n">
        <v>-0.45553</v>
      </c>
      <c r="V977" t="n">
        <v>0.11598</v>
      </c>
      <c r="W977" t="n">
        <v>-0.051514</v>
      </c>
      <c r="X977" t="n">
        <v>0.050304</v>
      </c>
      <c r="Y977" t="n">
        <v>-0.083325</v>
      </c>
      <c r="Z977" t="n">
        <v>-1.4037</v>
      </c>
    </row>
    <row r="978">
      <c r="A978" t="inlineStr">
        <is>
          <t>inc</t>
        </is>
      </c>
      <c r="B978" t="n">
        <v>-0.49842</v>
      </c>
      <c r="C978" t="n">
        <v>0.47097</v>
      </c>
      <c r="D978" t="n">
        <v>0.004583</v>
      </c>
      <c r="E978" t="n">
        <v>-0.7721</v>
      </c>
      <c r="F978" t="n">
        <v>0.27539</v>
      </c>
      <c r="G978" t="n">
        <v>-0.72099</v>
      </c>
      <c r="H978" t="n">
        <v>-0.070201</v>
      </c>
      <c r="I978" t="n">
        <v>-0.24196</v>
      </c>
      <c r="J978" t="n">
        <v>0.69328</v>
      </c>
      <c r="K978" t="n">
        <v>-0.7528</v>
      </c>
      <c r="L978" t="n">
        <v>0.78396</v>
      </c>
      <c r="M978" t="n">
        <v>-0.37531</v>
      </c>
      <c r="N978" t="n">
        <v>-2.4666</v>
      </c>
      <c r="O978" t="n">
        <v>-0.23289</v>
      </c>
      <c r="P978" t="n">
        <v>0.5144</v>
      </c>
      <c r="Q978" t="n">
        <v>-0.48408</v>
      </c>
      <c r="R978" t="n">
        <v>0.55591</v>
      </c>
      <c r="S978" t="n">
        <v>0.46724</v>
      </c>
      <c r="T978" t="n">
        <v>0.96555</v>
      </c>
      <c r="U978" t="n">
        <v>0.46601</v>
      </c>
      <c r="V978" t="n">
        <v>-0.037901</v>
      </c>
      <c r="W978" t="n">
        <v>-1.5736</v>
      </c>
      <c r="X978" t="n">
        <v>-0.35651</v>
      </c>
      <c r="Y978" t="n">
        <v>0.23243</v>
      </c>
      <c r="Z978" t="n">
        <v>0.21839</v>
      </c>
    </row>
    <row r="979">
      <c r="A979" t="inlineStr">
        <is>
          <t>matches</t>
        </is>
      </c>
      <c r="B979" t="n">
        <v>0.62779</v>
      </c>
      <c r="C979" t="n">
        <v>-0.31261</v>
      </c>
      <c r="D979" t="n">
        <v>-0.041921</v>
      </c>
      <c r="E979" t="n">
        <v>-1.2172</v>
      </c>
      <c r="F979" t="n">
        <v>0.056983</v>
      </c>
      <c r="G979" t="n">
        <v>0.23996</v>
      </c>
      <c r="H979" t="n">
        <v>0.25579</v>
      </c>
      <c r="I979" t="n">
        <v>-1.2471</v>
      </c>
      <c r="J979" t="n">
        <v>-0.69381</v>
      </c>
      <c r="K979" t="n">
        <v>-0.57525</v>
      </c>
      <c r="L979" t="n">
        <v>0.70541</v>
      </c>
      <c r="M979" t="n">
        <v>0.59058</v>
      </c>
      <c r="N979" t="n">
        <v>-2.6763</v>
      </c>
      <c r="O979" t="n">
        <v>1.4557</v>
      </c>
      <c r="P979" t="n">
        <v>0.62447</v>
      </c>
      <c r="Q979" t="n">
        <v>0.90142</v>
      </c>
      <c r="R979" t="n">
        <v>-0.39455</v>
      </c>
      <c r="S979" t="n">
        <v>-0.77293</v>
      </c>
      <c r="T979" t="n">
        <v>-0.32938</v>
      </c>
      <c r="U979" t="n">
        <v>0.49537</v>
      </c>
      <c r="V979" t="n">
        <v>-1.6669</v>
      </c>
      <c r="W979" t="n">
        <v>0.67261</v>
      </c>
      <c r="X979" t="n">
        <v>0.46512</v>
      </c>
      <c r="Y979" t="n">
        <v>-0.54699</v>
      </c>
      <c r="Z979" t="n">
        <v>-1.0769</v>
      </c>
    </row>
    <row r="980">
      <c r="A980" t="inlineStr">
        <is>
          <t>fighter</t>
        </is>
      </c>
      <c r="B980" t="n">
        <v>-0.15925</v>
      </c>
      <c r="C980" t="n">
        <v>0.28284</v>
      </c>
      <c r="D980" t="n">
        <v>-0.1599</v>
      </c>
      <c r="E980" t="n">
        <v>-0.31598</v>
      </c>
      <c r="F980" t="n">
        <v>0.26349</v>
      </c>
      <c r="G980" t="n">
        <v>-0.14865</v>
      </c>
      <c r="H980" t="n">
        <v>0.83936</v>
      </c>
      <c r="I980" t="n">
        <v>-0.0049112</v>
      </c>
      <c r="J980" t="n">
        <v>0.76025</v>
      </c>
      <c r="K980" t="n">
        <v>-0.83602</v>
      </c>
      <c r="L980" t="n">
        <v>0.30667</v>
      </c>
      <c r="M980" t="n">
        <v>0.66306</v>
      </c>
      <c r="N980" t="n">
        <v>-2.296</v>
      </c>
      <c r="O980" t="n">
        <v>0.25912</v>
      </c>
      <c r="P980" t="n">
        <v>0.08526300000000001</v>
      </c>
      <c r="Q980" t="n">
        <v>0.34281</v>
      </c>
      <c r="R980" t="n">
        <v>-0.09113599999999999</v>
      </c>
      <c r="S980" t="n">
        <v>-0.011042</v>
      </c>
      <c r="T980" t="n">
        <v>0.90468</v>
      </c>
      <c r="U980" t="n">
        <v>0.51239</v>
      </c>
      <c r="V980" t="n">
        <v>-0.28022</v>
      </c>
      <c r="W980" t="n">
        <v>1.1522</v>
      </c>
      <c r="X980" t="n">
        <v>0.28068</v>
      </c>
      <c r="Y980" t="n">
        <v>-1.0477</v>
      </c>
      <c r="Z980" t="n">
        <v>0.7099299999999999</v>
      </c>
    </row>
    <row r="981">
      <c r="A981" t="inlineStr">
        <is>
          <t>autofollowback</t>
        </is>
      </c>
      <c r="B981" t="n">
        <v>0.52186</v>
      </c>
      <c r="C981" t="n">
        <v>0.82282</v>
      </c>
      <c r="D981" t="n">
        <v>-2.4093</v>
      </c>
      <c r="E981" t="n">
        <v>-2.2537</v>
      </c>
      <c r="F981" t="n">
        <v>-0.55779</v>
      </c>
      <c r="G981" t="n">
        <v>-1.3048</v>
      </c>
      <c r="H981" t="n">
        <v>-0.92544</v>
      </c>
      <c r="I981" t="n">
        <v>-0.07266599999999999</v>
      </c>
      <c r="J981" t="n">
        <v>-1.1269</v>
      </c>
      <c r="K981" t="n">
        <v>0.76</v>
      </c>
      <c r="L981" t="n">
        <v>-1.2557</v>
      </c>
      <c r="M981" t="n">
        <v>0.49385</v>
      </c>
      <c r="N981" t="n">
        <v>-1.2455</v>
      </c>
      <c r="O981" t="n">
        <v>-0.98873</v>
      </c>
      <c r="P981" t="n">
        <v>-1.5929</v>
      </c>
      <c r="Q981" t="n">
        <v>0.0080003</v>
      </c>
      <c r="R981" t="n">
        <v>-0.867</v>
      </c>
      <c r="S981" t="n">
        <v>-1.0674</v>
      </c>
      <c r="T981" t="n">
        <v>0.075016</v>
      </c>
      <c r="U981" t="n">
        <v>0.6435</v>
      </c>
      <c r="V981" t="n">
        <v>-0.35622</v>
      </c>
      <c r="W981" t="n">
        <v>-1.6737</v>
      </c>
      <c r="X981" t="n">
        <v>0.95765</v>
      </c>
      <c r="Y981" t="n">
        <v>-0.32849</v>
      </c>
      <c r="Z981" t="n">
        <v>-0.6973200000000001</v>
      </c>
    </row>
    <row r="982">
      <c r="A982" t="inlineStr">
        <is>
          <t>toco</t>
        </is>
      </c>
      <c r="B982" t="n">
        <v>0.078206</v>
      </c>
      <c r="C982" t="n">
        <v>0.29067</v>
      </c>
      <c r="D982" t="n">
        <v>0.88696</v>
      </c>
      <c r="E982" t="n">
        <v>0.78454</v>
      </c>
      <c r="F982" t="n">
        <v>-0.26767</v>
      </c>
      <c r="G982" t="n">
        <v>0.29778</v>
      </c>
      <c r="H982" t="n">
        <v>-0.19619</v>
      </c>
      <c r="I982" t="n">
        <v>1.445</v>
      </c>
      <c r="J982" t="n">
        <v>0.28815</v>
      </c>
      <c r="K982" t="n">
        <v>-1.123</v>
      </c>
      <c r="L982" t="n">
        <v>0.38021</v>
      </c>
      <c r="M982" t="n">
        <v>-2.278</v>
      </c>
      <c r="N982" t="n">
        <v>-0.60002</v>
      </c>
      <c r="O982" t="n">
        <v>-0.49543</v>
      </c>
      <c r="P982" t="n">
        <v>0.56872</v>
      </c>
      <c r="Q982" t="n">
        <v>1.0557</v>
      </c>
      <c r="R982" t="n">
        <v>0.054747</v>
      </c>
      <c r="S982" t="n">
        <v>0.61409</v>
      </c>
      <c r="T982" t="n">
        <v>0.18087</v>
      </c>
      <c r="U982" t="n">
        <v>-0.22332</v>
      </c>
      <c r="V982" t="n">
        <v>-0.09507500000000001</v>
      </c>
      <c r="W982" t="n">
        <v>0.24131</v>
      </c>
      <c r="X982" t="n">
        <v>1.4612</v>
      </c>
      <c r="Y982" t="n">
        <v>1.1436</v>
      </c>
      <c r="Z982" t="n">
        <v>0.71051</v>
      </c>
    </row>
    <row r="983">
      <c r="A983" t="inlineStr">
        <is>
          <t>recorded</t>
        </is>
      </c>
      <c r="B983" t="n">
        <v>0.36734</v>
      </c>
      <c r="C983" t="n">
        <v>0.61169</v>
      </c>
      <c r="D983" t="n">
        <v>1.8195</v>
      </c>
      <c r="E983" t="n">
        <v>-0.3274</v>
      </c>
      <c r="F983" t="n">
        <v>0.29465</v>
      </c>
      <c r="G983" t="n">
        <v>-0.40054</v>
      </c>
      <c r="H983" t="n">
        <v>1.0986</v>
      </c>
      <c r="I983" t="n">
        <v>-0.99263</v>
      </c>
      <c r="J983" t="n">
        <v>-0.43636</v>
      </c>
      <c r="K983" t="n">
        <v>-0.74409</v>
      </c>
      <c r="L983" t="n">
        <v>0.53174</v>
      </c>
      <c r="M983" t="n">
        <v>1.5563</v>
      </c>
      <c r="N983" t="n">
        <v>-2.6433</v>
      </c>
      <c r="O983" t="n">
        <v>0.82707</v>
      </c>
      <c r="P983" t="n">
        <v>0.39565</v>
      </c>
      <c r="Q983" t="n">
        <v>1.0176</v>
      </c>
      <c r="R983" t="n">
        <v>0.62529</v>
      </c>
      <c r="S983" t="n">
        <v>0.95282</v>
      </c>
      <c r="T983" t="n">
        <v>0.06187</v>
      </c>
      <c r="U983" t="n">
        <v>-0.47002</v>
      </c>
      <c r="V983" t="n">
        <v>-0.37175</v>
      </c>
      <c r="W983" t="n">
        <v>-0.22371</v>
      </c>
      <c r="X983" t="n">
        <v>0.22097</v>
      </c>
      <c r="Y983" t="n">
        <v>-0.37495</v>
      </c>
      <c r="Z983" t="n">
        <v>-0.17956</v>
      </c>
    </row>
    <row r="984">
      <c r="A984" t="inlineStr">
        <is>
          <t>chavistas</t>
        </is>
      </c>
      <c r="B984" t="n">
        <v>1.7814</v>
      </c>
      <c r="C984" t="n">
        <v>1.5274</v>
      </c>
      <c r="D984" t="n">
        <v>-0.41476</v>
      </c>
      <c r="E984" t="n">
        <v>-0.42295</v>
      </c>
      <c r="F984" t="n">
        <v>-0.69668</v>
      </c>
      <c r="G984" t="n">
        <v>0.53172</v>
      </c>
      <c r="H984" t="n">
        <v>-1.0871</v>
      </c>
      <c r="I984" t="n">
        <v>2.57</v>
      </c>
      <c r="J984" t="n">
        <v>-1.1943</v>
      </c>
      <c r="K984" t="n">
        <v>-0.34857</v>
      </c>
      <c r="L984" t="n">
        <v>-0.35902</v>
      </c>
      <c r="M984" t="n">
        <v>-1.2819</v>
      </c>
      <c r="N984" t="n">
        <v>0.083699</v>
      </c>
      <c r="O984" t="n">
        <v>0.08488900000000001</v>
      </c>
      <c r="P984" t="n">
        <v>0.25318</v>
      </c>
      <c r="Q984" t="n">
        <v>0.60265</v>
      </c>
      <c r="R984" t="n">
        <v>-0.61559</v>
      </c>
      <c r="S984" t="n">
        <v>-1.5449</v>
      </c>
      <c r="T984" t="n">
        <v>1.7789</v>
      </c>
      <c r="U984" t="n">
        <v>0.085451</v>
      </c>
      <c r="V984" t="n">
        <v>0.87465</v>
      </c>
      <c r="W984" t="n">
        <v>-0.35377</v>
      </c>
      <c r="X984" t="n">
        <v>0.15553</v>
      </c>
      <c r="Y984" t="n">
        <v>-1.57</v>
      </c>
      <c r="Z984" t="n">
        <v>0.8342000000000001</v>
      </c>
    </row>
    <row r="985">
      <c r="A985" t="inlineStr">
        <is>
          <t>gates</t>
        </is>
      </c>
      <c r="B985" t="n">
        <v>-0.6684099999999999</v>
      </c>
      <c r="C985" t="n">
        <v>0.42095</v>
      </c>
      <c r="D985" t="n">
        <v>0.48465</v>
      </c>
      <c r="E985" t="n">
        <v>0.57559</v>
      </c>
      <c r="F985" t="n">
        <v>-0.50238</v>
      </c>
      <c r="G985" t="n">
        <v>-0.10773</v>
      </c>
      <c r="H985" t="n">
        <v>-0.4557</v>
      </c>
      <c r="I985" t="n">
        <v>-0.32547</v>
      </c>
      <c r="J985" t="n">
        <v>0.8307099999999999</v>
      </c>
      <c r="K985" t="n">
        <v>-0.70367</v>
      </c>
      <c r="L985" t="n">
        <v>0.9504</v>
      </c>
      <c r="M985" t="n">
        <v>0.44423</v>
      </c>
      <c r="N985" t="n">
        <v>-2.7122</v>
      </c>
      <c r="O985" t="n">
        <v>0.11938</v>
      </c>
      <c r="P985" t="n">
        <v>0.26561</v>
      </c>
      <c r="Q985" t="n">
        <v>-0.42109</v>
      </c>
      <c r="R985" t="n">
        <v>-0.19534</v>
      </c>
      <c r="S985" t="n">
        <v>0.7562</v>
      </c>
      <c r="T985" t="n">
        <v>0.60126</v>
      </c>
      <c r="U985" t="n">
        <v>-0.036802</v>
      </c>
      <c r="V985" t="n">
        <v>0.15848</v>
      </c>
      <c r="W985" t="n">
        <v>0.033371</v>
      </c>
      <c r="X985" t="n">
        <v>-0.34988</v>
      </c>
      <c r="Y985" t="n">
        <v>-0.4073</v>
      </c>
      <c r="Z985" t="n">
        <v>-0.32564</v>
      </c>
    </row>
    <row r="986">
      <c r="A986" t="inlineStr">
        <is>
          <t>thighs</t>
        </is>
      </c>
      <c r="B986" t="n">
        <v>-1.3187</v>
      </c>
      <c r="C986" t="n">
        <v>-0.58119</v>
      </c>
      <c r="D986" t="n">
        <v>-0.52342</v>
      </c>
      <c r="E986" t="n">
        <v>0.579</v>
      </c>
      <c r="F986" t="n">
        <v>0.5910300000000001</v>
      </c>
      <c r="G986" t="n">
        <v>1.0448</v>
      </c>
      <c r="H986" t="n">
        <v>0.69981</v>
      </c>
      <c r="I986" t="n">
        <v>-1.4719</v>
      </c>
      <c r="J986" t="n">
        <v>-0.7883599999999999</v>
      </c>
      <c r="K986" t="n">
        <v>0.66579</v>
      </c>
      <c r="L986" t="n">
        <v>0.2842</v>
      </c>
      <c r="M986" t="n">
        <v>0.43171</v>
      </c>
      <c r="N986" t="n">
        <v>-1.9496</v>
      </c>
      <c r="O986" t="n">
        <v>-0.46337</v>
      </c>
      <c r="P986" t="n">
        <v>-1.0528</v>
      </c>
      <c r="Q986" t="n">
        <v>-0.7136400000000001</v>
      </c>
      <c r="R986" t="n">
        <v>0.046711</v>
      </c>
      <c r="S986" t="n">
        <v>-1.8364</v>
      </c>
      <c r="T986" t="n">
        <v>0.31092</v>
      </c>
      <c r="U986" t="n">
        <v>-0.8242</v>
      </c>
      <c r="V986" t="n">
        <v>-0.05657</v>
      </c>
      <c r="W986" t="n">
        <v>1.8922</v>
      </c>
      <c r="X986" t="n">
        <v>1.6888</v>
      </c>
      <c r="Y986" t="n">
        <v>0.16944</v>
      </c>
      <c r="Z986" t="n">
        <v>-0.59936</v>
      </c>
    </row>
    <row r="987">
      <c r="A987" t="inlineStr">
        <is>
          <t>unfollowing</t>
        </is>
      </c>
      <c r="B987" t="n">
        <v>0.22522</v>
      </c>
      <c r="C987" t="n">
        <v>2.2778</v>
      </c>
      <c r="D987" t="n">
        <v>-0.14523</v>
      </c>
      <c r="E987" t="n">
        <v>0.050372</v>
      </c>
      <c r="F987" t="n">
        <v>0.74117</v>
      </c>
      <c r="G987" t="n">
        <v>-0.061637</v>
      </c>
      <c r="H987" t="n">
        <v>0.43799</v>
      </c>
      <c r="I987" t="n">
        <v>-1.3118</v>
      </c>
      <c r="J987" t="n">
        <v>-1.9082</v>
      </c>
      <c r="K987" t="n">
        <v>0.49264</v>
      </c>
      <c r="L987" t="n">
        <v>-1.4786</v>
      </c>
      <c r="M987" t="n">
        <v>0.45809</v>
      </c>
      <c r="N987" t="n">
        <v>-1.8651</v>
      </c>
      <c r="O987" t="n">
        <v>-1.6282</v>
      </c>
      <c r="P987" t="n">
        <v>0.36009</v>
      </c>
      <c r="Q987" t="n">
        <v>0.61592</v>
      </c>
      <c r="R987" t="n">
        <v>-0.91913</v>
      </c>
      <c r="S987" t="n">
        <v>-1.172</v>
      </c>
      <c r="T987" t="n">
        <v>-0.15783</v>
      </c>
      <c r="U987" t="n">
        <v>-0.89646</v>
      </c>
      <c r="V987" t="n">
        <v>0.66575</v>
      </c>
      <c r="W987" t="n">
        <v>-0.989</v>
      </c>
      <c r="X987" t="n">
        <v>-0.061272</v>
      </c>
      <c r="Y987" t="n">
        <v>-0.32768</v>
      </c>
      <c r="Z987" t="n">
        <v>-1.708</v>
      </c>
    </row>
    <row r="988">
      <c r="A988" t="inlineStr">
        <is>
          <t>seamos</t>
        </is>
      </c>
      <c r="B988" t="n">
        <v>0.56537</v>
      </c>
      <c r="C988" t="n">
        <v>-0.21854</v>
      </c>
      <c r="D988" t="n">
        <v>-1.0465</v>
      </c>
      <c r="E988" t="n">
        <v>0.62971</v>
      </c>
      <c r="F988" t="n">
        <v>-0.33199</v>
      </c>
      <c r="G988" t="n">
        <v>0.096582</v>
      </c>
      <c r="H988" t="n">
        <v>0.45346</v>
      </c>
      <c r="I988" t="n">
        <v>1.6027</v>
      </c>
      <c r="J988" t="n">
        <v>-1.81</v>
      </c>
      <c r="K988" t="n">
        <v>-1.2478</v>
      </c>
      <c r="L988" t="n">
        <v>0.30147</v>
      </c>
      <c r="M988" t="n">
        <v>-2.8968</v>
      </c>
      <c r="N988" t="n">
        <v>0.45256</v>
      </c>
      <c r="O988" t="n">
        <v>0.84287</v>
      </c>
      <c r="P988" t="n">
        <v>0.5845900000000001</v>
      </c>
      <c r="Q988" t="n">
        <v>0.18351</v>
      </c>
      <c r="R988" t="n">
        <v>-0.039192</v>
      </c>
      <c r="S988" t="n">
        <v>-0.91954</v>
      </c>
      <c r="T988" t="n">
        <v>0.9985000000000001</v>
      </c>
      <c r="U988" t="n">
        <v>-0.35977</v>
      </c>
      <c r="V988" t="n">
        <v>0.57707</v>
      </c>
      <c r="W988" t="n">
        <v>-0.18803</v>
      </c>
      <c r="X988" t="n">
        <v>-0.8134400000000001</v>
      </c>
      <c r="Y988" t="n">
        <v>-0.01269</v>
      </c>
      <c r="Z988" t="n">
        <v>0.41662</v>
      </c>
    </row>
    <row r="989">
      <c r="A989" t="inlineStr">
        <is>
          <t>busted</t>
        </is>
      </c>
      <c r="B989" t="n">
        <v>-0.15081</v>
      </c>
      <c r="C989" t="n">
        <v>0.6604100000000001</v>
      </c>
      <c r="D989" t="n">
        <v>1.3653</v>
      </c>
      <c r="E989" t="n">
        <v>-0.39181</v>
      </c>
      <c r="F989" t="n">
        <v>0.3155</v>
      </c>
      <c r="G989" t="n">
        <v>-0.30984</v>
      </c>
      <c r="H989" t="n">
        <v>0.5591</v>
      </c>
      <c r="I989" t="n">
        <v>-1.0253</v>
      </c>
      <c r="J989" t="n">
        <v>-0.35886</v>
      </c>
      <c r="K989" t="n">
        <v>0.60847</v>
      </c>
      <c r="L989" t="n">
        <v>0.14379</v>
      </c>
      <c r="M989" t="n">
        <v>0.73699</v>
      </c>
      <c r="N989" t="n">
        <v>-2.2501</v>
      </c>
      <c r="O989" t="n">
        <v>-0.78118</v>
      </c>
      <c r="P989" t="n">
        <v>0.46929</v>
      </c>
      <c r="Q989" t="n">
        <v>0.32587</v>
      </c>
      <c r="R989" t="n">
        <v>0.46217</v>
      </c>
      <c r="S989" t="n">
        <v>-0.24272</v>
      </c>
      <c r="T989" t="n">
        <v>-0.017862</v>
      </c>
      <c r="U989" t="n">
        <v>-0.54439</v>
      </c>
      <c r="V989" t="n">
        <v>0.39564</v>
      </c>
      <c r="W989" t="n">
        <v>1.0806</v>
      </c>
      <c r="X989" t="n">
        <v>1.1508</v>
      </c>
      <c r="Y989" t="n">
        <v>-0.7355</v>
      </c>
      <c r="Z989" t="n">
        <v>0.175</v>
      </c>
    </row>
    <row r="990">
      <c r="A990" t="inlineStr">
        <is>
          <t>catfish</t>
        </is>
      </c>
      <c r="B990" t="n">
        <v>0.48447</v>
      </c>
      <c r="C990" t="n">
        <v>0.69643</v>
      </c>
      <c r="D990" t="n">
        <v>1.1587</v>
      </c>
      <c r="E990" t="n">
        <v>9.1036e-05</v>
      </c>
      <c r="F990" t="n">
        <v>0.3487</v>
      </c>
      <c r="G990" t="n">
        <v>-0.14875</v>
      </c>
      <c r="H990" t="n">
        <v>1.3486</v>
      </c>
      <c r="I990" t="n">
        <v>-0.73569</v>
      </c>
      <c r="J990" t="n">
        <v>-0.6303800000000001</v>
      </c>
      <c r="K990" t="n">
        <v>-0.7403999999999999</v>
      </c>
      <c r="L990" t="n">
        <v>-0.2096</v>
      </c>
      <c r="M990" t="n">
        <v>0.30599</v>
      </c>
      <c r="N990" t="n">
        <v>-2.0658</v>
      </c>
      <c r="O990" t="n">
        <v>-0.93496</v>
      </c>
      <c r="P990" t="n">
        <v>0.9622000000000001</v>
      </c>
      <c r="Q990" t="n">
        <v>0.88292</v>
      </c>
      <c r="R990" t="n">
        <v>0.71753</v>
      </c>
      <c r="S990" t="n">
        <v>-0.48209</v>
      </c>
      <c r="T990" t="n">
        <v>-0.072104</v>
      </c>
      <c r="U990" t="n">
        <v>0.41007</v>
      </c>
      <c r="V990" t="n">
        <v>0.51793</v>
      </c>
      <c r="W990" t="n">
        <v>0.8597399999999999</v>
      </c>
      <c r="X990" t="n">
        <v>0.084977</v>
      </c>
      <c r="Y990" t="n">
        <v>-0.97415</v>
      </c>
      <c r="Z990" t="n">
        <v>0.93162</v>
      </c>
    </row>
    <row r="991">
      <c r="A991" t="inlineStr">
        <is>
          <t>shown</t>
        </is>
      </c>
      <c r="B991" t="n">
        <v>0.20305</v>
      </c>
      <c r="C991" t="n">
        <v>0.13796</v>
      </c>
      <c r="D991" t="n">
        <v>-0.085953</v>
      </c>
      <c r="E991" t="n">
        <v>-0.33621</v>
      </c>
      <c r="F991" t="n">
        <v>0.17247</v>
      </c>
      <c r="G991" t="n">
        <v>-0.26729</v>
      </c>
      <c r="H991" t="n">
        <v>0.44332</v>
      </c>
      <c r="I991" t="n">
        <v>-1.23</v>
      </c>
      <c r="J991" t="n">
        <v>-0.60675</v>
      </c>
      <c r="K991" t="n">
        <v>-0.65801</v>
      </c>
      <c r="L991" t="n">
        <v>0.050977</v>
      </c>
      <c r="M991" t="n">
        <v>1.0482</v>
      </c>
      <c r="N991" t="n">
        <v>-3.04</v>
      </c>
      <c r="O991" t="n">
        <v>0.84318</v>
      </c>
      <c r="P991" t="n">
        <v>-0.1645</v>
      </c>
      <c r="Q991" t="n">
        <v>0.50112</v>
      </c>
      <c r="R991" t="n">
        <v>0.061048</v>
      </c>
      <c r="S991" t="n">
        <v>0.59655</v>
      </c>
      <c r="T991" t="n">
        <v>0.57462</v>
      </c>
      <c r="U991" t="n">
        <v>-0.76212</v>
      </c>
      <c r="V991" t="n">
        <v>-0.55278</v>
      </c>
      <c r="W991" t="n">
        <v>0.10423</v>
      </c>
      <c r="X991" t="n">
        <v>-0.4228</v>
      </c>
      <c r="Y991" t="n">
        <v>-0.028136</v>
      </c>
      <c r="Z991" t="n">
        <v>-0.60103</v>
      </c>
    </row>
    <row r="992">
      <c r="A992" t="inlineStr">
        <is>
          <t>choses</t>
        </is>
      </c>
      <c r="B992" t="n">
        <v>1.7793</v>
      </c>
      <c r="C992" t="n">
        <v>-1.6252</v>
      </c>
      <c r="D992" t="n">
        <v>-2.5912</v>
      </c>
      <c r="E992" t="n">
        <v>1.8318</v>
      </c>
      <c r="F992" t="n">
        <v>-0.17519</v>
      </c>
      <c r="G992" t="n">
        <v>1.0937</v>
      </c>
      <c r="H992" t="n">
        <v>-0.30771</v>
      </c>
      <c r="I992" t="n">
        <v>-0.80762</v>
      </c>
      <c r="J992" t="n">
        <v>-0.63979</v>
      </c>
      <c r="K992" t="n">
        <v>-0.91888</v>
      </c>
      <c r="L992" t="n">
        <v>-0.08705599999999999</v>
      </c>
      <c r="M992" t="n">
        <v>-0.93085</v>
      </c>
      <c r="N992" t="n">
        <v>-1.4336</v>
      </c>
      <c r="O992" t="n">
        <v>0.8274899999999999</v>
      </c>
      <c r="P992" t="n">
        <v>0.13661</v>
      </c>
      <c r="Q992" t="n">
        <v>1.6209</v>
      </c>
      <c r="R992" t="n">
        <v>-0.41603</v>
      </c>
      <c r="S992" t="n">
        <v>-0.44911</v>
      </c>
      <c r="T992" t="n">
        <v>-1.9879</v>
      </c>
      <c r="U992" t="n">
        <v>1.6841</v>
      </c>
      <c r="V992" t="n">
        <v>0.52217</v>
      </c>
      <c r="W992" t="n">
        <v>-0.97741</v>
      </c>
      <c r="X992" t="n">
        <v>-0.6432600000000001</v>
      </c>
      <c r="Y992" t="n">
        <v>0.2227</v>
      </c>
      <c r="Z992" t="n">
        <v>-1.2181</v>
      </c>
    </row>
    <row r="993">
      <c r="A993" t="inlineStr">
        <is>
          <t>wallpaper</t>
        </is>
      </c>
      <c r="B993" t="n">
        <v>-0.15347</v>
      </c>
      <c r="C993" t="n">
        <v>-0.69862</v>
      </c>
      <c r="D993" t="n">
        <v>1.2456</v>
      </c>
      <c r="E993" t="n">
        <v>-0.50702</v>
      </c>
      <c r="F993" t="n">
        <v>1.1495</v>
      </c>
      <c r="G993" t="n">
        <v>-0.78831</v>
      </c>
      <c r="H993" t="n">
        <v>0.77764</v>
      </c>
      <c r="I993" t="n">
        <v>0.45738</v>
      </c>
      <c r="J993" t="n">
        <v>0.75422</v>
      </c>
      <c r="K993" t="n">
        <v>0.066374</v>
      </c>
      <c r="L993" t="n">
        <v>0.70678</v>
      </c>
      <c r="M993" t="n">
        <v>0.51468</v>
      </c>
      <c r="N993" t="n">
        <v>-1.7415</v>
      </c>
      <c r="O993" t="n">
        <v>-1.0639</v>
      </c>
      <c r="P993" t="n">
        <v>-0.42104</v>
      </c>
      <c r="Q993" t="n">
        <v>0.83522</v>
      </c>
      <c r="R993" t="n">
        <v>0.37692</v>
      </c>
      <c r="S993" t="n">
        <v>-0.48436</v>
      </c>
      <c r="T993" t="n">
        <v>0.12032</v>
      </c>
      <c r="U993" t="n">
        <v>0.50487</v>
      </c>
      <c r="V993" t="n">
        <v>-1.373</v>
      </c>
      <c r="W993" t="n">
        <v>-0.65217</v>
      </c>
      <c r="X993" t="n">
        <v>0.00028819</v>
      </c>
      <c r="Y993" t="n">
        <v>-0.10485</v>
      </c>
      <c r="Z993" t="n">
        <v>-1.2903</v>
      </c>
    </row>
    <row r="994">
      <c r="A994" t="inlineStr">
        <is>
          <t>hatin</t>
        </is>
      </c>
      <c r="B994" t="n">
        <v>-0.2386</v>
      </c>
      <c r="C994" t="n">
        <v>1.8131</v>
      </c>
      <c r="D994" t="n">
        <v>0.09886200000000001</v>
      </c>
      <c r="E994" t="n">
        <v>0.518</v>
      </c>
      <c r="F994" t="n">
        <v>-0.37954</v>
      </c>
      <c r="G994" t="n">
        <v>1.2994</v>
      </c>
      <c r="H994" t="n">
        <v>-0.27013</v>
      </c>
      <c r="I994" t="n">
        <v>-0.6073499999999999</v>
      </c>
      <c r="J994" t="n">
        <v>-0.20092</v>
      </c>
      <c r="K994" t="n">
        <v>1.066</v>
      </c>
      <c r="L994" t="n">
        <v>-1.67</v>
      </c>
      <c r="M994" t="n">
        <v>1.0011</v>
      </c>
      <c r="N994" t="n">
        <v>-2.3324</v>
      </c>
      <c r="O994" t="n">
        <v>-0.63931</v>
      </c>
      <c r="P994" t="n">
        <v>-0.5141</v>
      </c>
      <c r="Q994" t="n">
        <v>0.74009</v>
      </c>
      <c r="R994" t="n">
        <v>-0.75065</v>
      </c>
      <c r="S994" t="n">
        <v>-0.95395</v>
      </c>
      <c r="T994" t="n">
        <v>0.57975</v>
      </c>
      <c r="U994" t="n">
        <v>0.28889</v>
      </c>
      <c r="V994" t="n">
        <v>1.401</v>
      </c>
      <c r="W994" t="n">
        <v>1.2191</v>
      </c>
      <c r="X994" t="n">
        <v>0.81424</v>
      </c>
      <c r="Y994" t="n">
        <v>-0.70807</v>
      </c>
      <c r="Z994" t="n">
        <v>0.18936</v>
      </c>
    </row>
    <row r="995">
      <c r="A995" t="inlineStr">
        <is>
          <t>hea</t>
        </is>
      </c>
      <c r="B995" t="n">
        <v>-0.049913</v>
      </c>
      <c r="C995" t="n">
        <v>0.65455</v>
      </c>
      <c r="D995" t="n">
        <v>-0.16327</v>
      </c>
      <c r="E995" t="n">
        <v>-0.07189</v>
      </c>
      <c r="F995" t="n">
        <v>-0.21397</v>
      </c>
      <c r="G995" t="n">
        <v>0.12857</v>
      </c>
      <c r="H995" t="n">
        <v>-1.0537</v>
      </c>
      <c r="I995" t="n">
        <v>-0.67504</v>
      </c>
      <c r="J995" t="n">
        <v>-0.32394</v>
      </c>
      <c r="K995" t="n">
        <v>0.71094</v>
      </c>
      <c r="L995" t="n">
        <v>-1.3405</v>
      </c>
      <c r="M995" t="n">
        <v>0.94577</v>
      </c>
      <c r="N995" t="n">
        <v>-2.5883</v>
      </c>
      <c r="O995" t="n">
        <v>-0.68163</v>
      </c>
      <c r="P995" t="n">
        <v>0.10697</v>
      </c>
      <c r="Q995" t="n">
        <v>0.48135</v>
      </c>
      <c r="R995" t="n">
        <v>0.56049</v>
      </c>
      <c r="S995" t="n">
        <v>0.60163</v>
      </c>
      <c r="T995" t="n">
        <v>-0.76389</v>
      </c>
      <c r="U995" t="n">
        <v>0.72756</v>
      </c>
      <c r="V995" t="n">
        <v>0.39844</v>
      </c>
      <c r="W995" t="n">
        <v>0.59057</v>
      </c>
      <c r="X995" t="n">
        <v>0.55813</v>
      </c>
      <c r="Y995" t="n">
        <v>0.90038</v>
      </c>
      <c r="Z995" t="n">
        <v>0.65104</v>
      </c>
    </row>
    <row r="996">
      <c r="A996" t="inlineStr">
        <is>
          <t>int</t>
        </is>
      </c>
      <c r="B996" t="n">
        <v>0.10685</v>
      </c>
      <c r="C996" t="n">
        <v>0.57821</v>
      </c>
      <c r="D996" t="n">
        <v>-0.37287</v>
      </c>
      <c r="E996" t="n">
        <v>-0.39685</v>
      </c>
      <c r="F996" t="n">
        <v>-0.074461</v>
      </c>
      <c r="G996" t="n">
        <v>0.032904</v>
      </c>
      <c r="H996" t="n">
        <v>-0.65574</v>
      </c>
      <c r="I996" t="n">
        <v>-0.1114</v>
      </c>
      <c r="J996" t="n">
        <v>0.51658</v>
      </c>
      <c r="K996" t="n">
        <v>-0.56511</v>
      </c>
      <c r="L996" t="n">
        <v>-0.47476</v>
      </c>
      <c r="M996" t="n">
        <v>0.40987</v>
      </c>
      <c r="N996" t="n">
        <v>-2.4336</v>
      </c>
      <c r="O996" t="n">
        <v>0.93284</v>
      </c>
      <c r="P996" t="n">
        <v>0.37469</v>
      </c>
      <c r="Q996" t="n">
        <v>-0.18641</v>
      </c>
      <c r="R996" t="n">
        <v>0.19574</v>
      </c>
      <c r="S996" t="n">
        <v>0.67793</v>
      </c>
      <c r="T996" t="n">
        <v>-0.056986</v>
      </c>
      <c r="U996" t="n">
        <v>-0.07249</v>
      </c>
      <c r="V996" t="n">
        <v>-0.48848</v>
      </c>
      <c r="W996" t="n">
        <v>0.079431</v>
      </c>
      <c r="X996" t="n">
        <v>0.4019</v>
      </c>
      <c r="Y996" t="n">
        <v>-0.072407</v>
      </c>
      <c r="Z996" t="n">
        <v>0.161</v>
      </c>
    </row>
    <row r="997">
      <c r="A997" t="inlineStr">
        <is>
          <t>protection</t>
        </is>
      </c>
      <c r="B997" t="n">
        <v>-0.48517</v>
      </c>
      <c r="C997" t="n">
        <v>0.077303</v>
      </c>
      <c r="D997" t="n">
        <v>-1.8914</v>
      </c>
      <c r="E997" t="n">
        <v>0.71444</v>
      </c>
      <c r="F997" t="n">
        <v>1.0841</v>
      </c>
      <c r="G997" t="n">
        <v>-1.1485</v>
      </c>
      <c r="H997" t="n">
        <v>-0.019444</v>
      </c>
      <c r="I997" t="n">
        <v>-1.2338</v>
      </c>
      <c r="J997" t="n">
        <v>0.9141899999999999</v>
      </c>
      <c r="K997" t="n">
        <v>0.55883</v>
      </c>
      <c r="L997" t="n">
        <v>0.9194600000000001</v>
      </c>
      <c r="M997" t="n">
        <v>-0.12683</v>
      </c>
      <c r="N997" t="n">
        <v>-3.0164</v>
      </c>
      <c r="O997" t="n">
        <v>0.44432</v>
      </c>
      <c r="P997" t="n">
        <v>0.20246</v>
      </c>
      <c r="Q997" t="n">
        <v>0.38788</v>
      </c>
      <c r="R997" t="n">
        <v>0.33312</v>
      </c>
      <c r="S997" t="n">
        <v>0.41112</v>
      </c>
      <c r="T997" t="n">
        <v>0.45257</v>
      </c>
      <c r="U997" t="n">
        <v>-0.042966</v>
      </c>
      <c r="V997" t="n">
        <v>-0.10904</v>
      </c>
      <c r="W997" t="n">
        <v>-0.3322</v>
      </c>
      <c r="X997" t="n">
        <v>0.24923</v>
      </c>
      <c r="Y997" t="n">
        <v>-0.45708</v>
      </c>
      <c r="Z997" t="n">
        <v>-0.5053800000000001</v>
      </c>
    </row>
    <row r="998">
      <c r="A998" t="inlineStr">
        <is>
          <t>photographer</t>
        </is>
      </c>
      <c r="B998" t="n">
        <v>-0.81734</v>
      </c>
      <c r="C998" t="n">
        <v>-0.29904</v>
      </c>
      <c r="D998" t="n">
        <v>0.087551</v>
      </c>
      <c r="E998" t="n">
        <v>-0.80352</v>
      </c>
      <c r="F998" t="n">
        <v>1.0755</v>
      </c>
      <c r="G998" t="n">
        <v>-1.1484</v>
      </c>
      <c r="H998" t="n">
        <v>0.52482</v>
      </c>
      <c r="I998" t="n">
        <v>-0.0069553</v>
      </c>
      <c r="J998" t="n">
        <v>0.59713</v>
      </c>
      <c r="K998" t="n">
        <v>-0.7343</v>
      </c>
      <c r="L998" t="n">
        <v>0.47216</v>
      </c>
      <c r="M998" t="n">
        <v>0.6439</v>
      </c>
      <c r="N998" t="n">
        <v>-2.302</v>
      </c>
      <c r="O998" t="n">
        <v>-0.6440399999999999</v>
      </c>
      <c r="P998" t="n">
        <v>0.015007</v>
      </c>
      <c r="Q998" t="n">
        <v>0.078171</v>
      </c>
      <c r="R998" t="n">
        <v>0.9215</v>
      </c>
      <c r="S998" t="n">
        <v>-0.26196</v>
      </c>
      <c r="T998" t="n">
        <v>0.16341</v>
      </c>
      <c r="U998" t="n">
        <v>0.13301</v>
      </c>
      <c r="V998" t="n">
        <v>0.1996</v>
      </c>
      <c r="W998" t="n">
        <v>-0.57648</v>
      </c>
      <c r="X998" t="n">
        <v>-1.4477</v>
      </c>
      <c r="Y998" t="n">
        <v>-1.2633</v>
      </c>
      <c r="Z998" t="n">
        <v>-0.81482</v>
      </c>
    </row>
    <row r="999">
      <c r="A999" t="inlineStr">
        <is>
          <t>offensive</t>
        </is>
      </c>
      <c r="B999" t="n">
        <v>1.3354</v>
      </c>
      <c r="C999" t="n">
        <v>0.09568599999999999</v>
      </c>
      <c r="D999" t="n">
        <v>-0.83948</v>
      </c>
      <c r="E999" t="n">
        <v>-0.55985</v>
      </c>
      <c r="F999" t="n">
        <v>1.0401</v>
      </c>
      <c r="G999" t="n">
        <v>0.33696</v>
      </c>
      <c r="H999" t="n">
        <v>0.52205</v>
      </c>
      <c r="I999" t="n">
        <v>-1.0586</v>
      </c>
      <c r="J999" t="n">
        <v>0.21688</v>
      </c>
      <c r="K999" t="n">
        <v>-0.75032</v>
      </c>
      <c r="L999" t="n">
        <v>0.085686</v>
      </c>
      <c r="M999" t="n">
        <v>1.1648</v>
      </c>
      <c r="N999" t="n">
        <v>-2.5317</v>
      </c>
      <c r="O999" t="n">
        <v>0.16182</v>
      </c>
      <c r="P999" t="n">
        <v>1.4902</v>
      </c>
      <c r="Q999" t="n">
        <v>-0.27198</v>
      </c>
      <c r="R999" t="n">
        <v>0.13785</v>
      </c>
      <c r="S999" t="n">
        <v>-0.22565</v>
      </c>
      <c r="T999" t="n">
        <v>0.09773900000000001</v>
      </c>
      <c r="U999" t="n">
        <v>-0.44882</v>
      </c>
      <c r="V999" t="n">
        <v>0.10739</v>
      </c>
      <c r="W999" t="n">
        <v>1.1665</v>
      </c>
      <c r="X999" t="n">
        <v>0.35962</v>
      </c>
      <c r="Y999" t="n">
        <v>-1.3646</v>
      </c>
      <c r="Z999" t="n">
        <v>-1.5068</v>
      </c>
    </row>
    <row r="1000">
      <c r="A1000" t="inlineStr">
        <is>
          <t>perspective</t>
        </is>
      </c>
      <c r="B1000" t="n">
        <v>-0.23127</v>
      </c>
      <c r="C1000" t="n">
        <v>-0.4149</v>
      </c>
      <c r="D1000" t="n">
        <v>-1.3337</v>
      </c>
      <c r="E1000" t="n">
        <v>0.38468</v>
      </c>
      <c r="F1000" t="n">
        <v>0.7851399999999999</v>
      </c>
      <c r="G1000" t="n">
        <v>-0.11902</v>
      </c>
      <c r="H1000" t="n">
        <v>1.1518</v>
      </c>
      <c r="I1000" t="n">
        <v>-1.3465</v>
      </c>
      <c r="J1000" t="n">
        <v>0.27188</v>
      </c>
      <c r="K1000" t="n">
        <v>-0.87153</v>
      </c>
      <c r="L1000" t="n">
        <v>-0.78777</v>
      </c>
      <c r="M1000" t="n">
        <v>0.41105</v>
      </c>
      <c r="N1000" t="n">
        <v>-2.7881</v>
      </c>
      <c r="O1000" t="n">
        <v>0.78537</v>
      </c>
      <c r="P1000" t="n">
        <v>0.50804</v>
      </c>
      <c r="Q1000" t="n">
        <v>0.6422600000000001</v>
      </c>
      <c r="R1000" t="n">
        <v>-0.22381</v>
      </c>
      <c r="S1000" t="n">
        <v>0.4046</v>
      </c>
      <c r="T1000" t="n">
        <v>0.40447</v>
      </c>
      <c r="U1000" t="n">
        <v>0.15305</v>
      </c>
      <c r="V1000" t="n">
        <v>0.050699</v>
      </c>
      <c r="W1000" t="n">
        <v>-0.66849</v>
      </c>
      <c r="X1000" t="n">
        <v>-0.5402</v>
      </c>
      <c r="Y1000" t="n">
        <v>-0.1782</v>
      </c>
      <c r="Z1000" t="n">
        <v>-0.93487</v>
      </c>
    </row>
    <row r="1001">
      <c r="A1001" t="inlineStr">
        <is>
          <t>forecast</t>
        </is>
      </c>
      <c r="B1001" t="n">
        <v>-0.87618</v>
      </c>
      <c r="C1001" t="n">
        <v>-0.24266</v>
      </c>
      <c r="D1001" t="n">
        <v>-0.65217</v>
      </c>
      <c r="E1001" t="n">
        <v>-1.0789</v>
      </c>
      <c r="F1001" t="n">
        <v>0.09256</v>
      </c>
      <c r="G1001" t="n">
        <v>0.49521</v>
      </c>
      <c r="H1001" t="n">
        <v>1.2009</v>
      </c>
      <c r="I1001" t="n">
        <v>-1.509</v>
      </c>
      <c r="J1001" t="n">
        <v>0.65934</v>
      </c>
      <c r="K1001" t="n">
        <v>-0.45711</v>
      </c>
      <c r="L1001" t="n">
        <v>-0.078082</v>
      </c>
      <c r="M1001" t="n">
        <v>0.70377</v>
      </c>
      <c r="N1001" t="n">
        <v>-1.977</v>
      </c>
      <c r="O1001" t="n">
        <v>2.1192</v>
      </c>
      <c r="P1001" t="n">
        <v>1.4387</v>
      </c>
      <c r="Q1001" t="n">
        <v>-1.3098</v>
      </c>
      <c r="R1001" t="n">
        <v>-0.015472</v>
      </c>
      <c r="S1001" t="n">
        <v>1.186</v>
      </c>
      <c r="T1001" t="n">
        <v>-0.35977</v>
      </c>
      <c r="U1001" t="n">
        <v>0.034761</v>
      </c>
      <c r="V1001" t="n">
        <v>-0.39007</v>
      </c>
      <c r="W1001" t="n">
        <v>-1.7148</v>
      </c>
      <c r="X1001" t="n">
        <v>1.2939</v>
      </c>
      <c r="Y1001" t="n">
        <v>0.87099</v>
      </c>
      <c r="Z1001" t="n">
        <v>-0.73652</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5" customWidth="1" min="1" max="1"/>
    <col width="20" customWidth="1" min="2" max="2"/>
    <col width="15" customWidth="1" min="3" max="3"/>
    <col width="20" customWidth="1" min="4" max="4"/>
    <col width="25" customWidth="1" min="5" max="5"/>
  </cols>
  <sheetData>
    <row r="1">
      <c r="A1" s="2" t="inlineStr">
        <is>
          <t>COSINE SIMILARITY CALCULATOR</t>
        </is>
      </c>
      <c r="B1" s="3" t="n"/>
      <c r="C1" s="3" t="n"/>
      <c r="D1" s="3" t="n"/>
      <c r="E1" s="4" t="n"/>
    </row>
    <row r="2">
      <c r="A2" s="5" t="inlineStr">
        <is>
          <t>Instructions:</t>
        </is>
      </c>
      <c r="B2" s="6" t="inlineStr">
        <is>
          <t>Enter two words in columns A and C (starting from row 5). The sheet will automatically calculate the cosine similarity between their word vectors. Similarity ranges from -1 (opposite) to 1 (identical), with 0 meaning orthogonal/unrelated.</t>
        </is>
      </c>
    </row>
    <row r="4">
      <c r="A4" s="5" t="inlineStr">
        <is>
          <t>Word 1</t>
        </is>
      </c>
      <c r="B4" s="5" t="inlineStr">
        <is>
          <t>Row Index 1</t>
        </is>
      </c>
      <c r="C4" s="5" t="inlineStr">
        <is>
          <t>Word 2</t>
        </is>
      </c>
      <c r="D4" s="5" t="inlineStr">
        <is>
          <t>Row Index 2</t>
        </is>
      </c>
      <c r="E4" s="5" t="inlineStr">
        <is>
          <t>Cosine Similarity</t>
        </is>
      </c>
    </row>
    <row r="5">
      <c r="A5" t="inlineStr">
        <is>
          <t>follow</t>
        </is>
      </c>
      <c r="B5">
        <f>IF(A5="","",MATCH(A5,'Word Vectors'!A:A,0)-1)</f>
        <v/>
      </c>
      <c r="C5" t="inlineStr">
        <is>
          <t>back</t>
        </is>
      </c>
      <c r="D5">
        <f>IF(C5="","",MATCH(C5,'Word Vectors'!A:A,0)-1)</f>
        <v/>
      </c>
      <c r="E5">
        <f>IF(OR(A5="",C5="",NOT(ISNUMBER(B5)),NOT(ISNUMBER(D5))),"",SUMPRODUCT(INDIRECT("'Word Vectors'!B"&amp;(B5+1)&amp;":Z"&amp;(B5+1)),INDIRECT("'Word Vectors'!B"&amp;(D5+1)&amp;":Z"&amp;(D5+1)))/(SQRT(SUMPRODUCT(INDIRECT("'Word Vectors'!B"&amp;(B5+1)&amp;":Z"&amp;(B5+1)),INDIRECT("'Word Vectors'!B"&amp;(B5+1)&amp;":Z"&amp;(B5+1))))*SQRT(SUMPRODUCT(INDIRECT("'Word Vectors'!B"&amp;(D5+1)&amp;":Z"&amp;(D5+1)),INDIRECT("'Word Vectors'!B"&amp;(D5+1)&amp;":Z"&amp;(D5+1))))))</f>
        <v/>
      </c>
    </row>
    <row r="6">
      <c r="A6" t="inlineStr"/>
      <c r="B6">
        <f>IF(A6="","",IF(ISNA(MATCH(A6,'Word Vectors'!A:A,0)),"Word not found",MATCH(A6,'Word Vectors'!A:A,0)-1))</f>
        <v/>
      </c>
      <c r="C6" t="inlineStr"/>
      <c r="D6">
        <f>IF(C6="","",IF(ISNA(MATCH(C6,'Word Vectors'!A:A,0)),"Word not found",MATCH(C6,'Word Vectors'!A:A,0)-1))</f>
        <v/>
      </c>
      <c r="E6">
        <f>IF(OR(A6="",C6="",NOT(ISNUMBER(B6)),NOT(ISNUMBER(D6))),"",SUMPRODUCT(INDIRECT("'Word Vectors'!B"&amp;(B6+1)&amp;":Z"&amp;(B6+1)),INDIRECT("'Word Vectors'!B"&amp;(D6+1)&amp;":Z"&amp;(D6+1)))/(SQRT(SUMPRODUCT(INDIRECT("'Word Vectors'!B"&amp;(B6+1)&amp;":Z"&amp;(B6+1)),INDIRECT("'Word Vectors'!B"&amp;(B6+1)&amp;":Z"&amp;(B6+1))))*SQRT(SUMPRODUCT(INDIRECT("'Word Vectors'!B"&amp;(D6+1)&amp;":Z"&amp;(D6+1)),INDIRECT("'Word Vectors'!B"&amp;(D6+1)&amp;":Z"&amp;(D6+1))))))</f>
        <v/>
      </c>
    </row>
    <row r="7">
      <c r="A7" s="7" t="inlineStr">
        <is>
          <t>Tip:</t>
        </is>
      </c>
      <c r="B7" s="8" t="inlineStr">
        <is>
          <t>You can copy row 6 down to compare multiple word pairs. If a word is not found in the database, 'Word not found' will be displayed.</t>
        </is>
      </c>
    </row>
  </sheetData>
  <mergeCells count="3">
    <mergeCell ref="B7:E7"/>
    <mergeCell ref="A1:E1"/>
    <mergeCell ref="B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sheetData>
    <row r="1">
      <c r="A1" s="1" t="inlineStr">
        <is>
          <t>Instructions</t>
        </is>
      </c>
    </row>
    <row r="2">
      <c r="A2" t="inlineStr">
        <is>
          <t>COSINE SIMILARITY FORMULAS</t>
        </is>
      </c>
    </row>
    <row r="3"/>
    <row r="4">
      <c r="A4" t="inlineStr">
        <is>
          <t>To calculate cosine similarity between two vectors by row index:</t>
        </is>
      </c>
    </row>
    <row r="5"/>
    <row r="6">
      <c r="A6" t="inlineStr">
        <is>
          <t>Method 1: Direct cell reference</t>
        </is>
      </c>
    </row>
    <row r="7">
      <c r="A7">
        <f>SUMPRODUCT(B2:Z2,B3:Z3)/(SQRT(SUMPRODUCT(B2:Z2,B2:Z2))*SQRT(SUMPRODUCT(B3:Z3,B3:Z3)))</f>
        <v/>
      </c>
    </row>
    <row r="8"/>
    <row r="9">
      <c r="A9" t="inlineStr">
        <is>
          <t>Method 2: Using INDEX with row numbers</t>
        </is>
      </c>
    </row>
    <row r="10">
      <c r="A10" t="inlineStr">
        <is>
          <t>If row indices are in cells A1 and B1:</t>
        </is>
      </c>
    </row>
    <row r="11">
      <c r="A11">
        <f>SUMPRODUCT(INDEX(B:Z,A1+1,0),INDEX(B:Z,B1+1,0))/(SQRT(SUMPRODUCT(INDEX(B:Z,A1+1,0),INDEX(B:Z,A1+1,0)))*SQRT(SUMPRODUCT(INDEX(B:Z,B1+1,0),INDEX(B:Z,B1+1,0))))</f>
        <v/>
      </c>
    </row>
    <row r="12"/>
    <row r="13">
      <c r="A13" t="inlineStr">
        <is>
          <t>Note: +1 accounts for the header row. Row index 1 = actual row 2 in sheet.</t>
        </is>
      </c>
    </row>
    <row r="14"/>
    <row r="15">
      <c r="A15" t="inlineStr">
        <is>
          <t>Example: To compare first word (row 2) with second word (row 3):</t>
        </is>
      </c>
    </row>
    <row r="16">
      <c r="A16">
        <f>SUMPRODUCT(B2:Z2,B3:Z3)/(SQRT(SUMPRODUCT(B2:Z2,B2:Z2))*SQRT(SUMPRODUCT(B3:Z3,B3:Z3)))</f>
        <v/>
      </c>
    </row>
    <row r="17"/>
    <row r="18">
      <c r="A18" t="inlineStr">
        <is>
          <t>Result range: -1 to 1</t>
        </is>
      </c>
    </row>
    <row r="19">
      <c r="A19" t="inlineStr">
        <is>
          <t>1 = most similar, 0 = orthogonal, -1 = most dissimilar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LO16"/>
  <sheetViews>
    <sheetView workbookViewId="0">
      <selection activeCell="A1" sqref="A1"/>
    </sheetView>
  </sheetViews>
  <sheetFormatPr baseColWidth="8" defaultRowHeight="15"/>
  <cols>
    <col width="10" customWidth="1" min="1" max="1"/>
    <col width="20" customWidth="1" min="2" max="2"/>
    <col width="15" customWidth="1" min="3" max="3"/>
    <col hidden="1" width="13" customWidth="1" min="4" max="4"/>
    <col hidden="1" width="13"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 hidden="1" width="13" customWidth="1" min="125" max="125"/>
    <col hidden="1" width="13" customWidth="1" min="126" max="126"/>
    <col hidden="1" width="13" customWidth="1" min="127" max="127"/>
    <col hidden="1" width="13" customWidth="1" min="128" max="128"/>
    <col hidden="1" width="13" customWidth="1" min="129" max="129"/>
    <col hidden="1" width="13" customWidth="1" min="130" max="130"/>
    <col hidden="1" width="13" customWidth="1" min="131" max="131"/>
    <col hidden="1" width="13" customWidth="1" min="132" max="132"/>
    <col hidden="1" width="13" customWidth="1" min="133" max="133"/>
    <col hidden="1" width="13" customWidth="1" min="134" max="134"/>
    <col hidden="1" width="13" customWidth="1" min="135" max="135"/>
    <col hidden="1" width="13" customWidth="1" min="136" max="136"/>
    <col hidden="1" width="13" customWidth="1" min="137" max="137"/>
    <col hidden="1" width="13" customWidth="1" min="138" max="138"/>
    <col hidden="1" width="13" customWidth="1" min="139" max="139"/>
    <col hidden="1" width="13" customWidth="1" min="140" max="140"/>
    <col hidden="1" width="13" customWidth="1" min="141" max="141"/>
    <col hidden="1" width="13" customWidth="1" min="142" max="142"/>
    <col hidden="1" width="13" customWidth="1" min="143" max="143"/>
    <col hidden="1" width="13" customWidth="1" min="144" max="144"/>
    <col hidden="1" width="13" customWidth="1" min="145" max="145"/>
    <col hidden="1" width="13" customWidth="1" min="146" max="146"/>
    <col hidden="1" width="13" customWidth="1" min="147" max="147"/>
    <col hidden="1" width="13" customWidth="1" min="148" max="148"/>
    <col hidden="1" width="13" customWidth="1" min="149" max="149"/>
    <col hidden="1" width="13" customWidth="1" min="150" max="150"/>
    <col hidden="1" width="13" customWidth="1" min="151" max="151"/>
    <col hidden="1" width="13" customWidth="1" min="152" max="152"/>
    <col hidden="1" width="13" customWidth="1" min="153" max="153"/>
    <col hidden="1" width="13" customWidth="1" min="154" max="154"/>
    <col hidden="1" width="13" customWidth="1" min="155" max="155"/>
    <col hidden="1" width="13" customWidth="1" min="156" max="156"/>
    <col hidden="1" width="13" customWidth="1" min="157" max="157"/>
    <col hidden="1" width="13" customWidth="1" min="158" max="158"/>
    <col hidden="1" width="13" customWidth="1" min="159" max="159"/>
    <col hidden="1" width="13" customWidth="1" min="160" max="160"/>
    <col hidden="1" width="13" customWidth="1" min="161" max="161"/>
    <col hidden="1" width="13" customWidth="1" min="162" max="162"/>
    <col hidden="1" width="13" customWidth="1" min="163" max="163"/>
    <col hidden="1" width="13" customWidth="1" min="164" max="164"/>
    <col hidden="1" width="13" customWidth="1" min="165" max="165"/>
    <col hidden="1" width="13" customWidth="1" min="166" max="166"/>
    <col hidden="1" width="13" customWidth="1" min="167" max="167"/>
    <col hidden="1" width="13" customWidth="1" min="168" max="168"/>
    <col hidden="1" width="13" customWidth="1" min="169" max="169"/>
    <col hidden="1" width="13" customWidth="1" min="170" max="170"/>
    <col hidden="1" width="13" customWidth="1" min="171" max="171"/>
    <col hidden="1" width="13" customWidth="1" min="172" max="172"/>
    <col hidden="1" width="13" customWidth="1" min="173" max="173"/>
    <col hidden="1" width="13" customWidth="1" min="174" max="174"/>
    <col hidden="1" width="13" customWidth="1" min="175" max="175"/>
    <col hidden="1" width="13" customWidth="1" min="176" max="176"/>
    <col hidden="1" width="13" customWidth="1" min="177" max="177"/>
    <col hidden="1" width="13" customWidth="1" min="178" max="178"/>
    <col hidden="1" width="13" customWidth="1" min="179" max="179"/>
    <col hidden="1" width="13" customWidth="1" min="180" max="180"/>
    <col hidden="1" width="13" customWidth="1" min="181" max="181"/>
    <col hidden="1" width="13" customWidth="1" min="182" max="182"/>
    <col hidden="1" width="13" customWidth="1" min="183" max="183"/>
    <col hidden="1" width="13" customWidth="1" min="184" max="184"/>
    <col hidden="1" width="13" customWidth="1" min="185" max="185"/>
    <col hidden="1" width="13" customWidth="1" min="186" max="186"/>
    <col hidden="1" width="13" customWidth="1" min="187" max="187"/>
    <col hidden="1" width="13" customWidth="1" min="188" max="188"/>
    <col hidden="1" width="13" customWidth="1" min="189" max="189"/>
    <col hidden="1" width="13" customWidth="1" min="190" max="190"/>
    <col hidden="1" width="13" customWidth="1" min="191" max="191"/>
    <col hidden="1" width="13" customWidth="1" min="192" max="192"/>
    <col hidden="1" width="13" customWidth="1" min="193" max="193"/>
    <col hidden="1" width="13" customWidth="1" min="194" max="194"/>
    <col hidden="1" width="13" customWidth="1" min="195" max="195"/>
    <col hidden="1" width="13" customWidth="1" min="196" max="196"/>
    <col hidden="1" width="13" customWidth="1" min="197" max="197"/>
    <col hidden="1" width="13" customWidth="1" min="198" max="198"/>
    <col hidden="1" width="13" customWidth="1" min="199" max="199"/>
    <col hidden="1" width="13" customWidth="1" min="200" max="200"/>
    <col hidden="1" width="13" customWidth="1" min="201" max="201"/>
    <col hidden="1" width="13" customWidth="1" min="202" max="202"/>
    <col hidden="1" width="13" customWidth="1" min="203" max="203"/>
    <col hidden="1" width="13" customWidth="1" min="204" max="204"/>
    <col hidden="1" width="13" customWidth="1" min="205" max="205"/>
    <col hidden="1" width="13" customWidth="1" min="206" max="206"/>
    <col hidden="1" width="13" customWidth="1" min="207" max="207"/>
    <col hidden="1" width="13" customWidth="1" min="208" max="208"/>
    <col hidden="1" width="13" customWidth="1" min="209" max="209"/>
    <col hidden="1" width="13" customWidth="1" min="210" max="210"/>
    <col hidden="1" width="13" customWidth="1" min="211" max="211"/>
    <col hidden="1" width="13" customWidth="1" min="212" max="212"/>
    <col hidden="1" width="13" customWidth="1" min="213" max="213"/>
    <col hidden="1" width="13" customWidth="1" min="214" max="214"/>
    <col hidden="1" width="13" customWidth="1" min="215" max="215"/>
    <col hidden="1" width="13" customWidth="1" min="216" max="216"/>
    <col hidden="1" width="13" customWidth="1" min="217" max="217"/>
    <col hidden="1" width="13" customWidth="1" min="218" max="218"/>
    <col hidden="1" width="13" customWidth="1" min="219" max="219"/>
    <col hidden="1" width="13" customWidth="1" min="220" max="220"/>
    <col hidden="1" width="13" customWidth="1" min="221" max="221"/>
    <col hidden="1" width="13" customWidth="1" min="222" max="222"/>
    <col hidden="1" width="13" customWidth="1" min="223" max="223"/>
    <col hidden="1" width="13" customWidth="1" min="224" max="224"/>
    <col hidden="1" width="13" customWidth="1" min="225" max="225"/>
    <col hidden="1" width="13" customWidth="1" min="226" max="226"/>
    <col hidden="1" width="13" customWidth="1" min="227" max="227"/>
    <col hidden="1" width="13" customWidth="1" min="228" max="228"/>
    <col hidden="1" width="13" customWidth="1" min="229" max="229"/>
    <col hidden="1" width="13" customWidth="1" min="230" max="230"/>
    <col hidden="1" width="13" customWidth="1" min="231" max="231"/>
    <col hidden="1" width="13" customWidth="1" min="232" max="232"/>
    <col hidden="1" width="13" customWidth="1" min="233" max="233"/>
    <col hidden="1" width="13" customWidth="1" min="234" max="234"/>
    <col hidden="1" width="13" customWidth="1" min="235" max="235"/>
    <col hidden="1" width="13" customWidth="1" min="236" max="236"/>
    <col hidden="1" width="13" customWidth="1" min="237" max="237"/>
    <col hidden="1" width="13" customWidth="1" min="238" max="238"/>
    <col hidden="1" width="13" customWidth="1" min="239" max="239"/>
    <col hidden="1" width="13" customWidth="1" min="240" max="240"/>
    <col hidden="1" width="13" customWidth="1" min="241" max="241"/>
    <col hidden="1" width="13" customWidth="1" min="242" max="242"/>
    <col hidden="1" width="13" customWidth="1" min="243" max="243"/>
    <col hidden="1" width="13" customWidth="1" min="244" max="244"/>
    <col hidden="1" width="13" customWidth="1" min="245" max="245"/>
    <col hidden="1" width="13" customWidth="1" min="246" max="246"/>
    <col hidden="1" width="13" customWidth="1" min="247" max="247"/>
    <col hidden="1" width="13" customWidth="1" min="248" max="248"/>
    <col hidden="1" width="13" customWidth="1" min="249" max="249"/>
    <col hidden="1" width="13" customWidth="1" min="250" max="250"/>
    <col hidden="1" width="13" customWidth="1" min="251" max="251"/>
    <col hidden="1" width="13" customWidth="1" min="252" max="252"/>
    <col hidden="1" width="13" customWidth="1" min="253" max="253"/>
    <col hidden="1" width="13" customWidth="1" min="254" max="254"/>
    <col hidden="1" width="13" customWidth="1" min="255" max="255"/>
    <col hidden="1" width="13" customWidth="1" min="256" max="256"/>
    <col hidden="1" width="13" customWidth="1" min="257" max="257"/>
    <col hidden="1" width="13" customWidth="1" min="258" max="258"/>
    <col hidden="1" width="13" customWidth="1" min="259" max="259"/>
    <col hidden="1" width="13" customWidth="1" min="260" max="260"/>
    <col hidden="1" width="13" customWidth="1" min="261" max="261"/>
    <col hidden="1" width="13" customWidth="1" min="262" max="262"/>
    <col hidden="1" width="13" customWidth="1" min="263" max="263"/>
    <col hidden="1" width="13" customWidth="1" min="264" max="264"/>
    <col hidden="1" width="13" customWidth="1" min="265" max="265"/>
    <col hidden="1" width="13" customWidth="1" min="266" max="266"/>
    <col hidden="1" width="13" customWidth="1" min="267" max="267"/>
    <col hidden="1" width="13" customWidth="1" min="268" max="268"/>
    <col hidden="1" width="13" customWidth="1" min="269" max="269"/>
    <col hidden="1" width="13" customWidth="1" min="270" max="270"/>
    <col hidden="1" width="13" customWidth="1" min="271" max="271"/>
    <col hidden="1" width="13" customWidth="1" min="272" max="272"/>
    <col hidden="1" width="13" customWidth="1" min="273" max="273"/>
    <col hidden="1" width="13" customWidth="1" min="274" max="274"/>
    <col hidden="1" width="13" customWidth="1" min="275" max="275"/>
    <col hidden="1" width="13" customWidth="1" min="276" max="276"/>
    <col hidden="1" width="13" customWidth="1" min="277" max="277"/>
    <col hidden="1" width="13" customWidth="1" min="278" max="278"/>
    <col hidden="1" width="13" customWidth="1" min="279" max="279"/>
    <col hidden="1" width="13" customWidth="1" min="280" max="280"/>
    <col hidden="1" width="13" customWidth="1" min="281" max="281"/>
    <col hidden="1" width="13" customWidth="1" min="282" max="282"/>
    <col hidden="1" width="13" customWidth="1" min="283" max="283"/>
    <col hidden="1" width="13" customWidth="1" min="284" max="284"/>
    <col hidden="1" width="13" customWidth="1" min="285" max="285"/>
    <col hidden="1" width="13" customWidth="1" min="286" max="286"/>
    <col hidden="1" width="13" customWidth="1" min="287" max="287"/>
    <col hidden="1" width="13" customWidth="1" min="288" max="288"/>
    <col hidden="1" width="13" customWidth="1" min="289" max="289"/>
    <col hidden="1" width="13" customWidth="1" min="290" max="290"/>
    <col hidden="1" width="13" customWidth="1" min="291" max="291"/>
    <col hidden="1" width="13" customWidth="1" min="292" max="292"/>
    <col hidden="1" width="13" customWidth="1" min="293" max="293"/>
    <col hidden="1" width="13" customWidth="1" min="294" max="294"/>
    <col hidden="1" width="13" customWidth="1" min="295" max="295"/>
    <col hidden="1" width="13" customWidth="1" min="296" max="296"/>
    <col hidden="1" width="13" customWidth="1" min="297" max="297"/>
    <col hidden="1" width="13" customWidth="1" min="298" max="298"/>
    <col hidden="1" width="13" customWidth="1" min="299" max="299"/>
    <col hidden="1" width="13" customWidth="1" min="300" max="300"/>
    <col hidden="1" width="13" customWidth="1" min="301" max="301"/>
    <col hidden="1" width="13" customWidth="1" min="302" max="302"/>
    <col hidden="1" width="13" customWidth="1" min="303" max="303"/>
    <col hidden="1" width="13" customWidth="1" min="304" max="304"/>
    <col hidden="1" width="13" customWidth="1" min="305" max="305"/>
    <col hidden="1" width="13" customWidth="1" min="306" max="306"/>
    <col hidden="1" width="13" customWidth="1" min="307" max="307"/>
    <col hidden="1" width="13" customWidth="1" min="308" max="308"/>
    <col hidden="1" width="13" customWidth="1" min="309" max="309"/>
    <col hidden="1" width="13" customWidth="1" min="310" max="310"/>
    <col hidden="1" width="13" customWidth="1" min="311" max="311"/>
    <col hidden="1" width="13" customWidth="1" min="312" max="312"/>
    <col hidden="1" width="13" customWidth="1" min="313" max="313"/>
    <col hidden="1" width="13" customWidth="1" min="314" max="314"/>
    <col hidden="1" width="13" customWidth="1" min="315" max="315"/>
    <col hidden="1" width="13" customWidth="1" min="316" max="316"/>
    <col hidden="1" width="13" customWidth="1" min="317" max="317"/>
    <col hidden="1" width="13" customWidth="1" min="318" max="318"/>
    <col hidden="1" width="13" customWidth="1" min="319" max="319"/>
    <col hidden="1" width="13" customWidth="1" min="320" max="320"/>
    <col hidden="1" width="13" customWidth="1" min="321" max="321"/>
    <col hidden="1" width="13" customWidth="1" min="322" max="322"/>
    <col hidden="1" width="13" customWidth="1" min="323" max="323"/>
    <col hidden="1" width="13" customWidth="1" min="324" max="324"/>
    <col hidden="1" width="13" customWidth="1" min="325" max="325"/>
    <col hidden="1" width="13" customWidth="1" min="326" max="326"/>
    <col hidden="1" width="13" customWidth="1" min="327" max="327"/>
    <col hidden="1" width="13" customWidth="1" min="328" max="328"/>
    <col hidden="1" width="13" customWidth="1" min="329" max="329"/>
    <col hidden="1" width="13" customWidth="1" min="330" max="330"/>
    <col hidden="1" width="13" customWidth="1" min="331" max="331"/>
    <col hidden="1" width="13" customWidth="1" min="332" max="332"/>
    <col hidden="1" width="13" customWidth="1" min="333" max="333"/>
    <col hidden="1" width="13" customWidth="1" min="334" max="334"/>
    <col hidden="1" width="13" customWidth="1" min="335" max="335"/>
    <col hidden="1" width="13" customWidth="1" min="336" max="336"/>
    <col hidden="1" width="13" customWidth="1" min="337" max="337"/>
    <col hidden="1" width="13" customWidth="1" min="338" max="338"/>
    <col hidden="1" width="13" customWidth="1" min="339" max="339"/>
    <col hidden="1" width="13" customWidth="1" min="340" max="340"/>
    <col hidden="1" width="13" customWidth="1" min="341" max="341"/>
    <col hidden="1" width="13" customWidth="1" min="342" max="342"/>
    <col hidden="1" width="13" customWidth="1" min="343" max="343"/>
    <col hidden="1" width="13" customWidth="1" min="344" max="344"/>
    <col hidden="1" width="13" customWidth="1" min="345" max="345"/>
    <col hidden="1" width="13" customWidth="1" min="346" max="346"/>
    <col hidden="1" width="13" customWidth="1" min="347" max="347"/>
    <col hidden="1" width="13" customWidth="1" min="348" max="348"/>
    <col hidden="1" width="13" customWidth="1" min="349" max="349"/>
    <col hidden="1" width="13" customWidth="1" min="350" max="350"/>
    <col hidden="1" width="13" customWidth="1" min="351" max="351"/>
    <col hidden="1" width="13" customWidth="1" min="352" max="352"/>
    <col hidden="1" width="13" customWidth="1" min="353" max="353"/>
    <col hidden="1" width="13" customWidth="1" min="354" max="354"/>
    <col hidden="1" width="13" customWidth="1" min="355" max="355"/>
    <col hidden="1" width="13" customWidth="1" min="356" max="356"/>
    <col hidden="1" width="13" customWidth="1" min="357" max="357"/>
    <col hidden="1" width="13" customWidth="1" min="358" max="358"/>
    <col hidden="1" width="13" customWidth="1" min="359" max="359"/>
    <col hidden="1" width="13" customWidth="1" min="360" max="360"/>
    <col hidden="1" width="13" customWidth="1" min="361" max="361"/>
    <col hidden="1" width="13" customWidth="1" min="362" max="362"/>
    <col hidden="1" width="13" customWidth="1" min="363" max="363"/>
    <col hidden="1" width="13" customWidth="1" min="364" max="364"/>
    <col hidden="1" width="13" customWidth="1" min="365" max="365"/>
    <col hidden="1" width="13" customWidth="1" min="366" max="366"/>
    <col hidden="1" width="13" customWidth="1" min="367" max="367"/>
    <col hidden="1" width="13" customWidth="1" min="368" max="368"/>
    <col hidden="1" width="13" customWidth="1" min="369" max="369"/>
    <col hidden="1" width="13" customWidth="1" min="370" max="370"/>
    <col hidden="1" width="13" customWidth="1" min="371" max="371"/>
    <col hidden="1" width="13" customWidth="1" min="372" max="372"/>
    <col hidden="1" width="13" customWidth="1" min="373" max="373"/>
    <col hidden="1" width="13" customWidth="1" min="374" max="374"/>
    <col hidden="1" width="13" customWidth="1" min="375" max="375"/>
    <col hidden="1" width="13" customWidth="1" min="376" max="376"/>
    <col hidden="1" width="13" customWidth="1" min="377" max="377"/>
    <col hidden="1" width="13" customWidth="1" min="378" max="378"/>
    <col hidden="1" width="13" customWidth="1" min="379" max="379"/>
    <col hidden="1" width="13" customWidth="1" min="380" max="380"/>
    <col hidden="1" width="13" customWidth="1" min="381" max="381"/>
    <col hidden="1" width="13" customWidth="1" min="382" max="382"/>
    <col hidden="1" width="13" customWidth="1" min="383" max="383"/>
    <col hidden="1" width="13" customWidth="1" min="384" max="384"/>
    <col hidden="1" width="13" customWidth="1" min="385" max="385"/>
    <col hidden="1" width="13" customWidth="1" min="386" max="386"/>
    <col hidden="1" width="13" customWidth="1" min="387" max="387"/>
    <col hidden="1" width="13" customWidth="1" min="388" max="388"/>
    <col hidden="1" width="13" customWidth="1" min="389" max="389"/>
    <col hidden="1" width="13" customWidth="1" min="390" max="390"/>
    <col hidden="1" width="13" customWidth="1" min="391" max="391"/>
    <col hidden="1" width="13" customWidth="1" min="392" max="392"/>
    <col hidden="1" width="13" customWidth="1" min="393" max="393"/>
    <col hidden="1" width="13" customWidth="1" min="394" max="394"/>
    <col hidden="1" width="13" customWidth="1" min="395" max="395"/>
    <col hidden="1" width="13" customWidth="1" min="396" max="396"/>
    <col hidden="1" width="13" customWidth="1" min="397" max="397"/>
    <col hidden="1" width="13" customWidth="1" min="398" max="398"/>
    <col hidden="1" width="13" customWidth="1" min="399" max="399"/>
    <col hidden="1" width="13" customWidth="1" min="400" max="400"/>
    <col hidden="1" width="13" customWidth="1" min="401" max="401"/>
    <col hidden="1" width="13" customWidth="1" min="402" max="402"/>
    <col hidden="1" width="13" customWidth="1" min="403" max="403"/>
    <col hidden="1" width="13" customWidth="1" min="404" max="404"/>
    <col hidden="1" width="13" customWidth="1" min="405" max="405"/>
    <col hidden="1" width="13" customWidth="1" min="406" max="406"/>
    <col hidden="1" width="13" customWidth="1" min="407" max="407"/>
    <col hidden="1" width="13" customWidth="1" min="408" max="408"/>
    <col hidden="1" width="13" customWidth="1" min="409" max="409"/>
    <col hidden="1" width="13" customWidth="1" min="410" max="410"/>
    <col hidden="1" width="13" customWidth="1" min="411" max="411"/>
    <col hidden="1" width="13" customWidth="1" min="412" max="412"/>
    <col hidden="1" width="13" customWidth="1" min="413" max="413"/>
    <col hidden="1" width="13" customWidth="1" min="414" max="414"/>
    <col hidden="1" width="13" customWidth="1" min="415" max="415"/>
    <col hidden="1" width="13" customWidth="1" min="416" max="416"/>
    <col hidden="1" width="13" customWidth="1" min="417" max="417"/>
    <col hidden="1" width="13" customWidth="1" min="418" max="418"/>
    <col hidden="1" width="13" customWidth="1" min="419" max="419"/>
    <col hidden="1" width="13" customWidth="1" min="420" max="420"/>
    <col hidden="1" width="13" customWidth="1" min="421" max="421"/>
    <col hidden="1" width="13" customWidth="1" min="422" max="422"/>
    <col hidden="1" width="13" customWidth="1" min="423" max="423"/>
    <col hidden="1" width="13" customWidth="1" min="424" max="424"/>
    <col hidden="1" width="13" customWidth="1" min="425" max="425"/>
    <col hidden="1" width="13" customWidth="1" min="426" max="426"/>
    <col hidden="1" width="13" customWidth="1" min="427" max="427"/>
    <col hidden="1" width="13" customWidth="1" min="428" max="428"/>
    <col hidden="1" width="13" customWidth="1" min="429" max="429"/>
    <col hidden="1" width="13" customWidth="1" min="430" max="430"/>
    <col hidden="1" width="13" customWidth="1" min="431" max="431"/>
    <col hidden="1" width="13" customWidth="1" min="432" max="432"/>
    <col hidden="1" width="13" customWidth="1" min="433" max="433"/>
    <col hidden="1" width="13" customWidth="1" min="434" max="434"/>
    <col hidden="1" width="13" customWidth="1" min="435" max="435"/>
    <col hidden="1" width="13" customWidth="1" min="436" max="436"/>
    <col hidden="1" width="13" customWidth="1" min="437" max="437"/>
    <col hidden="1" width="13" customWidth="1" min="438" max="438"/>
    <col hidden="1" width="13" customWidth="1" min="439" max="439"/>
    <col hidden="1" width="13" customWidth="1" min="440" max="440"/>
    <col hidden="1" width="13" customWidth="1" min="441" max="441"/>
    <col hidden="1" width="13" customWidth="1" min="442" max="442"/>
    <col hidden="1" width="13" customWidth="1" min="443" max="443"/>
    <col hidden="1" width="13" customWidth="1" min="444" max="444"/>
    <col hidden="1" width="13" customWidth="1" min="445" max="445"/>
    <col hidden="1" width="13" customWidth="1" min="446" max="446"/>
    <col hidden="1" width="13" customWidth="1" min="447" max="447"/>
    <col hidden="1" width="13" customWidth="1" min="448" max="448"/>
    <col hidden="1" width="13" customWidth="1" min="449" max="449"/>
    <col hidden="1" width="13" customWidth="1" min="450" max="450"/>
    <col hidden="1" width="13" customWidth="1" min="451" max="451"/>
    <col hidden="1" width="13" customWidth="1" min="452" max="452"/>
    <col hidden="1" width="13" customWidth="1" min="453" max="453"/>
    <col hidden="1" width="13" customWidth="1" min="454" max="454"/>
    <col hidden="1" width="13" customWidth="1" min="455" max="455"/>
    <col hidden="1" width="13" customWidth="1" min="456" max="456"/>
    <col hidden="1" width="13" customWidth="1" min="457" max="457"/>
    <col hidden="1" width="13" customWidth="1" min="458" max="458"/>
    <col hidden="1" width="13" customWidth="1" min="459" max="459"/>
    <col hidden="1" width="13" customWidth="1" min="460" max="460"/>
    <col hidden="1" width="13" customWidth="1" min="461" max="461"/>
    <col hidden="1" width="13" customWidth="1" min="462" max="462"/>
    <col hidden="1" width="13" customWidth="1" min="463" max="463"/>
    <col hidden="1" width="13" customWidth="1" min="464" max="464"/>
    <col hidden="1" width="13" customWidth="1" min="465" max="465"/>
    <col hidden="1" width="13" customWidth="1" min="466" max="466"/>
    <col hidden="1" width="13" customWidth="1" min="467" max="467"/>
    <col hidden="1" width="13" customWidth="1" min="468" max="468"/>
    <col hidden="1" width="13" customWidth="1" min="469" max="469"/>
    <col hidden="1" width="13" customWidth="1" min="470" max="470"/>
    <col hidden="1" width="13" customWidth="1" min="471" max="471"/>
    <col hidden="1" width="13" customWidth="1" min="472" max="472"/>
    <col hidden="1" width="13" customWidth="1" min="473" max="473"/>
    <col hidden="1" width="13" customWidth="1" min="474" max="474"/>
    <col hidden="1" width="13" customWidth="1" min="475" max="475"/>
    <col hidden="1" width="13" customWidth="1" min="476" max="476"/>
    <col hidden="1" width="13" customWidth="1" min="477" max="477"/>
    <col hidden="1" width="13" customWidth="1" min="478" max="478"/>
    <col hidden="1" width="13" customWidth="1" min="479" max="479"/>
    <col hidden="1" width="13" customWidth="1" min="480" max="480"/>
    <col hidden="1" width="13" customWidth="1" min="481" max="481"/>
    <col hidden="1" width="13" customWidth="1" min="482" max="482"/>
    <col hidden="1" width="13" customWidth="1" min="483" max="483"/>
    <col hidden="1" width="13" customWidth="1" min="484" max="484"/>
    <col hidden="1" width="13" customWidth="1" min="485" max="485"/>
    <col hidden="1" width="13" customWidth="1" min="486" max="486"/>
    <col hidden="1" width="13" customWidth="1" min="487" max="487"/>
    <col hidden="1" width="13" customWidth="1" min="488" max="488"/>
    <col hidden="1" width="13" customWidth="1" min="489" max="489"/>
    <col hidden="1" width="13" customWidth="1" min="490" max="490"/>
    <col hidden="1" width="13" customWidth="1" min="491" max="491"/>
    <col hidden="1" width="13" customWidth="1" min="492" max="492"/>
    <col hidden="1" width="13" customWidth="1" min="493" max="493"/>
    <col hidden="1" width="13" customWidth="1" min="494" max="494"/>
    <col hidden="1" width="13" customWidth="1" min="495" max="495"/>
    <col hidden="1" width="13" customWidth="1" min="496" max="496"/>
    <col hidden="1" width="13" customWidth="1" min="497" max="497"/>
    <col hidden="1" width="13" customWidth="1" min="498" max="498"/>
    <col hidden="1" width="13" customWidth="1" min="499" max="499"/>
    <col hidden="1" width="13" customWidth="1" min="500" max="500"/>
    <col hidden="1" width="13" customWidth="1" min="501" max="501"/>
    <col hidden="1" width="13" customWidth="1" min="502" max="502"/>
    <col hidden="1" width="13" customWidth="1" min="503" max="503"/>
    <col hidden="1" width="13" customWidth="1" min="504" max="504"/>
    <col hidden="1" width="13" customWidth="1" min="505" max="505"/>
    <col hidden="1" width="13" customWidth="1" min="506" max="506"/>
    <col hidden="1" width="13" customWidth="1" min="507" max="507"/>
    <col hidden="1" width="13" customWidth="1" min="508" max="508"/>
    <col hidden="1" width="13" customWidth="1" min="509" max="509"/>
    <col hidden="1" width="13" customWidth="1" min="510" max="510"/>
    <col hidden="1" width="13" customWidth="1" min="511" max="511"/>
    <col hidden="1" width="13" customWidth="1" min="512" max="512"/>
    <col hidden="1" width="13" customWidth="1" min="513" max="513"/>
    <col hidden="1" width="13" customWidth="1" min="514" max="514"/>
    <col hidden="1" width="13" customWidth="1" min="515" max="515"/>
    <col hidden="1" width="13" customWidth="1" min="516" max="516"/>
    <col hidden="1" width="13" customWidth="1" min="517" max="517"/>
    <col hidden="1" width="13" customWidth="1" min="518" max="518"/>
    <col hidden="1" width="13" customWidth="1" min="519" max="519"/>
    <col hidden="1" width="13" customWidth="1" min="520" max="520"/>
    <col hidden="1" width="13" customWidth="1" min="521" max="521"/>
    <col hidden="1" width="13" customWidth="1" min="522" max="522"/>
    <col hidden="1" width="13" customWidth="1" min="523" max="523"/>
    <col hidden="1" width="13" customWidth="1" min="524" max="524"/>
    <col hidden="1" width="13" customWidth="1" min="525" max="525"/>
    <col hidden="1" width="13" customWidth="1" min="526" max="526"/>
    <col hidden="1" width="13" customWidth="1" min="527" max="527"/>
    <col hidden="1" width="13" customWidth="1" min="528" max="528"/>
    <col hidden="1" width="13" customWidth="1" min="529" max="529"/>
    <col hidden="1" width="13" customWidth="1" min="530" max="530"/>
    <col hidden="1" width="13" customWidth="1" min="531" max="531"/>
    <col hidden="1" width="13" customWidth="1" min="532" max="532"/>
    <col hidden="1" width="13" customWidth="1" min="533" max="533"/>
    <col hidden="1" width="13" customWidth="1" min="534" max="534"/>
    <col hidden="1" width="13" customWidth="1" min="535" max="535"/>
    <col hidden="1" width="13" customWidth="1" min="536" max="536"/>
    <col hidden="1" width="13" customWidth="1" min="537" max="537"/>
    <col hidden="1" width="13" customWidth="1" min="538" max="538"/>
    <col hidden="1" width="13" customWidth="1" min="539" max="539"/>
    <col hidden="1" width="13" customWidth="1" min="540" max="540"/>
    <col hidden="1" width="13" customWidth="1" min="541" max="541"/>
    <col hidden="1" width="13" customWidth="1" min="542" max="542"/>
    <col hidden="1" width="13" customWidth="1" min="543" max="543"/>
    <col hidden="1" width="13" customWidth="1" min="544" max="544"/>
    <col hidden="1" width="13" customWidth="1" min="545" max="545"/>
    <col hidden="1" width="13" customWidth="1" min="546" max="546"/>
    <col hidden="1" width="13" customWidth="1" min="547" max="547"/>
    <col hidden="1" width="13" customWidth="1" min="548" max="548"/>
    <col hidden="1" width="13" customWidth="1" min="549" max="549"/>
    <col hidden="1" width="13" customWidth="1" min="550" max="550"/>
    <col hidden="1" width="13" customWidth="1" min="551" max="551"/>
    <col hidden="1" width="13" customWidth="1" min="552" max="552"/>
    <col hidden="1" width="13" customWidth="1" min="553" max="553"/>
    <col hidden="1" width="13" customWidth="1" min="554" max="554"/>
    <col hidden="1" width="13" customWidth="1" min="555" max="555"/>
    <col hidden="1" width="13" customWidth="1" min="556" max="556"/>
    <col hidden="1" width="13" customWidth="1" min="557" max="557"/>
    <col hidden="1" width="13" customWidth="1" min="558" max="558"/>
    <col hidden="1" width="13" customWidth="1" min="559" max="559"/>
    <col hidden="1" width="13" customWidth="1" min="560" max="560"/>
    <col hidden="1" width="13" customWidth="1" min="561" max="561"/>
    <col hidden="1" width="13" customWidth="1" min="562" max="562"/>
    <col hidden="1" width="13" customWidth="1" min="563" max="563"/>
    <col hidden="1" width="13" customWidth="1" min="564" max="564"/>
    <col hidden="1" width="13" customWidth="1" min="565" max="565"/>
    <col hidden="1" width="13" customWidth="1" min="566" max="566"/>
    <col hidden="1" width="13" customWidth="1" min="567" max="567"/>
    <col hidden="1" width="13" customWidth="1" min="568" max="568"/>
    <col hidden="1" width="13" customWidth="1" min="569" max="569"/>
    <col hidden="1" width="13" customWidth="1" min="570" max="570"/>
    <col hidden="1" width="13" customWidth="1" min="571" max="571"/>
    <col hidden="1" width="13" customWidth="1" min="572" max="572"/>
    <col hidden="1" width="13" customWidth="1" min="573" max="573"/>
    <col hidden="1" width="13" customWidth="1" min="574" max="574"/>
    <col hidden="1" width="13" customWidth="1" min="575" max="575"/>
    <col hidden="1" width="13" customWidth="1" min="576" max="576"/>
    <col hidden="1" width="13" customWidth="1" min="577" max="577"/>
    <col hidden="1" width="13" customWidth="1" min="578" max="578"/>
    <col hidden="1" width="13" customWidth="1" min="579" max="579"/>
    <col hidden="1" width="13" customWidth="1" min="580" max="580"/>
    <col hidden="1" width="13" customWidth="1" min="581" max="581"/>
    <col hidden="1" width="13" customWidth="1" min="582" max="582"/>
    <col hidden="1" width="13" customWidth="1" min="583" max="583"/>
    <col hidden="1" width="13" customWidth="1" min="584" max="584"/>
    <col hidden="1" width="13" customWidth="1" min="585" max="585"/>
    <col hidden="1" width="13" customWidth="1" min="586" max="586"/>
    <col hidden="1" width="13" customWidth="1" min="587" max="587"/>
    <col hidden="1" width="13" customWidth="1" min="588" max="588"/>
    <col hidden="1" width="13" customWidth="1" min="589" max="589"/>
    <col hidden="1" width="13" customWidth="1" min="590" max="590"/>
    <col hidden="1" width="13" customWidth="1" min="591" max="591"/>
    <col hidden="1" width="13" customWidth="1" min="592" max="592"/>
    <col hidden="1" width="13" customWidth="1" min="593" max="593"/>
    <col hidden="1" width="13" customWidth="1" min="594" max="594"/>
    <col hidden="1" width="13" customWidth="1" min="595" max="595"/>
    <col hidden="1" width="13" customWidth="1" min="596" max="596"/>
    <col hidden="1" width="13" customWidth="1" min="597" max="597"/>
    <col hidden="1" width="13" customWidth="1" min="598" max="598"/>
    <col hidden="1" width="13" customWidth="1" min="599" max="599"/>
    <col hidden="1" width="13" customWidth="1" min="600" max="600"/>
    <col hidden="1" width="13" customWidth="1" min="601" max="601"/>
    <col hidden="1" width="13" customWidth="1" min="602" max="602"/>
    <col hidden="1" width="13" customWidth="1" min="603" max="603"/>
    <col hidden="1" width="13" customWidth="1" min="604" max="604"/>
    <col hidden="1" width="13" customWidth="1" min="605" max="605"/>
    <col hidden="1" width="13" customWidth="1" min="606" max="606"/>
    <col hidden="1" width="13" customWidth="1" min="607" max="607"/>
    <col hidden="1" width="13" customWidth="1" min="608" max="608"/>
    <col hidden="1" width="13" customWidth="1" min="609" max="609"/>
    <col hidden="1" width="13" customWidth="1" min="610" max="610"/>
    <col hidden="1" width="13" customWidth="1" min="611" max="611"/>
    <col hidden="1" width="13" customWidth="1" min="612" max="612"/>
    <col hidden="1" width="13" customWidth="1" min="613" max="613"/>
    <col hidden="1" width="13" customWidth="1" min="614" max="614"/>
    <col hidden="1" width="13" customWidth="1" min="615" max="615"/>
    <col hidden="1" width="13" customWidth="1" min="616" max="616"/>
    <col hidden="1" width="13" customWidth="1" min="617" max="617"/>
    <col hidden="1" width="13" customWidth="1" min="618" max="618"/>
    <col hidden="1" width="13" customWidth="1" min="619" max="619"/>
    <col hidden="1" width="13" customWidth="1" min="620" max="620"/>
    <col hidden="1" width="13" customWidth="1" min="621" max="621"/>
    <col hidden="1" width="13" customWidth="1" min="622" max="622"/>
    <col hidden="1" width="13" customWidth="1" min="623" max="623"/>
    <col hidden="1" width="13" customWidth="1" min="624" max="624"/>
    <col hidden="1" width="13" customWidth="1" min="625" max="625"/>
    <col hidden="1" width="13" customWidth="1" min="626" max="626"/>
    <col hidden="1" width="13" customWidth="1" min="627" max="627"/>
    <col hidden="1" width="13" customWidth="1" min="628" max="628"/>
    <col hidden="1" width="13" customWidth="1" min="629" max="629"/>
    <col hidden="1" width="13" customWidth="1" min="630" max="630"/>
    <col hidden="1" width="13" customWidth="1" min="631" max="631"/>
    <col hidden="1" width="13" customWidth="1" min="632" max="632"/>
    <col hidden="1" width="13" customWidth="1" min="633" max="633"/>
    <col hidden="1" width="13" customWidth="1" min="634" max="634"/>
    <col hidden="1" width="13" customWidth="1" min="635" max="635"/>
    <col hidden="1" width="13" customWidth="1" min="636" max="636"/>
    <col hidden="1" width="13" customWidth="1" min="637" max="637"/>
    <col hidden="1" width="13" customWidth="1" min="638" max="638"/>
    <col hidden="1" width="13" customWidth="1" min="639" max="639"/>
    <col hidden="1" width="13" customWidth="1" min="640" max="640"/>
    <col hidden="1" width="13" customWidth="1" min="641" max="641"/>
    <col hidden="1" width="13" customWidth="1" min="642" max="642"/>
    <col hidden="1" width="13" customWidth="1" min="643" max="643"/>
    <col hidden="1" width="13" customWidth="1" min="644" max="644"/>
    <col hidden="1" width="13" customWidth="1" min="645" max="645"/>
    <col hidden="1" width="13" customWidth="1" min="646" max="646"/>
    <col hidden="1" width="13" customWidth="1" min="647" max="647"/>
    <col hidden="1" width="13" customWidth="1" min="648" max="648"/>
    <col hidden="1" width="13" customWidth="1" min="649" max="649"/>
    <col hidden="1" width="13" customWidth="1" min="650" max="650"/>
    <col hidden="1" width="13" customWidth="1" min="651" max="651"/>
    <col hidden="1" width="13" customWidth="1" min="652" max="652"/>
    <col hidden="1" width="13" customWidth="1" min="653" max="653"/>
    <col hidden="1" width="13" customWidth="1" min="654" max="654"/>
    <col hidden="1" width="13" customWidth="1" min="655" max="655"/>
    <col hidden="1" width="13" customWidth="1" min="656" max="656"/>
    <col hidden="1" width="13" customWidth="1" min="657" max="657"/>
    <col hidden="1" width="13" customWidth="1" min="658" max="658"/>
    <col hidden="1" width="13" customWidth="1" min="659" max="659"/>
    <col hidden="1" width="13" customWidth="1" min="660" max="660"/>
    <col hidden="1" width="13" customWidth="1" min="661" max="661"/>
    <col hidden="1" width="13" customWidth="1" min="662" max="662"/>
    <col hidden="1" width="13" customWidth="1" min="663" max="663"/>
    <col hidden="1" width="13" customWidth="1" min="664" max="664"/>
    <col hidden="1" width="13" customWidth="1" min="665" max="665"/>
    <col hidden="1" width="13" customWidth="1" min="666" max="666"/>
    <col hidden="1" width="13" customWidth="1" min="667" max="667"/>
    <col hidden="1" width="13" customWidth="1" min="668" max="668"/>
    <col hidden="1" width="13" customWidth="1" min="669" max="669"/>
    <col hidden="1" width="13" customWidth="1" min="670" max="670"/>
    <col hidden="1" width="13" customWidth="1" min="671" max="671"/>
    <col hidden="1" width="13" customWidth="1" min="672" max="672"/>
    <col hidden="1" width="13" customWidth="1" min="673" max="673"/>
    <col hidden="1" width="13" customWidth="1" min="674" max="674"/>
    <col hidden="1" width="13" customWidth="1" min="675" max="675"/>
    <col hidden="1" width="13" customWidth="1" min="676" max="676"/>
    <col hidden="1" width="13" customWidth="1" min="677" max="677"/>
    <col hidden="1" width="13" customWidth="1" min="678" max="678"/>
    <col hidden="1" width="13" customWidth="1" min="679" max="679"/>
    <col hidden="1" width="13" customWidth="1" min="680" max="680"/>
    <col hidden="1" width="13" customWidth="1" min="681" max="681"/>
    <col hidden="1" width="13" customWidth="1" min="682" max="682"/>
    <col hidden="1" width="13" customWidth="1" min="683" max="683"/>
    <col hidden="1" width="13" customWidth="1" min="684" max="684"/>
    <col hidden="1" width="13" customWidth="1" min="685" max="685"/>
    <col hidden="1" width="13" customWidth="1" min="686" max="686"/>
    <col hidden="1" width="13" customWidth="1" min="687" max="687"/>
    <col hidden="1" width="13" customWidth="1" min="688" max="688"/>
    <col hidden="1" width="13" customWidth="1" min="689" max="689"/>
    <col hidden="1" width="13" customWidth="1" min="690" max="690"/>
    <col hidden="1" width="13" customWidth="1" min="691" max="691"/>
    <col hidden="1" width="13" customWidth="1" min="692" max="692"/>
    <col hidden="1" width="13" customWidth="1" min="693" max="693"/>
    <col hidden="1" width="13" customWidth="1" min="694" max="694"/>
    <col hidden="1" width="13" customWidth="1" min="695" max="695"/>
    <col hidden="1" width="13" customWidth="1" min="696" max="696"/>
    <col hidden="1" width="13" customWidth="1" min="697" max="697"/>
    <col hidden="1" width="13" customWidth="1" min="698" max="698"/>
    <col hidden="1" width="13" customWidth="1" min="699" max="699"/>
    <col hidden="1" width="13" customWidth="1" min="700" max="700"/>
    <col hidden="1" width="13" customWidth="1" min="701" max="701"/>
    <col hidden="1" width="13" customWidth="1" min="702" max="702"/>
    <col hidden="1" width="13" customWidth="1" min="703" max="703"/>
    <col hidden="1" width="13" customWidth="1" min="704" max="704"/>
    <col hidden="1" width="13" customWidth="1" min="705" max="705"/>
    <col hidden="1" width="13" customWidth="1" min="706" max="706"/>
    <col hidden="1" width="13" customWidth="1" min="707" max="707"/>
    <col hidden="1" width="13" customWidth="1" min="708" max="708"/>
    <col hidden="1" width="13" customWidth="1" min="709" max="709"/>
    <col hidden="1" width="13" customWidth="1" min="710" max="710"/>
    <col hidden="1" width="13" customWidth="1" min="711" max="711"/>
    <col hidden="1" width="13" customWidth="1" min="712" max="712"/>
    <col hidden="1" width="13" customWidth="1" min="713" max="713"/>
    <col hidden="1" width="13" customWidth="1" min="714" max="714"/>
    <col hidden="1" width="13" customWidth="1" min="715" max="715"/>
    <col hidden="1" width="13" customWidth="1" min="716" max="716"/>
    <col hidden="1" width="13" customWidth="1" min="717" max="717"/>
    <col hidden="1" width="13" customWidth="1" min="718" max="718"/>
    <col hidden="1" width="13" customWidth="1" min="719" max="719"/>
    <col hidden="1" width="13" customWidth="1" min="720" max="720"/>
    <col hidden="1" width="13" customWidth="1" min="721" max="721"/>
    <col hidden="1" width="13" customWidth="1" min="722" max="722"/>
    <col hidden="1" width="13" customWidth="1" min="723" max="723"/>
    <col hidden="1" width="13" customWidth="1" min="724" max="724"/>
    <col hidden="1" width="13" customWidth="1" min="725" max="725"/>
    <col hidden="1" width="13" customWidth="1" min="726" max="726"/>
    <col hidden="1" width="13" customWidth="1" min="727" max="727"/>
    <col hidden="1" width="13" customWidth="1" min="728" max="728"/>
    <col hidden="1" width="13" customWidth="1" min="729" max="729"/>
    <col hidden="1" width="13" customWidth="1" min="730" max="730"/>
    <col hidden="1" width="13" customWidth="1" min="731" max="731"/>
    <col hidden="1" width="13" customWidth="1" min="732" max="732"/>
    <col hidden="1" width="13" customWidth="1" min="733" max="733"/>
    <col hidden="1" width="13" customWidth="1" min="734" max="734"/>
    <col hidden="1" width="13" customWidth="1" min="735" max="735"/>
    <col hidden="1" width="13" customWidth="1" min="736" max="736"/>
    <col hidden="1" width="13" customWidth="1" min="737" max="737"/>
    <col hidden="1" width="13" customWidth="1" min="738" max="738"/>
    <col hidden="1" width="13" customWidth="1" min="739" max="739"/>
    <col hidden="1" width="13" customWidth="1" min="740" max="740"/>
    <col hidden="1" width="13" customWidth="1" min="741" max="741"/>
    <col hidden="1" width="13" customWidth="1" min="742" max="742"/>
    <col hidden="1" width="13" customWidth="1" min="743" max="743"/>
    <col hidden="1" width="13" customWidth="1" min="744" max="744"/>
    <col hidden="1" width="13" customWidth="1" min="745" max="745"/>
    <col hidden="1" width="13" customWidth="1" min="746" max="746"/>
    <col hidden="1" width="13" customWidth="1" min="747" max="747"/>
    <col hidden="1" width="13" customWidth="1" min="748" max="748"/>
    <col hidden="1" width="13" customWidth="1" min="749" max="749"/>
    <col hidden="1" width="13" customWidth="1" min="750" max="750"/>
    <col hidden="1" width="13" customWidth="1" min="751" max="751"/>
    <col hidden="1" width="13" customWidth="1" min="752" max="752"/>
    <col hidden="1" width="13" customWidth="1" min="753" max="753"/>
    <col hidden="1" width="13" customWidth="1" min="754" max="754"/>
    <col hidden="1" width="13" customWidth="1" min="755" max="755"/>
    <col hidden="1" width="13" customWidth="1" min="756" max="756"/>
    <col hidden="1" width="13" customWidth="1" min="757" max="757"/>
    <col hidden="1" width="13" customWidth="1" min="758" max="758"/>
    <col hidden="1" width="13" customWidth="1" min="759" max="759"/>
    <col hidden="1" width="13" customWidth="1" min="760" max="760"/>
    <col hidden="1" width="13" customWidth="1" min="761" max="761"/>
    <col hidden="1" width="13" customWidth="1" min="762" max="762"/>
    <col hidden="1" width="13" customWidth="1" min="763" max="763"/>
    <col hidden="1" width="13" customWidth="1" min="764" max="764"/>
    <col hidden="1" width="13" customWidth="1" min="765" max="765"/>
    <col hidden="1" width="13" customWidth="1" min="766" max="766"/>
    <col hidden="1" width="13" customWidth="1" min="767" max="767"/>
    <col hidden="1" width="13" customWidth="1" min="768" max="768"/>
    <col hidden="1" width="13" customWidth="1" min="769" max="769"/>
    <col hidden="1" width="13" customWidth="1" min="770" max="770"/>
    <col hidden="1" width="13" customWidth="1" min="771" max="771"/>
    <col hidden="1" width="13" customWidth="1" min="772" max="772"/>
    <col hidden="1" width="13" customWidth="1" min="773" max="773"/>
    <col hidden="1" width="13" customWidth="1" min="774" max="774"/>
    <col hidden="1" width="13" customWidth="1" min="775" max="775"/>
    <col hidden="1" width="13" customWidth="1" min="776" max="776"/>
    <col hidden="1" width="13" customWidth="1" min="777" max="777"/>
    <col hidden="1" width="13" customWidth="1" min="778" max="778"/>
    <col hidden="1" width="13" customWidth="1" min="779" max="779"/>
    <col hidden="1" width="13" customWidth="1" min="780" max="780"/>
    <col hidden="1" width="13" customWidth="1" min="781" max="781"/>
    <col hidden="1" width="13" customWidth="1" min="782" max="782"/>
    <col hidden="1" width="13" customWidth="1" min="783" max="783"/>
    <col hidden="1" width="13" customWidth="1" min="784" max="784"/>
    <col hidden="1" width="13" customWidth="1" min="785" max="785"/>
    <col hidden="1" width="13" customWidth="1" min="786" max="786"/>
    <col hidden="1" width="13" customWidth="1" min="787" max="787"/>
    <col hidden="1" width="13" customWidth="1" min="788" max="788"/>
    <col hidden="1" width="13" customWidth="1" min="789" max="789"/>
    <col hidden="1" width="13" customWidth="1" min="790" max="790"/>
    <col hidden="1" width="13" customWidth="1" min="791" max="791"/>
    <col hidden="1" width="13" customWidth="1" min="792" max="792"/>
    <col hidden="1" width="13" customWidth="1" min="793" max="793"/>
    <col hidden="1" width="13" customWidth="1" min="794" max="794"/>
    <col hidden="1" width="13" customWidth="1" min="795" max="795"/>
    <col hidden="1" width="13" customWidth="1" min="796" max="796"/>
    <col hidden="1" width="13" customWidth="1" min="797" max="797"/>
    <col hidden="1" width="13" customWidth="1" min="798" max="798"/>
    <col hidden="1" width="13" customWidth="1" min="799" max="799"/>
    <col hidden="1" width="13" customWidth="1" min="800" max="800"/>
    <col hidden="1" width="13" customWidth="1" min="801" max="801"/>
    <col hidden="1" width="13" customWidth="1" min="802" max="802"/>
    <col hidden="1" width="13" customWidth="1" min="803" max="803"/>
    <col hidden="1" width="13" customWidth="1" min="804" max="804"/>
    <col hidden="1" width="13" customWidth="1" min="805" max="805"/>
    <col hidden="1" width="13" customWidth="1" min="806" max="806"/>
    <col hidden="1" width="13" customWidth="1" min="807" max="807"/>
    <col hidden="1" width="13" customWidth="1" min="808" max="808"/>
    <col hidden="1" width="13" customWidth="1" min="809" max="809"/>
    <col hidden="1" width="13" customWidth="1" min="810" max="810"/>
    <col hidden="1" width="13" customWidth="1" min="811" max="811"/>
    <col hidden="1" width="13" customWidth="1" min="812" max="812"/>
    <col hidden="1" width="13" customWidth="1" min="813" max="813"/>
    <col hidden="1" width="13" customWidth="1" min="814" max="814"/>
    <col hidden="1" width="13" customWidth="1" min="815" max="815"/>
    <col hidden="1" width="13" customWidth="1" min="816" max="816"/>
    <col hidden="1" width="13" customWidth="1" min="817" max="817"/>
    <col hidden="1" width="13" customWidth="1" min="818" max="818"/>
    <col hidden="1" width="13" customWidth="1" min="819" max="819"/>
    <col hidden="1" width="13" customWidth="1" min="820" max="820"/>
    <col hidden="1" width="13" customWidth="1" min="821" max="821"/>
    <col hidden="1" width="13" customWidth="1" min="822" max="822"/>
    <col hidden="1" width="13" customWidth="1" min="823" max="823"/>
    <col hidden="1" width="13" customWidth="1" min="824" max="824"/>
    <col hidden="1" width="13" customWidth="1" min="825" max="825"/>
    <col hidden="1" width="13" customWidth="1" min="826" max="826"/>
    <col hidden="1" width="13" customWidth="1" min="827" max="827"/>
    <col hidden="1" width="13" customWidth="1" min="828" max="828"/>
    <col hidden="1" width="13" customWidth="1" min="829" max="829"/>
    <col hidden="1" width="13" customWidth="1" min="830" max="830"/>
    <col hidden="1" width="13" customWidth="1" min="831" max="831"/>
    <col hidden="1" width="13" customWidth="1" min="832" max="832"/>
    <col hidden="1" width="13" customWidth="1" min="833" max="833"/>
    <col hidden="1" width="13" customWidth="1" min="834" max="834"/>
    <col hidden="1" width="13" customWidth="1" min="835" max="835"/>
    <col hidden="1" width="13" customWidth="1" min="836" max="836"/>
    <col hidden="1" width="13" customWidth="1" min="837" max="837"/>
    <col hidden="1" width="13" customWidth="1" min="838" max="838"/>
    <col hidden="1" width="13" customWidth="1" min="839" max="839"/>
    <col hidden="1" width="13" customWidth="1" min="840" max="840"/>
    <col hidden="1" width="13" customWidth="1" min="841" max="841"/>
    <col hidden="1" width="13" customWidth="1" min="842" max="842"/>
    <col hidden="1" width="13" customWidth="1" min="843" max="843"/>
    <col hidden="1" width="13" customWidth="1" min="844" max="844"/>
    <col hidden="1" width="13" customWidth="1" min="845" max="845"/>
    <col hidden="1" width="13" customWidth="1" min="846" max="846"/>
    <col hidden="1" width="13" customWidth="1" min="847" max="847"/>
    <col hidden="1" width="13" customWidth="1" min="848" max="848"/>
    <col hidden="1" width="13" customWidth="1" min="849" max="849"/>
    <col hidden="1" width="13" customWidth="1" min="850" max="850"/>
    <col hidden="1" width="13" customWidth="1" min="851" max="851"/>
    <col hidden="1" width="13" customWidth="1" min="852" max="852"/>
    <col hidden="1" width="13" customWidth="1" min="853" max="853"/>
    <col hidden="1" width="13" customWidth="1" min="854" max="854"/>
    <col hidden="1" width="13" customWidth="1" min="855" max="855"/>
    <col hidden="1" width="13" customWidth="1" min="856" max="856"/>
    <col hidden="1" width="13" customWidth="1" min="857" max="857"/>
    <col hidden="1" width="13" customWidth="1" min="858" max="858"/>
    <col hidden="1" width="13" customWidth="1" min="859" max="859"/>
    <col hidden="1" width="13" customWidth="1" min="860" max="860"/>
    <col hidden="1" width="13" customWidth="1" min="861" max="861"/>
    <col hidden="1" width="13" customWidth="1" min="862" max="862"/>
    <col hidden="1" width="13" customWidth="1" min="863" max="863"/>
    <col hidden="1" width="13" customWidth="1" min="864" max="864"/>
    <col hidden="1" width="13" customWidth="1" min="865" max="865"/>
    <col hidden="1" width="13" customWidth="1" min="866" max="866"/>
    <col hidden="1" width="13" customWidth="1" min="867" max="867"/>
    <col hidden="1" width="13" customWidth="1" min="868" max="868"/>
    <col hidden="1" width="13" customWidth="1" min="869" max="869"/>
    <col hidden="1" width="13" customWidth="1" min="870" max="870"/>
    <col hidden="1" width="13" customWidth="1" min="871" max="871"/>
    <col hidden="1" width="13" customWidth="1" min="872" max="872"/>
    <col hidden="1" width="13" customWidth="1" min="873" max="873"/>
    <col hidden="1" width="13" customWidth="1" min="874" max="874"/>
    <col hidden="1" width="13" customWidth="1" min="875" max="875"/>
    <col hidden="1" width="13" customWidth="1" min="876" max="876"/>
    <col hidden="1" width="13" customWidth="1" min="877" max="877"/>
    <col hidden="1" width="13" customWidth="1" min="878" max="878"/>
    <col hidden="1" width="13" customWidth="1" min="879" max="879"/>
    <col hidden="1" width="13" customWidth="1" min="880" max="880"/>
    <col hidden="1" width="13" customWidth="1" min="881" max="881"/>
    <col hidden="1" width="13" customWidth="1" min="882" max="882"/>
    <col hidden="1" width="13" customWidth="1" min="883" max="883"/>
    <col hidden="1" width="13" customWidth="1" min="884" max="884"/>
    <col hidden="1" width="13" customWidth="1" min="885" max="885"/>
    <col hidden="1" width="13" customWidth="1" min="886" max="886"/>
    <col hidden="1" width="13" customWidth="1" min="887" max="887"/>
    <col hidden="1" width="13" customWidth="1" min="888" max="888"/>
    <col hidden="1" width="13" customWidth="1" min="889" max="889"/>
    <col hidden="1" width="13" customWidth="1" min="890" max="890"/>
    <col hidden="1" width="13" customWidth="1" min="891" max="891"/>
    <col hidden="1" width="13" customWidth="1" min="892" max="892"/>
    <col hidden="1" width="13" customWidth="1" min="893" max="893"/>
    <col hidden="1" width="13" customWidth="1" min="894" max="894"/>
    <col hidden="1" width="13" customWidth="1" min="895" max="895"/>
    <col hidden="1" width="13" customWidth="1" min="896" max="896"/>
    <col hidden="1" width="13" customWidth="1" min="897" max="897"/>
    <col hidden="1" width="13" customWidth="1" min="898" max="898"/>
    <col hidden="1" width="13" customWidth="1" min="899" max="899"/>
    <col hidden="1" width="13" customWidth="1" min="900" max="900"/>
    <col hidden="1" width="13" customWidth="1" min="901" max="901"/>
    <col hidden="1" width="13" customWidth="1" min="902" max="902"/>
    <col hidden="1" width="13" customWidth="1" min="903" max="903"/>
    <col hidden="1" width="13" customWidth="1" min="904" max="904"/>
    <col hidden="1" width="13" customWidth="1" min="905" max="905"/>
    <col hidden="1" width="13" customWidth="1" min="906" max="906"/>
    <col hidden="1" width="13" customWidth="1" min="907" max="907"/>
    <col hidden="1" width="13" customWidth="1" min="908" max="908"/>
    <col hidden="1" width="13" customWidth="1" min="909" max="909"/>
    <col hidden="1" width="13" customWidth="1" min="910" max="910"/>
    <col hidden="1" width="13" customWidth="1" min="911" max="911"/>
    <col hidden="1" width="13" customWidth="1" min="912" max="912"/>
    <col hidden="1" width="13" customWidth="1" min="913" max="913"/>
    <col hidden="1" width="13" customWidth="1" min="914" max="914"/>
    <col hidden="1" width="13" customWidth="1" min="915" max="915"/>
    <col hidden="1" width="13" customWidth="1" min="916" max="916"/>
    <col hidden="1" width="13" customWidth="1" min="917" max="917"/>
    <col hidden="1" width="13" customWidth="1" min="918" max="918"/>
    <col hidden="1" width="13" customWidth="1" min="919" max="919"/>
    <col hidden="1" width="13" customWidth="1" min="920" max="920"/>
    <col hidden="1" width="13" customWidth="1" min="921" max="921"/>
    <col hidden="1" width="13" customWidth="1" min="922" max="922"/>
    <col hidden="1" width="13" customWidth="1" min="923" max="923"/>
    <col hidden="1" width="13" customWidth="1" min="924" max="924"/>
    <col hidden="1" width="13" customWidth="1" min="925" max="925"/>
    <col hidden="1" width="13" customWidth="1" min="926" max="926"/>
    <col hidden="1" width="13" customWidth="1" min="927" max="927"/>
    <col hidden="1" width="13" customWidth="1" min="928" max="928"/>
    <col hidden="1" width="13" customWidth="1" min="929" max="929"/>
    <col hidden="1" width="13" customWidth="1" min="930" max="930"/>
    <col hidden="1" width="13" customWidth="1" min="931" max="931"/>
    <col hidden="1" width="13" customWidth="1" min="932" max="932"/>
    <col hidden="1" width="13" customWidth="1" min="933" max="933"/>
    <col hidden="1" width="13" customWidth="1" min="934" max="934"/>
    <col hidden="1" width="13" customWidth="1" min="935" max="935"/>
    <col hidden="1" width="13" customWidth="1" min="936" max="936"/>
    <col hidden="1" width="13" customWidth="1" min="937" max="937"/>
    <col hidden="1" width="13" customWidth="1" min="938" max="938"/>
    <col hidden="1" width="13" customWidth="1" min="939" max="939"/>
    <col hidden="1" width="13" customWidth="1" min="940" max="940"/>
    <col hidden="1" width="13" customWidth="1" min="941" max="941"/>
    <col hidden="1" width="13" customWidth="1" min="942" max="942"/>
    <col hidden="1" width="13" customWidth="1" min="943" max="943"/>
    <col hidden="1" width="13" customWidth="1" min="944" max="944"/>
    <col hidden="1" width="13" customWidth="1" min="945" max="945"/>
    <col hidden="1" width="13" customWidth="1" min="946" max="946"/>
    <col hidden="1" width="13" customWidth="1" min="947" max="947"/>
    <col hidden="1" width="13" customWidth="1" min="948" max="948"/>
    <col hidden="1" width="13" customWidth="1" min="949" max="949"/>
    <col hidden="1" width="13" customWidth="1" min="950" max="950"/>
    <col hidden="1" width="13" customWidth="1" min="951" max="951"/>
    <col hidden="1" width="13" customWidth="1" min="952" max="952"/>
    <col hidden="1" width="13" customWidth="1" min="953" max="953"/>
    <col hidden="1" width="13" customWidth="1" min="954" max="954"/>
    <col hidden="1" width="13" customWidth="1" min="955" max="955"/>
    <col hidden="1" width="13" customWidth="1" min="956" max="956"/>
    <col hidden="1" width="13" customWidth="1" min="957" max="957"/>
    <col hidden="1" width="13" customWidth="1" min="958" max="958"/>
    <col hidden="1" width="13" customWidth="1" min="959" max="959"/>
    <col hidden="1" width="13" customWidth="1" min="960" max="960"/>
    <col hidden="1" width="13" customWidth="1" min="961" max="961"/>
    <col hidden="1" width="13" customWidth="1" min="962" max="962"/>
    <col hidden="1" width="13" customWidth="1" min="963" max="963"/>
    <col hidden="1" width="13" customWidth="1" min="964" max="964"/>
    <col hidden="1" width="13" customWidth="1" min="965" max="965"/>
    <col hidden="1" width="13" customWidth="1" min="966" max="966"/>
    <col hidden="1" width="13" customWidth="1" min="967" max="967"/>
    <col hidden="1" width="13" customWidth="1" min="968" max="968"/>
    <col hidden="1" width="13" customWidth="1" min="969" max="969"/>
    <col hidden="1" width="13" customWidth="1" min="970" max="970"/>
    <col hidden="1" width="13" customWidth="1" min="971" max="971"/>
    <col hidden="1" width="13" customWidth="1" min="972" max="972"/>
    <col hidden="1" width="13" customWidth="1" min="973" max="973"/>
    <col hidden="1" width="13" customWidth="1" min="974" max="974"/>
    <col hidden="1" width="13" customWidth="1" min="975" max="975"/>
    <col hidden="1" width="13" customWidth="1" min="976" max="976"/>
    <col hidden="1" width="13" customWidth="1" min="977" max="977"/>
    <col hidden="1" width="13" customWidth="1" min="978" max="978"/>
    <col hidden="1" width="13" customWidth="1" min="979" max="979"/>
    <col hidden="1" width="13" customWidth="1" min="980" max="980"/>
    <col hidden="1" width="13" customWidth="1" min="981" max="981"/>
    <col hidden="1" width="13" customWidth="1" min="982" max="982"/>
    <col hidden="1" width="13" customWidth="1" min="983" max="983"/>
    <col hidden="1" width="13" customWidth="1" min="984" max="984"/>
    <col hidden="1" width="13" customWidth="1" min="985" max="985"/>
    <col hidden="1" width="13" customWidth="1" min="986" max="986"/>
    <col hidden="1" width="13" customWidth="1" min="987" max="987"/>
    <col hidden="1" width="13" customWidth="1" min="988" max="988"/>
    <col hidden="1" width="13" customWidth="1" min="989" max="989"/>
    <col hidden="1" width="13" customWidth="1" min="990" max="990"/>
    <col hidden="1" width="13" customWidth="1" min="991" max="991"/>
    <col hidden="1" width="13" customWidth="1" min="992" max="992"/>
    <col hidden="1" width="13" customWidth="1" min="993" max="993"/>
    <col hidden="1" width="13" customWidth="1" min="994" max="994"/>
    <col hidden="1" width="13" customWidth="1" min="995" max="995"/>
    <col hidden="1" width="13" customWidth="1" min="996" max="996"/>
    <col hidden="1" width="13" customWidth="1" min="997" max="997"/>
    <col hidden="1" width="13" customWidth="1" min="998" max="998"/>
    <col hidden="1" width="13" customWidth="1" min="999" max="999"/>
    <col hidden="1" width="13" customWidth="1" min="1000" max="1000"/>
    <col hidden="1" width="13" customWidth="1" min="1001" max="1001"/>
    <col hidden="1" width="13" customWidth="1" min="1002" max="1002"/>
    <col hidden="1" width="13" customWidth="1" min="1003" max="1003"/>
  </cols>
  <sheetData>
    <row r="1">
      <c r="A1" s="2" t="inlineStr">
        <is>
          <t>TOP 10 SIMILAR WORDS FINDER</t>
        </is>
      </c>
      <c r="B1" s="3" t="n"/>
      <c r="C1" s="4" t="n"/>
    </row>
    <row r="2">
      <c r="A2" s="5" t="inlineStr">
        <is>
          <t>Enter a word:</t>
        </is>
      </c>
      <c r="B2" t="inlineStr"/>
      <c r="D2">
        <f>IF(OR($B$2="",ISNA(MATCH($B$2,'Word Vectors'!A:A,0)),'Word Vectors'!A2=$B$2),"",SUMPRODUCT(INDIRECT("'Word Vectors'!B"&amp;MATCH($B$2,'Word Vectors'!A:A,0)&amp;":Z"&amp;MATCH($B$2,'Word Vectors'!A:A,0)),INDIRECT("'Word Vectors'!B2:Z2"))/(SQRT(SUMPRODUCT(INDIRECT("'Word Vectors'!B"&amp;MATCH($B$2,'Word Vectors'!A:A,0)&amp;":Z"&amp;MATCH($B$2,'Word Vectors'!A:A,0)),INDIRECT("'Word Vectors'!B"&amp;MATCH($B$2,'Word Vectors'!A:A,0)&amp;":Z"&amp;MATCH($B$2,'Word Vectors'!A:A,0))))*SQRT(SUMPRODUCT(INDIRECT("'Word Vectors'!B2:Z2"),INDIRECT("'Word Vectors'!B2:Z2")))))</f>
        <v/>
      </c>
      <c r="E2">
        <f>IF(OR($B$2="",ISNA(MATCH($B$2,'Word Vectors'!A:A,0)),'Word Vectors'!A3=$B$2),"",SUMPRODUCT(INDIRECT("'Word Vectors'!B"&amp;MATCH($B$2,'Word Vectors'!A:A,0)&amp;":Z"&amp;MATCH($B$2,'Word Vectors'!A:A,0)),INDIRECT("'Word Vectors'!B3:Z3"))/(SQRT(SUMPRODUCT(INDIRECT("'Word Vectors'!B"&amp;MATCH($B$2,'Word Vectors'!A:A,0)&amp;":Z"&amp;MATCH($B$2,'Word Vectors'!A:A,0)),INDIRECT("'Word Vectors'!B"&amp;MATCH($B$2,'Word Vectors'!A:A,0)&amp;":Z"&amp;MATCH($B$2,'Word Vectors'!A:A,0))))*SQRT(SUMPRODUCT(INDIRECT("'Word Vectors'!B3:Z3"),INDIRECT("'Word Vectors'!B3:Z3")))))</f>
        <v/>
      </c>
      <c r="F2">
        <f>IF(OR($B$2="",ISNA(MATCH($B$2,'Word Vectors'!A:A,0)),'Word Vectors'!A4=$B$2),"",SUMPRODUCT(INDIRECT("'Word Vectors'!B"&amp;MATCH($B$2,'Word Vectors'!A:A,0)&amp;":Z"&amp;MATCH($B$2,'Word Vectors'!A:A,0)),INDIRECT("'Word Vectors'!B4:Z4"))/(SQRT(SUMPRODUCT(INDIRECT("'Word Vectors'!B"&amp;MATCH($B$2,'Word Vectors'!A:A,0)&amp;":Z"&amp;MATCH($B$2,'Word Vectors'!A:A,0)),INDIRECT("'Word Vectors'!B"&amp;MATCH($B$2,'Word Vectors'!A:A,0)&amp;":Z"&amp;MATCH($B$2,'Word Vectors'!A:A,0))))*SQRT(SUMPRODUCT(INDIRECT("'Word Vectors'!B4:Z4"),INDIRECT("'Word Vectors'!B4:Z4")))))</f>
        <v/>
      </c>
      <c r="G2">
        <f>IF(OR($B$2="",ISNA(MATCH($B$2,'Word Vectors'!A:A,0)),'Word Vectors'!A5=$B$2),"",SUMPRODUCT(INDIRECT("'Word Vectors'!B"&amp;MATCH($B$2,'Word Vectors'!A:A,0)&amp;":Z"&amp;MATCH($B$2,'Word Vectors'!A:A,0)),INDIRECT("'Word Vectors'!B5:Z5"))/(SQRT(SUMPRODUCT(INDIRECT("'Word Vectors'!B"&amp;MATCH($B$2,'Word Vectors'!A:A,0)&amp;":Z"&amp;MATCH($B$2,'Word Vectors'!A:A,0)),INDIRECT("'Word Vectors'!B"&amp;MATCH($B$2,'Word Vectors'!A:A,0)&amp;":Z"&amp;MATCH($B$2,'Word Vectors'!A:A,0))))*SQRT(SUMPRODUCT(INDIRECT("'Word Vectors'!B5:Z5"),INDIRECT("'Word Vectors'!B5:Z5")))))</f>
        <v/>
      </c>
      <c r="H2">
        <f>IF(OR($B$2="",ISNA(MATCH($B$2,'Word Vectors'!A:A,0)),'Word Vectors'!A6=$B$2),"",SUMPRODUCT(INDIRECT("'Word Vectors'!B"&amp;MATCH($B$2,'Word Vectors'!A:A,0)&amp;":Z"&amp;MATCH($B$2,'Word Vectors'!A:A,0)),INDIRECT("'Word Vectors'!B6:Z6"))/(SQRT(SUMPRODUCT(INDIRECT("'Word Vectors'!B"&amp;MATCH($B$2,'Word Vectors'!A:A,0)&amp;":Z"&amp;MATCH($B$2,'Word Vectors'!A:A,0)),INDIRECT("'Word Vectors'!B"&amp;MATCH($B$2,'Word Vectors'!A:A,0)&amp;":Z"&amp;MATCH($B$2,'Word Vectors'!A:A,0))))*SQRT(SUMPRODUCT(INDIRECT("'Word Vectors'!B6:Z6"),INDIRECT("'Word Vectors'!B6:Z6")))))</f>
        <v/>
      </c>
      <c r="I2">
        <f>IF(OR($B$2="",ISNA(MATCH($B$2,'Word Vectors'!A:A,0)),'Word Vectors'!A7=$B$2),"",SUMPRODUCT(INDIRECT("'Word Vectors'!B"&amp;MATCH($B$2,'Word Vectors'!A:A,0)&amp;":Z"&amp;MATCH($B$2,'Word Vectors'!A:A,0)),INDIRECT("'Word Vectors'!B7:Z7"))/(SQRT(SUMPRODUCT(INDIRECT("'Word Vectors'!B"&amp;MATCH($B$2,'Word Vectors'!A:A,0)&amp;":Z"&amp;MATCH($B$2,'Word Vectors'!A:A,0)),INDIRECT("'Word Vectors'!B"&amp;MATCH($B$2,'Word Vectors'!A:A,0)&amp;":Z"&amp;MATCH($B$2,'Word Vectors'!A:A,0))))*SQRT(SUMPRODUCT(INDIRECT("'Word Vectors'!B7:Z7"),INDIRECT("'Word Vectors'!B7:Z7")))))</f>
        <v/>
      </c>
      <c r="J2">
        <f>IF(OR($B$2="",ISNA(MATCH($B$2,'Word Vectors'!A:A,0)),'Word Vectors'!A8=$B$2),"",SUMPRODUCT(INDIRECT("'Word Vectors'!B"&amp;MATCH($B$2,'Word Vectors'!A:A,0)&amp;":Z"&amp;MATCH($B$2,'Word Vectors'!A:A,0)),INDIRECT("'Word Vectors'!B8:Z8"))/(SQRT(SUMPRODUCT(INDIRECT("'Word Vectors'!B"&amp;MATCH($B$2,'Word Vectors'!A:A,0)&amp;":Z"&amp;MATCH($B$2,'Word Vectors'!A:A,0)),INDIRECT("'Word Vectors'!B"&amp;MATCH($B$2,'Word Vectors'!A:A,0)&amp;":Z"&amp;MATCH($B$2,'Word Vectors'!A:A,0))))*SQRT(SUMPRODUCT(INDIRECT("'Word Vectors'!B8:Z8"),INDIRECT("'Word Vectors'!B8:Z8")))))</f>
        <v/>
      </c>
      <c r="K2">
        <f>IF(OR($B$2="",ISNA(MATCH($B$2,'Word Vectors'!A:A,0)),'Word Vectors'!A9=$B$2),"",SUMPRODUCT(INDIRECT("'Word Vectors'!B"&amp;MATCH($B$2,'Word Vectors'!A:A,0)&amp;":Z"&amp;MATCH($B$2,'Word Vectors'!A:A,0)),INDIRECT("'Word Vectors'!B9:Z9"))/(SQRT(SUMPRODUCT(INDIRECT("'Word Vectors'!B"&amp;MATCH($B$2,'Word Vectors'!A:A,0)&amp;":Z"&amp;MATCH($B$2,'Word Vectors'!A:A,0)),INDIRECT("'Word Vectors'!B"&amp;MATCH($B$2,'Word Vectors'!A:A,0)&amp;":Z"&amp;MATCH($B$2,'Word Vectors'!A:A,0))))*SQRT(SUMPRODUCT(INDIRECT("'Word Vectors'!B9:Z9"),INDIRECT("'Word Vectors'!B9:Z9")))))</f>
        <v/>
      </c>
      <c r="L2">
        <f>IF(OR($B$2="",ISNA(MATCH($B$2,'Word Vectors'!A:A,0)),'Word Vectors'!A10=$B$2),"",SUMPRODUCT(INDIRECT("'Word Vectors'!B"&amp;MATCH($B$2,'Word Vectors'!A:A,0)&amp;":Z"&amp;MATCH($B$2,'Word Vectors'!A:A,0)),INDIRECT("'Word Vectors'!B10:Z10"))/(SQRT(SUMPRODUCT(INDIRECT("'Word Vectors'!B"&amp;MATCH($B$2,'Word Vectors'!A:A,0)&amp;":Z"&amp;MATCH($B$2,'Word Vectors'!A:A,0)),INDIRECT("'Word Vectors'!B"&amp;MATCH($B$2,'Word Vectors'!A:A,0)&amp;":Z"&amp;MATCH($B$2,'Word Vectors'!A:A,0))))*SQRT(SUMPRODUCT(INDIRECT("'Word Vectors'!B10:Z10"),INDIRECT("'Word Vectors'!B10:Z10")))))</f>
        <v/>
      </c>
      <c r="M2">
        <f>IF(OR($B$2="",ISNA(MATCH($B$2,'Word Vectors'!A:A,0)),'Word Vectors'!A11=$B$2),"",SUMPRODUCT(INDIRECT("'Word Vectors'!B"&amp;MATCH($B$2,'Word Vectors'!A:A,0)&amp;":Z"&amp;MATCH($B$2,'Word Vectors'!A:A,0)),INDIRECT("'Word Vectors'!B11:Z11"))/(SQRT(SUMPRODUCT(INDIRECT("'Word Vectors'!B"&amp;MATCH($B$2,'Word Vectors'!A:A,0)&amp;":Z"&amp;MATCH($B$2,'Word Vectors'!A:A,0)),INDIRECT("'Word Vectors'!B"&amp;MATCH($B$2,'Word Vectors'!A:A,0)&amp;":Z"&amp;MATCH($B$2,'Word Vectors'!A:A,0))))*SQRT(SUMPRODUCT(INDIRECT("'Word Vectors'!B11:Z11"),INDIRECT("'Word Vectors'!B11:Z11")))))</f>
        <v/>
      </c>
      <c r="N2">
        <f>IF(OR($B$2="",ISNA(MATCH($B$2,'Word Vectors'!A:A,0)),'Word Vectors'!A12=$B$2),"",SUMPRODUCT(INDIRECT("'Word Vectors'!B"&amp;MATCH($B$2,'Word Vectors'!A:A,0)&amp;":Z"&amp;MATCH($B$2,'Word Vectors'!A:A,0)),INDIRECT("'Word Vectors'!B12:Z12"))/(SQRT(SUMPRODUCT(INDIRECT("'Word Vectors'!B"&amp;MATCH($B$2,'Word Vectors'!A:A,0)&amp;":Z"&amp;MATCH($B$2,'Word Vectors'!A:A,0)),INDIRECT("'Word Vectors'!B"&amp;MATCH($B$2,'Word Vectors'!A:A,0)&amp;":Z"&amp;MATCH($B$2,'Word Vectors'!A:A,0))))*SQRT(SUMPRODUCT(INDIRECT("'Word Vectors'!B12:Z12"),INDIRECT("'Word Vectors'!B12:Z12")))))</f>
        <v/>
      </c>
      <c r="O2">
        <f>IF(OR($B$2="",ISNA(MATCH($B$2,'Word Vectors'!A:A,0)),'Word Vectors'!A13=$B$2),"",SUMPRODUCT(INDIRECT("'Word Vectors'!B"&amp;MATCH($B$2,'Word Vectors'!A:A,0)&amp;":Z"&amp;MATCH($B$2,'Word Vectors'!A:A,0)),INDIRECT("'Word Vectors'!B13:Z13"))/(SQRT(SUMPRODUCT(INDIRECT("'Word Vectors'!B"&amp;MATCH($B$2,'Word Vectors'!A:A,0)&amp;":Z"&amp;MATCH($B$2,'Word Vectors'!A:A,0)),INDIRECT("'Word Vectors'!B"&amp;MATCH($B$2,'Word Vectors'!A:A,0)&amp;":Z"&amp;MATCH($B$2,'Word Vectors'!A:A,0))))*SQRT(SUMPRODUCT(INDIRECT("'Word Vectors'!B13:Z13"),INDIRECT("'Word Vectors'!B13:Z13")))))</f>
        <v/>
      </c>
      <c r="P2">
        <f>IF(OR($B$2="",ISNA(MATCH($B$2,'Word Vectors'!A:A,0)),'Word Vectors'!A14=$B$2),"",SUMPRODUCT(INDIRECT("'Word Vectors'!B"&amp;MATCH($B$2,'Word Vectors'!A:A,0)&amp;":Z"&amp;MATCH($B$2,'Word Vectors'!A:A,0)),INDIRECT("'Word Vectors'!B14:Z14"))/(SQRT(SUMPRODUCT(INDIRECT("'Word Vectors'!B"&amp;MATCH($B$2,'Word Vectors'!A:A,0)&amp;":Z"&amp;MATCH($B$2,'Word Vectors'!A:A,0)),INDIRECT("'Word Vectors'!B"&amp;MATCH($B$2,'Word Vectors'!A:A,0)&amp;":Z"&amp;MATCH($B$2,'Word Vectors'!A:A,0))))*SQRT(SUMPRODUCT(INDIRECT("'Word Vectors'!B14:Z14"),INDIRECT("'Word Vectors'!B14:Z14")))))</f>
        <v/>
      </c>
      <c r="Q2">
        <f>IF(OR($B$2="",ISNA(MATCH($B$2,'Word Vectors'!A:A,0)),'Word Vectors'!A15=$B$2),"",SUMPRODUCT(INDIRECT("'Word Vectors'!B"&amp;MATCH($B$2,'Word Vectors'!A:A,0)&amp;":Z"&amp;MATCH($B$2,'Word Vectors'!A:A,0)),INDIRECT("'Word Vectors'!B15:Z15"))/(SQRT(SUMPRODUCT(INDIRECT("'Word Vectors'!B"&amp;MATCH($B$2,'Word Vectors'!A:A,0)&amp;":Z"&amp;MATCH($B$2,'Word Vectors'!A:A,0)),INDIRECT("'Word Vectors'!B"&amp;MATCH($B$2,'Word Vectors'!A:A,0)&amp;":Z"&amp;MATCH($B$2,'Word Vectors'!A:A,0))))*SQRT(SUMPRODUCT(INDIRECT("'Word Vectors'!B15:Z15"),INDIRECT("'Word Vectors'!B15:Z15")))))</f>
        <v/>
      </c>
      <c r="R2">
        <f>IF(OR($B$2="",ISNA(MATCH($B$2,'Word Vectors'!A:A,0)),'Word Vectors'!A16=$B$2),"",SUMPRODUCT(INDIRECT("'Word Vectors'!B"&amp;MATCH($B$2,'Word Vectors'!A:A,0)&amp;":Z"&amp;MATCH($B$2,'Word Vectors'!A:A,0)),INDIRECT("'Word Vectors'!B16:Z16"))/(SQRT(SUMPRODUCT(INDIRECT("'Word Vectors'!B"&amp;MATCH($B$2,'Word Vectors'!A:A,0)&amp;":Z"&amp;MATCH($B$2,'Word Vectors'!A:A,0)),INDIRECT("'Word Vectors'!B"&amp;MATCH($B$2,'Word Vectors'!A:A,0)&amp;":Z"&amp;MATCH($B$2,'Word Vectors'!A:A,0))))*SQRT(SUMPRODUCT(INDIRECT("'Word Vectors'!B16:Z16"),INDIRECT("'Word Vectors'!B16:Z16")))))</f>
        <v/>
      </c>
      <c r="S2">
        <f>IF(OR($B$2="",ISNA(MATCH($B$2,'Word Vectors'!A:A,0)),'Word Vectors'!A17=$B$2),"",SUMPRODUCT(INDIRECT("'Word Vectors'!B"&amp;MATCH($B$2,'Word Vectors'!A:A,0)&amp;":Z"&amp;MATCH($B$2,'Word Vectors'!A:A,0)),INDIRECT("'Word Vectors'!B17:Z17"))/(SQRT(SUMPRODUCT(INDIRECT("'Word Vectors'!B"&amp;MATCH($B$2,'Word Vectors'!A:A,0)&amp;":Z"&amp;MATCH($B$2,'Word Vectors'!A:A,0)),INDIRECT("'Word Vectors'!B"&amp;MATCH($B$2,'Word Vectors'!A:A,0)&amp;":Z"&amp;MATCH($B$2,'Word Vectors'!A:A,0))))*SQRT(SUMPRODUCT(INDIRECT("'Word Vectors'!B17:Z17"),INDIRECT("'Word Vectors'!B17:Z17")))))</f>
        <v/>
      </c>
      <c r="T2">
        <f>IF(OR($B$2="",ISNA(MATCH($B$2,'Word Vectors'!A:A,0)),'Word Vectors'!A18=$B$2),"",SUMPRODUCT(INDIRECT("'Word Vectors'!B"&amp;MATCH($B$2,'Word Vectors'!A:A,0)&amp;":Z"&amp;MATCH($B$2,'Word Vectors'!A:A,0)),INDIRECT("'Word Vectors'!B18:Z18"))/(SQRT(SUMPRODUCT(INDIRECT("'Word Vectors'!B"&amp;MATCH($B$2,'Word Vectors'!A:A,0)&amp;":Z"&amp;MATCH($B$2,'Word Vectors'!A:A,0)),INDIRECT("'Word Vectors'!B"&amp;MATCH($B$2,'Word Vectors'!A:A,0)&amp;":Z"&amp;MATCH($B$2,'Word Vectors'!A:A,0))))*SQRT(SUMPRODUCT(INDIRECT("'Word Vectors'!B18:Z18"),INDIRECT("'Word Vectors'!B18:Z18")))))</f>
        <v/>
      </c>
      <c r="U2">
        <f>IF(OR($B$2="",ISNA(MATCH($B$2,'Word Vectors'!A:A,0)),'Word Vectors'!A19=$B$2),"",SUMPRODUCT(INDIRECT("'Word Vectors'!B"&amp;MATCH($B$2,'Word Vectors'!A:A,0)&amp;":Z"&amp;MATCH($B$2,'Word Vectors'!A:A,0)),INDIRECT("'Word Vectors'!B19:Z19"))/(SQRT(SUMPRODUCT(INDIRECT("'Word Vectors'!B"&amp;MATCH($B$2,'Word Vectors'!A:A,0)&amp;":Z"&amp;MATCH($B$2,'Word Vectors'!A:A,0)),INDIRECT("'Word Vectors'!B"&amp;MATCH($B$2,'Word Vectors'!A:A,0)&amp;":Z"&amp;MATCH($B$2,'Word Vectors'!A:A,0))))*SQRT(SUMPRODUCT(INDIRECT("'Word Vectors'!B19:Z19"),INDIRECT("'Word Vectors'!B19:Z19")))))</f>
        <v/>
      </c>
      <c r="V2">
        <f>IF(OR($B$2="",ISNA(MATCH($B$2,'Word Vectors'!A:A,0)),'Word Vectors'!A20=$B$2),"",SUMPRODUCT(INDIRECT("'Word Vectors'!B"&amp;MATCH($B$2,'Word Vectors'!A:A,0)&amp;":Z"&amp;MATCH($B$2,'Word Vectors'!A:A,0)),INDIRECT("'Word Vectors'!B20:Z20"))/(SQRT(SUMPRODUCT(INDIRECT("'Word Vectors'!B"&amp;MATCH($B$2,'Word Vectors'!A:A,0)&amp;":Z"&amp;MATCH($B$2,'Word Vectors'!A:A,0)),INDIRECT("'Word Vectors'!B"&amp;MATCH($B$2,'Word Vectors'!A:A,0)&amp;":Z"&amp;MATCH($B$2,'Word Vectors'!A:A,0))))*SQRT(SUMPRODUCT(INDIRECT("'Word Vectors'!B20:Z20"),INDIRECT("'Word Vectors'!B20:Z20")))))</f>
        <v/>
      </c>
      <c r="W2">
        <f>IF(OR($B$2="",ISNA(MATCH($B$2,'Word Vectors'!A:A,0)),'Word Vectors'!A21=$B$2),"",SUMPRODUCT(INDIRECT("'Word Vectors'!B"&amp;MATCH($B$2,'Word Vectors'!A:A,0)&amp;":Z"&amp;MATCH($B$2,'Word Vectors'!A:A,0)),INDIRECT("'Word Vectors'!B21:Z21"))/(SQRT(SUMPRODUCT(INDIRECT("'Word Vectors'!B"&amp;MATCH($B$2,'Word Vectors'!A:A,0)&amp;":Z"&amp;MATCH($B$2,'Word Vectors'!A:A,0)),INDIRECT("'Word Vectors'!B"&amp;MATCH($B$2,'Word Vectors'!A:A,0)&amp;":Z"&amp;MATCH($B$2,'Word Vectors'!A:A,0))))*SQRT(SUMPRODUCT(INDIRECT("'Word Vectors'!B21:Z21"),INDIRECT("'Word Vectors'!B21:Z21")))))</f>
        <v/>
      </c>
      <c r="X2">
        <f>IF(OR($B$2="",ISNA(MATCH($B$2,'Word Vectors'!A:A,0)),'Word Vectors'!A22=$B$2),"",SUMPRODUCT(INDIRECT("'Word Vectors'!B"&amp;MATCH($B$2,'Word Vectors'!A:A,0)&amp;":Z"&amp;MATCH($B$2,'Word Vectors'!A:A,0)),INDIRECT("'Word Vectors'!B22:Z22"))/(SQRT(SUMPRODUCT(INDIRECT("'Word Vectors'!B"&amp;MATCH($B$2,'Word Vectors'!A:A,0)&amp;":Z"&amp;MATCH($B$2,'Word Vectors'!A:A,0)),INDIRECT("'Word Vectors'!B"&amp;MATCH($B$2,'Word Vectors'!A:A,0)&amp;":Z"&amp;MATCH($B$2,'Word Vectors'!A:A,0))))*SQRT(SUMPRODUCT(INDIRECT("'Word Vectors'!B22:Z22"),INDIRECT("'Word Vectors'!B22:Z22")))))</f>
        <v/>
      </c>
      <c r="Y2">
        <f>IF(OR($B$2="",ISNA(MATCH($B$2,'Word Vectors'!A:A,0)),'Word Vectors'!A23=$B$2),"",SUMPRODUCT(INDIRECT("'Word Vectors'!B"&amp;MATCH($B$2,'Word Vectors'!A:A,0)&amp;":Z"&amp;MATCH($B$2,'Word Vectors'!A:A,0)),INDIRECT("'Word Vectors'!B23:Z23"))/(SQRT(SUMPRODUCT(INDIRECT("'Word Vectors'!B"&amp;MATCH($B$2,'Word Vectors'!A:A,0)&amp;":Z"&amp;MATCH($B$2,'Word Vectors'!A:A,0)),INDIRECT("'Word Vectors'!B"&amp;MATCH($B$2,'Word Vectors'!A:A,0)&amp;":Z"&amp;MATCH($B$2,'Word Vectors'!A:A,0))))*SQRT(SUMPRODUCT(INDIRECT("'Word Vectors'!B23:Z23"),INDIRECT("'Word Vectors'!B23:Z23")))))</f>
        <v/>
      </c>
      <c r="Z2">
        <f>IF(OR($B$2="",ISNA(MATCH($B$2,'Word Vectors'!A:A,0)),'Word Vectors'!A24=$B$2),"",SUMPRODUCT(INDIRECT("'Word Vectors'!B"&amp;MATCH($B$2,'Word Vectors'!A:A,0)&amp;":Z"&amp;MATCH($B$2,'Word Vectors'!A:A,0)),INDIRECT("'Word Vectors'!B24:Z24"))/(SQRT(SUMPRODUCT(INDIRECT("'Word Vectors'!B"&amp;MATCH($B$2,'Word Vectors'!A:A,0)&amp;":Z"&amp;MATCH($B$2,'Word Vectors'!A:A,0)),INDIRECT("'Word Vectors'!B"&amp;MATCH($B$2,'Word Vectors'!A:A,0)&amp;":Z"&amp;MATCH($B$2,'Word Vectors'!A:A,0))))*SQRT(SUMPRODUCT(INDIRECT("'Word Vectors'!B24:Z24"),INDIRECT("'Word Vectors'!B24:Z24")))))</f>
        <v/>
      </c>
      <c r="AA2">
        <f>IF(OR($B$2="",ISNA(MATCH($B$2,'Word Vectors'!A:A,0)),'Word Vectors'!A25=$B$2),"",SUMPRODUCT(INDIRECT("'Word Vectors'!B"&amp;MATCH($B$2,'Word Vectors'!A:A,0)&amp;":Z"&amp;MATCH($B$2,'Word Vectors'!A:A,0)),INDIRECT("'Word Vectors'!B25:Z25"))/(SQRT(SUMPRODUCT(INDIRECT("'Word Vectors'!B"&amp;MATCH($B$2,'Word Vectors'!A:A,0)&amp;":Z"&amp;MATCH($B$2,'Word Vectors'!A:A,0)),INDIRECT("'Word Vectors'!B"&amp;MATCH($B$2,'Word Vectors'!A:A,0)&amp;":Z"&amp;MATCH($B$2,'Word Vectors'!A:A,0))))*SQRT(SUMPRODUCT(INDIRECT("'Word Vectors'!B25:Z25"),INDIRECT("'Word Vectors'!B25:Z25")))))</f>
        <v/>
      </c>
      <c r="AB2">
        <f>IF(OR($B$2="",ISNA(MATCH($B$2,'Word Vectors'!A:A,0)),'Word Vectors'!A26=$B$2),"",SUMPRODUCT(INDIRECT("'Word Vectors'!B"&amp;MATCH($B$2,'Word Vectors'!A:A,0)&amp;":Z"&amp;MATCH($B$2,'Word Vectors'!A:A,0)),INDIRECT("'Word Vectors'!B26:Z26"))/(SQRT(SUMPRODUCT(INDIRECT("'Word Vectors'!B"&amp;MATCH($B$2,'Word Vectors'!A:A,0)&amp;":Z"&amp;MATCH($B$2,'Word Vectors'!A:A,0)),INDIRECT("'Word Vectors'!B"&amp;MATCH($B$2,'Word Vectors'!A:A,0)&amp;":Z"&amp;MATCH($B$2,'Word Vectors'!A:A,0))))*SQRT(SUMPRODUCT(INDIRECT("'Word Vectors'!B26:Z26"),INDIRECT("'Word Vectors'!B26:Z26")))))</f>
        <v/>
      </c>
      <c r="AC2">
        <f>IF(OR($B$2="",ISNA(MATCH($B$2,'Word Vectors'!A:A,0)),'Word Vectors'!A27=$B$2),"",SUMPRODUCT(INDIRECT("'Word Vectors'!B"&amp;MATCH($B$2,'Word Vectors'!A:A,0)&amp;":Z"&amp;MATCH($B$2,'Word Vectors'!A:A,0)),INDIRECT("'Word Vectors'!B27:Z27"))/(SQRT(SUMPRODUCT(INDIRECT("'Word Vectors'!B"&amp;MATCH($B$2,'Word Vectors'!A:A,0)&amp;":Z"&amp;MATCH($B$2,'Word Vectors'!A:A,0)),INDIRECT("'Word Vectors'!B"&amp;MATCH($B$2,'Word Vectors'!A:A,0)&amp;":Z"&amp;MATCH($B$2,'Word Vectors'!A:A,0))))*SQRT(SUMPRODUCT(INDIRECT("'Word Vectors'!B27:Z27"),INDIRECT("'Word Vectors'!B27:Z27")))))</f>
        <v/>
      </c>
      <c r="AD2">
        <f>IF(OR($B$2="",ISNA(MATCH($B$2,'Word Vectors'!A:A,0)),'Word Vectors'!A28=$B$2),"",SUMPRODUCT(INDIRECT("'Word Vectors'!B"&amp;MATCH($B$2,'Word Vectors'!A:A,0)&amp;":Z"&amp;MATCH($B$2,'Word Vectors'!A:A,0)),INDIRECT("'Word Vectors'!B28:Z28"))/(SQRT(SUMPRODUCT(INDIRECT("'Word Vectors'!B"&amp;MATCH($B$2,'Word Vectors'!A:A,0)&amp;":Z"&amp;MATCH($B$2,'Word Vectors'!A:A,0)),INDIRECT("'Word Vectors'!B"&amp;MATCH($B$2,'Word Vectors'!A:A,0)&amp;":Z"&amp;MATCH($B$2,'Word Vectors'!A:A,0))))*SQRT(SUMPRODUCT(INDIRECT("'Word Vectors'!B28:Z28"),INDIRECT("'Word Vectors'!B28:Z28")))))</f>
        <v/>
      </c>
      <c r="AE2">
        <f>IF(OR($B$2="",ISNA(MATCH($B$2,'Word Vectors'!A:A,0)),'Word Vectors'!A29=$B$2),"",SUMPRODUCT(INDIRECT("'Word Vectors'!B"&amp;MATCH($B$2,'Word Vectors'!A:A,0)&amp;":Z"&amp;MATCH($B$2,'Word Vectors'!A:A,0)),INDIRECT("'Word Vectors'!B29:Z29"))/(SQRT(SUMPRODUCT(INDIRECT("'Word Vectors'!B"&amp;MATCH($B$2,'Word Vectors'!A:A,0)&amp;":Z"&amp;MATCH($B$2,'Word Vectors'!A:A,0)),INDIRECT("'Word Vectors'!B"&amp;MATCH($B$2,'Word Vectors'!A:A,0)&amp;":Z"&amp;MATCH($B$2,'Word Vectors'!A:A,0))))*SQRT(SUMPRODUCT(INDIRECT("'Word Vectors'!B29:Z29"),INDIRECT("'Word Vectors'!B29:Z29")))))</f>
        <v/>
      </c>
      <c r="AF2">
        <f>IF(OR($B$2="",ISNA(MATCH($B$2,'Word Vectors'!A:A,0)),'Word Vectors'!A30=$B$2),"",SUMPRODUCT(INDIRECT("'Word Vectors'!B"&amp;MATCH($B$2,'Word Vectors'!A:A,0)&amp;":Z"&amp;MATCH($B$2,'Word Vectors'!A:A,0)),INDIRECT("'Word Vectors'!B30:Z30"))/(SQRT(SUMPRODUCT(INDIRECT("'Word Vectors'!B"&amp;MATCH($B$2,'Word Vectors'!A:A,0)&amp;":Z"&amp;MATCH($B$2,'Word Vectors'!A:A,0)),INDIRECT("'Word Vectors'!B"&amp;MATCH($B$2,'Word Vectors'!A:A,0)&amp;":Z"&amp;MATCH($B$2,'Word Vectors'!A:A,0))))*SQRT(SUMPRODUCT(INDIRECT("'Word Vectors'!B30:Z30"),INDIRECT("'Word Vectors'!B30:Z30")))))</f>
        <v/>
      </c>
      <c r="AG2">
        <f>IF(OR($B$2="",ISNA(MATCH($B$2,'Word Vectors'!A:A,0)),'Word Vectors'!A31=$B$2),"",SUMPRODUCT(INDIRECT("'Word Vectors'!B"&amp;MATCH($B$2,'Word Vectors'!A:A,0)&amp;":Z"&amp;MATCH($B$2,'Word Vectors'!A:A,0)),INDIRECT("'Word Vectors'!B31:Z31"))/(SQRT(SUMPRODUCT(INDIRECT("'Word Vectors'!B"&amp;MATCH($B$2,'Word Vectors'!A:A,0)&amp;":Z"&amp;MATCH($B$2,'Word Vectors'!A:A,0)),INDIRECT("'Word Vectors'!B"&amp;MATCH($B$2,'Word Vectors'!A:A,0)&amp;":Z"&amp;MATCH($B$2,'Word Vectors'!A:A,0))))*SQRT(SUMPRODUCT(INDIRECT("'Word Vectors'!B31:Z31"),INDIRECT("'Word Vectors'!B31:Z31")))))</f>
        <v/>
      </c>
      <c r="AH2">
        <f>IF(OR($B$2="",ISNA(MATCH($B$2,'Word Vectors'!A:A,0)),'Word Vectors'!A32=$B$2),"",SUMPRODUCT(INDIRECT("'Word Vectors'!B"&amp;MATCH($B$2,'Word Vectors'!A:A,0)&amp;":Z"&amp;MATCH($B$2,'Word Vectors'!A:A,0)),INDIRECT("'Word Vectors'!B32:Z32"))/(SQRT(SUMPRODUCT(INDIRECT("'Word Vectors'!B"&amp;MATCH($B$2,'Word Vectors'!A:A,0)&amp;":Z"&amp;MATCH($B$2,'Word Vectors'!A:A,0)),INDIRECT("'Word Vectors'!B"&amp;MATCH($B$2,'Word Vectors'!A:A,0)&amp;":Z"&amp;MATCH($B$2,'Word Vectors'!A:A,0))))*SQRT(SUMPRODUCT(INDIRECT("'Word Vectors'!B32:Z32"),INDIRECT("'Word Vectors'!B32:Z32")))))</f>
        <v/>
      </c>
      <c r="AI2">
        <f>IF(OR($B$2="",ISNA(MATCH($B$2,'Word Vectors'!A:A,0)),'Word Vectors'!A33=$B$2),"",SUMPRODUCT(INDIRECT("'Word Vectors'!B"&amp;MATCH($B$2,'Word Vectors'!A:A,0)&amp;":Z"&amp;MATCH($B$2,'Word Vectors'!A:A,0)),INDIRECT("'Word Vectors'!B33:Z33"))/(SQRT(SUMPRODUCT(INDIRECT("'Word Vectors'!B"&amp;MATCH($B$2,'Word Vectors'!A:A,0)&amp;":Z"&amp;MATCH($B$2,'Word Vectors'!A:A,0)),INDIRECT("'Word Vectors'!B"&amp;MATCH($B$2,'Word Vectors'!A:A,0)&amp;":Z"&amp;MATCH($B$2,'Word Vectors'!A:A,0))))*SQRT(SUMPRODUCT(INDIRECT("'Word Vectors'!B33:Z33"),INDIRECT("'Word Vectors'!B33:Z33")))))</f>
        <v/>
      </c>
      <c r="AJ2">
        <f>IF(OR($B$2="",ISNA(MATCH($B$2,'Word Vectors'!A:A,0)),'Word Vectors'!A34=$B$2),"",SUMPRODUCT(INDIRECT("'Word Vectors'!B"&amp;MATCH($B$2,'Word Vectors'!A:A,0)&amp;":Z"&amp;MATCH($B$2,'Word Vectors'!A:A,0)),INDIRECT("'Word Vectors'!B34:Z34"))/(SQRT(SUMPRODUCT(INDIRECT("'Word Vectors'!B"&amp;MATCH($B$2,'Word Vectors'!A:A,0)&amp;":Z"&amp;MATCH($B$2,'Word Vectors'!A:A,0)),INDIRECT("'Word Vectors'!B"&amp;MATCH($B$2,'Word Vectors'!A:A,0)&amp;":Z"&amp;MATCH($B$2,'Word Vectors'!A:A,0))))*SQRT(SUMPRODUCT(INDIRECT("'Word Vectors'!B34:Z34"),INDIRECT("'Word Vectors'!B34:Z34")))))</f>
        <v/>
      </c>
      <c r="AK2">
        <f>IF(OR($B$2="",ISNA(MATCH($B$2,'Word Vectors'!A:A,0)),'Word Vectors'!A35=$B$2),"",SUMPRODUCT(INDIRECT("'Word Vectors'!B"&amp;MATCH($B$2,'Word Vectors'!A:A,0)&amp;":Z"&amp;MATCH($B$2,'Word Vectors'!A:A,0)),INDIRECT("'Word Vectors'!B35:Z35"))/(SQRT(SUMPRODUCT(INDIRECT("'Word Vectors'!B"&amp;MATCH($B$2,'Word Vectors'!A:A,0)&amp;":Z"&amp;MATCH($B$2,'Word Vectors'!A:A,0)),INDIRECT("'Word Vectors'!B"&amp;MATCH($B$2,'Word Vectors'!A:A,0)&amp;":Z"&amp;MATCH($B$2,'Word Vectors'!A:A,0))))*SQRT(SUMPRODUCT(INDIRECT("'Word Vectors'!B35:Z35"),INDIRECT("'Word Vectors'!B35:Z35")))))</f>
        <v/>
      </c>
      <c r="AL2">
        <f>IF(OR($B$2="",ISNA(MATCH($B$2,'Word Vectors'!A:A,0)),'Word Vectors'!A36=$B$2),"",SUMPRODUCT(INDIRECT("'Word Vectors'!B"&amp;MATCH($B$2,'Word Vectors'!A:A,0)&amp;":Z"&amp;MATCH($B$2,'Word Vectors'!A:A,0)),INDIRECT("'Word Vectors'!B36:Z36"))/(SQRT(SUMPRODUCT(INDIRECT("'Word Vectors'!B"&amp;MATCH($B$2,'Word Vectors'!A:A,0)&amp;":Z"&amp;MATCH($B$2,'Word Vectors'!A:A,0)),INDIRECT("'Word Vectors'!B"&amp;MATCH($B$2,'Word Vectors'!A:A,0)&amp;":Z"&amp;MATCH($B$2,'Word Vectors'!A:A,0))))*SQRT(SUMPRODUCT(INDIRECT("'Word Vectors'!B36:Z36"),INDIRECT("'Word Vectors'!B36:Z36")))))</f>
        <v/>
      </c>
      <c r="AM2">
        <f>IF(OR($B$2="",ISNA(MATCH($B$2,'Word Vectors'!A:A,0)),'Word Vectors'!A37=$B$2),"",SUMPRODUCT(INDIRECT("'Word Vectors'!B"&amp;MATCH($B$2,'Word Vectors'!A:A,0)&amp;":Z"&amp;MATCH($B$2,'Word Vectors'!A:A,0)),INDIRECT("'Word Vectors'!B37:Z37"))/(SQRT(SUMPRODUCT(INDIRECT("'Word Vectors'!B"&amp;MATCH($B$2,'Word Vectors'!A:A,0)&amp;":Z"&amp;MATCH($B$2,'Word Vectors'!A:A,0)),INDIRECT("'Word Vectors'!B"&amp;MATCH($B$2,'Word Vectors'!A:A,0)&amp;":Z"&amp;MATCH($B$2,'Word Vectors'!A:A,0))))*SQRT(SUMPRODUCT(INDIRECT("'Word Vectors'!B37:Z37"),INDIRECT("'Word Vectors'!B37:Z37")))))</f>
        <v/>
      </c>
      <c r="AN2">
        <f>IF(OR($B$2="",ISNA(MATCH($B$2,'Word Vectors'!A:A,0)),'Word Vectors'!A38=$B$2),"",SUMPRODUCT(INDIRECT("'Word Vectors'!B"&amp;MATCH($B$2,'Word Vectors'!A:A,0)&amp;":Z"&amp;MATCH($B$2,'Word Vectors'!A:A,0)),INDIRECT("'Word Vectors'!B38:Z38"))/(SQRT(SUMPRODUCT(INDIRECT("'Word Vectors'!B"&amp;MATCH($B$2,'Word Vectors'!A:A,0)&amp;":Z"&amp;MATCH($B$2,'Word Vectors'!A:A,0)),INDIRECT("'Word Vectors'!B"&amp;MATCH($B$2,'Word Vectors'!A:A,0)&amp;":Z"&amp;MATCH($B$2,'Word Vectors'!A:A,0))))*SQRT(SUMPRODUCT(INDIRECT("'Word Vectors'!B38:Z38"),INDIRECT("'Word Vectors'!B38:Z38")))))</f>
        <v/>
      </c>
      <c r="AO2">
        <f>IF(OR($B$2="",ISNA(MATCH($B$2,'Word Vectors'!A:A,0)),'Word Vectors'!A39=$B$2),"",SUMPRODUCT(INDIRECT("'Word Vectors'!B"&amp;MATCH($B$2,'Word Vectors'!A:A,0)&amp;":Z"&amp;MATCH($B$2,'Word Vectors'!A:A,0)),INDIRECT("'Word Vectors'!B39:Z39"))/(SQRT(SUMPRODUCT(INDIRECT("'Word Vectors'!B"&amp;MATCH($B$2,'Word Vectors'!A:A,0)&amp;":Z"&amp;MATCH($B$2,'Word Vectors'!A:A,0)),INDIRECT("'Word Vectors'!B"&amp;MATCH($B$2,'Word Vectors'!A:A,0)&amp;":Z"&amp;MATCH($B$2,'Word Vectors'!A:A,0))))*SQRT(SUMPRODUCT(INDIRECT("'Word Vectors'!B39:Z39"),INDIRECT("'Word Vectors'!B39:Z39")))))</f>
        <v/>
      </c>
      <c r="AP2">
        <f>IF(OR($B$2="",ISNA(MATCH($B$2,'Word Vectors'!A:A,0)),'Word Vectors'!A40=$B$2),"",SUMPRODUCT(INDIRECT("'Word Vectors'!B"&amp;MATCH($B$2,'Word Vectors'!A:A,0)&amp;":Z"&amp;MATCH($B$2,'Word Vectors'!A:A,0)),INDIRECT("'Word Vectors'!B40:Z40"))/(SQRT(SUMPRODUCT(INDIRECT("'Word Vectors'!B"&amp;MATCH($B$2,'Word Vectors'!A:A,0)&amp;":Z"&amp;MATCH($B$2,'Word Vectors'!A:A,0)),INDIRECT("'Word Vectors'!B"&amp;MATCH($B$2,'Word Vectors'!A:A,0)&amp;":Z"&amp;MATCH($B$2,'Word Vectors'!A:A,0))))*SQRT(SUMPRODUCT(INDIRECT("'Word Vectors'!B40:Z40"),INDIRECT("'Word Vectors'!B40:Z40")))))</f>
        <v/>
      </c>
      <c r="AQ2">
        <f>IF(OR($B$2="",ISNA(MATCH($B$2,'Word Vectors'!A:A,0)),'Word Vectors'!A41=$B$2),"",SUMPRODUCT(INDIRECT("'Word Vectors'!B"&amp;MATCH($B$2,'Word Vectors'!A:A,0)&amp;":Z"&amp;MATCH($B$2,'Word Vectors'!A:A,0)),INDIRECT("'Word Vectors'!B41:Z41"))/(SQRT(SUMPRODUCT(INDIRECT("'Word Vectors'!B"&amp;MATCH($B$2,'Word Vectors'!A:A,0)&amp;":Z"&amp;MATCH($B$2,'Word Vectors'!A:A,0)),INDIRECT("'Word Vectors'!B"&amp;MATCH($B$2,'Word Vectors'!A:A,0)&amp;":Z"&amp;MATCH($B$2,'Word Vectors'!A:A,0))))*SQRT(SUMPRODUCT(INDIRECT("'Word Vectors'!B41:Z41"),INDIRECT("'Word Vectors'!B41:Z41")))))</f>
        <v/>
      </c>
      <c r="AR2">
        <f>IF(OR($B$2="",ISNA(MATCH($B$2,'Word Vectors'!A:A,0)),'Word Vectors'!A42=$B$2),"",SUMPRODUCT(INDIRECT("'Word Vectors'!B"&amp;MATCH($B$2,'Word Vectors'!A:A,0)&amp;":Z"&amp;MATCH($B$2,'Word Vectors'!A:A,0)),INDIRECT("'Word Vectors'!B42:Z42"))/(SQRT(SUMPRODUCT(INDIRECT("'Word Vectors'!B"&amp;MATCH($B$2,'Word Vectors'!A:A,0)&amp;":Z"&amp;MATCH($B$2,'Word Vectors'!A:A,0)),INDIRECT("'Word Vectors'!B"&amp;MATCH($B$2,'Word Vectors'!A:A,0)&amp;":Z"&amp;MATCH($B$2,'Word Vectors'!A:A,0))))*SQRT(SUMPRODUCT(INDIRECT("'Word Vectors'!B42:Z42"),INDIRECT("'Word Vectors'!B42:Z42")))))</f>
        <v/>
      </c>
      <c r="AS2">
        <f>IF(OR($B$2="",ISNA(MATCH($B$2,'Word Vectors'!A:A,0)),'Word Vectors'!A43=$B$2),"",SUMPRODUCT(INDIRECT("'Word Vectors'!B"&amp;MATCH($B$2,'Word Vectors'!A:A,0)&amp;":Z"&amp;MATCH($B$2,'Word Vectors'!A:A,0)),INDIRECT("'Word Vectors'!B43:Z43"))/(SQRT(SUMPRODUCT(INDIRECT("'Word Vectors'!B"&amp;MATCH($B$2,'Word Vectors'!A:A,0)&amp;":Z"&amp;MATCH($B$2,'Word Vectors'!A:A,0)),INDIRECT("'Word Vectors'!B"&amp;MATCH($B$2,'Word Vectors'!A:A,0)&amp;":Z"&amp;MATCH($B$2,'Word Vectors'!A:A,0))))*SQRT(SUMPRODUCT(INDIRECT("'Word Vectors'!B43:Z43"),INDIRECT("'Word Vectors'!B43:Z43")))))</f>
        <v/>
      </c>
      <c r="AT2">
        <f>IF(OR($B$2="",ISNA(MATCH($B$2,'Word Vectors'!A:A,0)),'Word Vectors'!A44=$B$2),"",SUMPRODUCT(INDIRECT("'Word Vectors'!B"&amp;MATCH($B$2,'Word Vectors'!A:A,0)&amp;":Z"&amp;MATCH($B$2,'Word Vectors'!A:A,0)),INDIRECT("'Word Vectors'!B44:Z44"))/(SQRT(SUMPRODUCT(INDIRECT("'Word Vectors'!B"&amp;MATCH($B$2,'Word Vectors'!A:A,0)&amp;":Z"&amp;MATCH($B$2,'Word Vectors'!A:A,0)),INDIRECT("'Word Vectors'!B"&amp;MATCH($B$2,'Word Vectors'!A:A,0)&amp;":Z"&amp;MATCH($B$2,'Word Vectors'!A:A,0))))*SQRT(SUMPRODUCT(INDIRECT("'Word Vectors'!B44:Z44"),INDIRECT("'Word Vectors'!B44:Z44")))))</f>
        <v/>
      </c>
      <c r="AU2">
        <f>IF(OR($B$2="",ISNA(MATCH($B$2,'Word Vectors'!A:A,0)),'Word Vectors'!A45=$B$2),"",SUMPRODUCT(INDIRECT("'Word Vectors'!B"&amp;MATCH($B$2,'Word Vectors'!A:A,0)&amp;":Z"&amp;MATCH($B$2,'Word Vectors'!A:A,0)),INDIRECT("'Word Vectors'!B45:Z45"))/(SQRT(SUMPRODUCT(INDIRECT("'Word Vectors'!B"&amp;MATCH($B$2,'Word Vectors'!A:A,0)&amp;":Z"&amp;MATCH($B$2,'Word Vectors'!A:A,0)),INDIRECT("'Word Vectors'!B"&amp;MATCH($B$2,'Word Vectors'!A:A,0)&amp;":Z"&amp;MATCH($B$2,'Word Vectors'!A:A,0))))*SQRT(SUMPRODUCT(INDIRECT("'Word Vectors'!B45:Z45"),INDIRECT("'Word Vectors'!B45:Z45")))))</f>
        <v/>
      </c>
      <c r="AV2">
        <f>IF(OR($B$2="",ISNA(MATCH($B$2,'Word Vectors'!A:A,0)),'Word Vectors'!A46=$B$2),"",SUMPRODUCT(INDIRECT("'Word Vectors'!B"&amp;MATCH($B$2,'Word Vectors'!A:A,0)&amp;":Z"&amp;MATCH($B$2,'Word Vectors'!A:A,0)),INDIRECT("'Word Vectors'!B46:Z46"))/(SQRT(SUMPRODUCT(INDIRECT("'Word Vectors'!B"&amp;MATCH($B$2,'Word Vectors'!A:A,0)&amp;":Z"&amp;MATCH($B$2,'Word Vectors'!A:A,0)),INDIRECT("'Word Vectors'!B"&amp;MATCH($B$2,'Word Vectors'!A:A,0)&amp;":Z"&amp;MATCH($B$2,'Word Vectors'!A:A,0))))*SQRT(SUMPRODUCT(INDIRECT("'Word Vectors'!B46:Z46"),INDIRECT("'Word Vectors'!B46:Z46")))))</f>
        <v/>
      </c>
      <c r="AW2">
        <f>IF(OR($B$2="",ISNA(MATCH($B$2,'Word Vectors'!A:A,0)),'Word Vectors'!A47=$B$2),"",SUMPRODUCT(INDIRECT("'Word Vectors'!B"&amp;MATCH($B$2,'Word Vectors'!A:A,0)&amp;":Z"&amp;MATCH($B$2,'Word Vectors'!A:A,0)),INDIRECT("'Word Vectors'!B47:Z47"))/(SQRT(SUMPRODUCT(INDIRECT("'Word Vectors'!B"&amp;MATCH($B$2,'Word Vectors'!A:A,0)&amp;":Z"&amp;MATCH($B$2,'Word Vectors'!A:A,0)),INDIRECT("'Word Vectors'!B"&amp;MATCH($B$2,'Word Vectors'!A:A,0)&amp;":Z"&amp;MATCH($B$2,'Word Vectors'!A:A,0))))*SQRT(SUMPRODUCT(INDIRECT("'Word Vectors'!B47:Z47"),INDIRECT("'Word Vectors'!B47:Z47")))))</f>
        <v/>
      </c>
      <c r="AX2">
        <f>IF(OR($B$2="",ISNA(MATCH($B$2,'Word Vectors'!A:A,0)),'Word Vectors'!A48=$B$2),"",SUMPRODUCT(INDIRECT("'Word Vectors'!B"&amp;MATCH($B$2,'Word Vectors'!A:A,0)&amp;":Z"&amp;MATCH($B$2,'Word Vectors'!A:A,0)),INDIRECT("'Word Vectors'!B48:Z48"))/(SQRT(SUMPRODUCT(INDIRECT("'Word Vectors'!B"&amp;MATCH($B$2,'Word Vectors'!A:A,0)&amp;":Z"&amp;MATCH($B$2,'Word Vectors'!A:A,0)),INDIRECT("'Word Vectors'!B"&amp;MATCH($B$2,'Word Vectors'!A:A,0)&amp;":Z"&amp;MATCH($B$2,'Word Vectors'!A:A,0))))*SQRT(SUMPRODUCT(INDIRECT("'Word Vectors'!B48:Z48"),INDIRECT("'Word Vectors'!B48:Z48")))))</f>
        <v/>
      </c>
      <c r="AY2">
        <f>IF(OR($B$2="",ISNA(MATCH($B$2,'Word Vectors'!A:A,0)),'Word Vectors'!A49=$B$2),"",SUMPRODUCT(INDIRECT("'Word Vectors'!B"&amp;MATCH($B$2,'Word Vectors'!A:A,0)&amp;":Z"&amp;MATCH($B$2,'Word Vectors'!A:A,0)),INDIRECT("'Word Vectors'!B49:Z49"))/(SQRT(SUMPRODUCT(INDIRECT("'Word Vectors'!B"&amp;MATCH($B$2,'Word Vectors'!A:A,0)&amp;":Z"&amp;MATCH($B$2,'Word Vectors'!A:A,0)),INDIRECT("'Word Vectors'!B"&amp;MATCH($B$2,'Word Vectors'!A:A,0)&amp;":Z"&amp;MATCH($B$2,'Word Vectors'!A:A,0))))*SQRT(SUMPRODUCT(INDIRECT("'Word Vectors'!B49:Z49"),INDIRECT("'Word Vectors'!B49:Z49")))))</f>
        <v/>
      </c>
      <c r="AZ2">
        <f>IF(OR($B$2="",ISNA(MATCH($B$2,'Word Vectors'!A:A,0)),'Word Vectors'!A50=$B$2),"",SUMPRODUCT(INDIRECT("'Word Vectors'!B"&amp;MATCH($B$2,'Word Vectors'!A:A,0)&amp;":Z"&amp;MATCH($B$2,'Word Vectors'!A:A,0)),INDIRECT("'Word Vectors'!B50:Z50"))/(SQRT(SUMPRODUCT(INDIRECT("'Word Vectors'!B"&amp;MATCH($B$2,'Word Vectors'!A:A,0)&amp;":Z"&amp;MATCH($B$2,'Word Vectors'!A:A,0)),INDIRECT("'Word Vectors'!B"&amp;MATCH($B$2,'Word Vectors'!A:A,0)&amp;":Z"&amp;MATCH($B$2,'Word Vectors'!A:A,0))))*SQRT(SUMPRODUCT(INDIRECT("'Word Vectors'!B50:Z50"),INDIRECT("'Word Vectors'!B50:Z50")))))</f>
        <v/>
      </c>
      <c r="BA2">
        <f>IF(OR($B$2="",ISNA(MATCH($B$2,'Word Vectors'!A:A,0)),'Word Vectors'!A51=$B$2),"",SUMPRODUCT(INDIRECT("'Word Vectors'!B"&amp;MATCH($B$2,'Word Vectors'!A:A,0)&amp;":Z"&amp;MATCH($B$2,'Word Vectors'!A:A,0)),INDIRECT("'Word Vectors'!B51:Z51"))/(SQRT(SUMPRODUCT(INDIRECT("'Word Vectors'!B"&amp;MATCH($B$2,'Word Vectors'!A:A,0)&amp;":Z"&amp;MATCH($B$2,'Word Vectors'!A:A,0)),INDIRECT("'Word Vectors'!B"&amp;MATCH($B$2,'Word Vectors'!A:A,0)&amp;":Z"&amp;MATCH($B$2,'Word Vectors'!A:A,0))))*SQRT(SUMPRODUCT(INDIRECT("'Word Vectors'!B51:Z51"),INDIRECT("'Word Vectors'!B51:Z51")))))</f>
        <v/>
      </c>
      <c r="BB2">
        <f>IF(OR($B$2="",ISNA(MATCH($B$2,'Word Vectors'!A:A,0)),'Word Vectors'!A52=$B$2),"",SUMPRODUCT(INDIRECT("'Word Vectors'!B"&amp;MATCH($B$2,'Word Vectors'!A:A,0)&amp;":Z"&amp;MATCH($B$2,'Word Vectors'!A:A,0)),INDIRECT("'Word Vectors'!B52:Z52"))/(SQRT(SUMPRODUCT(INDIRECT("'Word Vectors'!B"&amp;MATCH($B$2,'Word Vectors'!A:A,0)&amp;":Z"&amp;MATCH($B$2,'Word Vectors'!A:A,0)),INDIRECT("'Word Vectors'!B"&amp;MATCH($B$2,'Word Vectors'!A:A,0)&amp;":Z"&amp;MATCH($B$2,'Word Vectors'!A:A,0))))*SQRT(SUMPRODUCT(INDIRECT("'Word Vectors'!B52:Z52"),INDIRECT("'Word Vectors'!B52:Z52")))))</f>
        <v/>
      </c>
      <c r="BC2">
        <f>IF(OR($B$2="",ISNA(MATCH($B$2,'Word Vectors'!A:A,0)),'Word Vectors'!A53=$B$2),"",SUMPRODUCT(INDIRECT("'Word Vectors'!B"&amp;MATCH($B$2,'Word Vectors'!A:A,0)&amp;":Z"&amp;MATCH($B$2,'Word Vectors'!A:A,0)),INDIRECT("'Word Vectors'!B53:Z53"))/(SQRT(SUMPRODUCT(INDIRECT("'Word Vectors'!B"&amp;MATCH($B$2,'Word Vectors'!A:A,0)&amp;":Z"&amp;MATCH($B$2,'Word Vectors'!A:A,0)),INDIRECT("'Word Vectors'!B"&amp;MATCH($B$2,'Word Vectors'!A:A,0)&amp;":Z"&amp;MATCH($B$2,'Word Vectors'!A:A,0))))*SQRT(SUMPRODUCT(INDIRECT("'Word Vectors'!B53:Z53"),INDIRECT("'Word Vectors'!B53:Z53")))))</f>
        <v/>
      </c>
      <c r="BD2">
        <f>IF(OR($B$2="",ISNA(MATCH($B$2,'Word Vectors'!A:A,0)),'Word Vectors'!A54=$B$2),"",SUMPRODUCT(INDIRECT("'Word Vectors'!B"&amp;MATCH($B$2,'Word Vectors'!A:A,0)&amp;":Z"&amp;MATCH($B$2,'Word Vectors'!A:A,0)),INDIRECT("'Word Vectors'!B54:Z54"))/(SQRT(SUMPRODUCT(INDIRECT("'Word Vectors'!B"&amp;MATCH($B$2,'Word Vectors'!A:A,0)&amp;":Z"&amp;MATCH($B$2,'Word Vectors'!A:A,0)),INDIRECT("'Word Vectors'!B"&amp;MATCH($B$2,'Word Vectors'!A:A,0)&amp;":Z"&amp;MATCH($B$2,'Word Vectors'!A:A,0))))*SQRT(SUMPRODUCT(INDIRECT("'Word Vectors'!B54:Z54"),INDIRECT("'Word Vectors'!B54:Z54")))))</f>
        <v/>
      </c>
      <c r="BE2">
        <f>IF(OR($B$2="",ISNA(MATCH($B$2,'Word Vectors'!A:A,0)),'Word Vectors'!A55=$B$2),"",SUMPRODUCT(INDIRECT("'Word Vectors'!B"&amp;MATCH($B$2,'Word Vectors'!A:A,0)&amp;":Z"&amp;MATCH($B$2,'Word Vectors'!A:A,0)),INDIRECT("'Word Vectors'!B55:Z55"))/(SQRT(SUMPRODUCT(INDIRECT("'Word Vectors'!B"&amp;MATCH($B$2,'Word Vectors'!A:A,0)&amp;":Z"&amp;MATCH($B$2,'Word Vectors'!A:A,0)),INDIRECT("'Word Vectors'!B"&amp;MATCH($B$2,'Word Vectors'!A:A,0)&amp;":Z"&amp;MATCH($B$2,'Word Vectors'!A:A,0))))*SQRT(SUMPRODUCT(INDIRECT("'Word Vectors'!B55:Z55"),INDIRECT("'Word Vectors'!B55:Z55")))))</f>
        <v/>
      </c>
      <c r="BF2">
        <f>IF(OR($B$2="",ISNA(MATCH($B$2,'Word Vectors'!A:A,0)),'Word Vectors'!A56=$B$2),"",SUMPRODUCT(INDIRECT("'Word Vectors'!B"&amp;MATCH($B$2,'Word Vectors'!A:A,0)&amp;":Z"&amp;MATCH($B$2,'Word Vectors'!A:A,0)),INDIRECT("'Word Vectors'!B56:Z56"))/(SQRT(SUMPRODUCT(INDIRECT("'Word Vectors'!B"&amp;MATCH($B$2,'Word Vectors'!A:A,0)&amp;":Z"&amp;MATCH($B$2,'Word Vectors'!A:A,0)),INDIRECT("'Word Vectors'!B"&amp;MATCH($B$2,'Word Vectors'!A:A,0)&amp;":Z"&amp;MATCH($B$2,'Word Vectors'!A:A,0))))*SQRT(SUMPRODUCT(INDIRECT("'Word Vectors'!B56:Z56"),INDIRECT("'Word Vectors'!B56:Z56")))))</f>
        <v/>
      </c>
      <c r="BG2">
        <f>IF(OR($B$2="",ISNA(MATCH($B$2,'Word Vectors'!A:A,0)),'Word Vectors'!A57=$B$2),"",SUMPRODUCT(INDIRECT("'Word Vectors'!B"&amp;MATCH($B$2,'Word Vectors'!A:A,0)&amp;":Z"&amp;MATCH($B$2,'Word Vectors'!A:A,0)),INDIRECT("'Word Vectors'!B57:Z57"))/(SQRT(SUMPRODUCT(INDIRECT("'Word Vectors'!B"&amp;MATCH($B$2,'Word Vectors'!A:A,0)&amp;":Z"&amp;MATCH($B$2,'Word Vectors'!A:A,0)),INDIRECT("'Word Vectors'!B"&amp;MATCH($B$2,'Word Vectors'!A:A,0)&amp;":Z"&amp;MATCH($B$2,'Word Vectors'!A:A,0))))*SQRT(SUMPRODUCT(INDIRECT("'Word Vectors'!B57:Z57"),INDIRECT("'Word Vectors'!B57:Z57")))))</f>
        <v/>
      </c>
      <c r="BH2">
        <f>IF(OR($B$2="",ISNA(MATCH($B$2,'Word Vectors'!A:A,0)),'Word Vectors'!A58=$B$2),"",SUMPRODUCT(INDIRECT("'Word Vectors'!B"&amp;MATCH($B$2,'Word Vectors'!A:A,0)&amp;":Z"&amp;MATCH($B$2,'Word Vectors'!A:A,0)),INDIRECT("'Word Vectors'!B58:Z58"))/(SQRT(SUMPRODUCT(INDIRECT("'Word Vectors'!B"&amp;MATCH($B$2,'Word Vectors'!A:A,0)&amp;":Z"&amp;MATCH($B$2,'Word Vectors'!A:A,0)),INDIRECT("'Word Vectors'!B"&amp;MATCH($B$2,'Word Vectors'!A:A,0)&amp;":Z"&amp;MATCH($B$2,'Word Vectors'!A:A,0))))*SQRT(SUMPRODUCT(INDIRECT("'Word Vectors'!B58:Z58"),INDIRECT("'Word Vectors'!B58:Z58")))))</f>
        <v/>
      </c>
      <c r="BI2">
        <f>IF(OR($B$2="",ISNA(MATCH($B$2,'Word Vectors'!A:A,0)),'Word Vectors'!A59=$B$2),"",SUMPRODUCT(INDIRECT("'Word Vectors'!B"&amp;MATCH($B$2,'Word Vectors'!A:A,0)&amp;":Z"&amp;MATCH($B$2,'Word Vectors'!A:A,0)),INDIRECT("'Word Vectors'!B59:Z59"))/(SQRT(SUMPRODUCT(INDIRECT("'Word Vectors'!B"&amp;MATCH($B$2,'Word Vectors'!A:A,0)&amp;":Z"&amp;MATCH($B$2,'Word Vectors'!A:A,0)),INDIRECT("'Word Vectors'!B"&amp;MATCH($B$2,'Word Vectors'!A:A,0)&amp;":Z"&amp;MATCH($B$2,'Word Vectors'!A:A,0))))*SQRT(SUMPRODUCT(INDIRECT("'Word Vectors'!B59:Z59"),INDIRECT("'Word Vectors'!B59:Z59")))))</f>
        <v/>
      </c>
      <c r="BJ2">
        <f>IF(OR($B$2="",ISNA(MATCH($B$2,'Word Vectors'!A:A,0)),'Word Vectors'!A60=$B$2),"",SUMPRODUCT(INDIRECT("'Word Vectors'!B"&amp;MATCH($B$2,'Word Vectors'!A:A,0)&amp;":Z"&amp;MATCH($B$2,'Word Vectors'!A:A,0)),INDIRECT("'Word Vectors'!B60:Z60"))/(SQRT(SUMPRODUCT(INDIRECT("'Word Vectors'!B"&amp;MATCH($B$2,'Word Vectors'!A:A,0)&amp;":Z"&amp;MATCH($B$2,'Word Vectors'!A:A,0)),INDIRECT("'Word Vectors'!B"&amp;MATCH($B$2,'Word Vectors'!A:A,0)&amp;":Z"&amp;MATCH($B$2,'Word Vectors'!A:A,0))))*SQRT(SUMPRODUCT(INDIRECT("'Word Vectors'!B60:Z60"),INDIRECT("'Word Vectors'!B60:Z60")))))</f>
        <v/>
      </c>
      <c r="BK2">
        <f>IF(OR($B$2="",ISNA(MATCH($B$2,'Word Vectors'!A:A,0)),'Word Vectors'!A61=$B$2),"",SUMPRODUCT(INDIRECT("'Word Vectors'!B"&amp;MATCH($B$2,'Word Vectors'!A:A,0)&amp;":Z"&amp;MATCH($B$2,'Word Vectors'!A:A,0)),INDIRECT("'Word Vectors'!B61:Z61"))/(SQRT(SUMPRODUCT(INDIRECT("'Word Vectors'!B"&amp;MATCH($B$2,'Word Vectors'!A:A,0)&amp;":Z"&amp;MATCH($B$2,'Word Vectors'!A:A,0)),INDIRECT("'Word Vectors'!B"&amp;MATCH($B$2,'Word Vectors'!A:A,0)&amp;":Z"&amp;MATCH($B$2,'Word Vectors'!A:A,0))))*SQRT(SUMPRODUCT(INDIRECT("'Word Vectors'!B61:Z61"),INDIRECT("'Word Vectors'!B61:Z61")))))</f>
        <v/>
      </c>
      <c r="BL2">
        <f>IF(OR($B$2="",ISNA(MATCH($B$2,'Word Vectors'!A:A,0)),'Word Vectors'!A62=$B$2),"",SUMPRODUCT(INDIRECT("'Word Vectors'!B"&amp;MATCH($B$2,'Word Vectors'!A:A,0)&amp;":Z"&amp;MATCH($B$2,'Word Vectors'!A:A,0)),INDIRECT("'Word Vectors'!B62:Z62"))/(SQRT(SUMPRODUCT(INDIRECT("'Word Vectors'!B"&amp;MATCH($B$2,'Word Vectors'!A:A,0)&amp;":Z"&amp;MATCH($B$2,'Word Vectors'!A:A,0)),INDIRECT("'Word Vectors'!B"&amp;MATCH($B$2,'Word Vectors'!A:A,0)&amp;":Z"&amp;MATCH($B$2,'Word Vectors'!A:A,0))))*SQRT(SUMPRODUCT(INDIRECT("'Word Vectors'!B62:Z62"),INDIRECT("'Word Vectors'!B62:Z62")))))</f>
        <v/>
      </c>
      <c r="BM2">
        <f>IF(OR($B$2="",ISNA(MATCH($B$2,'Word Vectors'!A:A,0)),'Word Vectors'!A63=$B$2),"",SUMPRODUCT(INDIRECT("'Word Vectors'!B"&amp;MATCH($B$2,'Word Vectors'!A:A,0)&amp;":Z"&amp;MATCH($B$2,'Word Vectors'!A:A,0)),INDIRECT("'Word Vectors'!B63:Z63"))/(SQRT(SUMPRODUCT(INDIRECT("'Word Vectors'!B"&amp;MATCH($B$2,'Word Vectors'!A:A,0)&amp;":Z"&amp;MATCH($B$2,'Word Vectors'!A:A,0)),INDIRECT("'Word Vectors'!B"&amp;MATCH($B$2,'Word Vectors'!A:A,0)&amp;":Z"&amp;MATCH($B$2,'Word Vectors'!A:A,0))))*SQRT(SUMPRODUCT(INDIRECT("'Word Vectors'!B63:Z63"),INDIRECT("'Word Vectors'!B63:Z63")))))</f>
        <v/>
      </c>
      <c r="BN2">
        <f>IF(OR($B$2="",ISNA(MATCH($B$2,'Word Vectors'!A:A,0)),'Word Vectors'!A64=$B$2),"",SUMPRODUCT(INDIRECT("'Word Vectors'!B"&amp;MATCH($B$2,'Word Vectors'!A:A,0)&amp;":Z"&amp;MATCH($B$2,'Word Vectors'!A:A,0)),INDIRECT("'Word Vectors'!B64:Z64"))/(SQRT(SUMPRODUCT(INDIRECT("'Word Vectors'!B"&amp;MATCH($B$2,'Word Vectors'!A:A,0)&amp;":Z"&amp;MATCH($B$2,'Word Vectors'!A:A,0)),INDIRECT("'Word Vectors'!B"&amp;MATCH($B$2,'Word Vectors'!A:A,0)&amp;":Z"&amp;MATCH($B$2,'Word Vectors'!A:A,0))))*SQRT(SUMPRODUCT(INDIRECT("'Word Vectors'!B64:Z64"),INDIRECT("'Word Vectors'!B64:Z64")))))</f>
        <v/>
      </c>
      <c r="BO2">
        <f>IF(OR($B$2="",ISNA(MATCH($B$2,'Word Vectors'!A:A,0)),'Word Vectors'!A65=$B$2),"",SUMPRODUCT(INDIRECT("'Word Vectors'!B"&amp;MATCH($B$2,'Word Vectors'!A:A,0)&amp;":Z"&amp;MATCH($B$2,'Word Vectors'!A:A,0)),INDIRECT("'Word Vectors'!B65:Z65"))/(SQRT(SUMPRODUCT(INDIRECT("'Word Vectors'!B"&amp;MATCH($B$2,'Word Vectors'!A:A,0)&amp;":Z"&amp;MATCH($B$2,'Word Vectors'!A:A,0)),INDIRECT("'Word Vectors'!B"&amp;MATCH($B$2,'Word Vectors'!A:A,0)&amp;":Z"&amp;MATCH($B$2,'Word Vectors'!A:A,0))))*SQRT(SUMPRODUCT(INDIRECT("'Word Vectors'!B65:Z65"),INDIRECT("'Word Vectors'!B65:Z65")))))</f>
        <v/>
      </c>
      <c r="BP2">
        <f>IF(OR($B$2="",ISNA(MATCH($B$2,'Word Vectors'!A:A,0)),'Word Vectors'!A66=$B$2),"",SUMPRODUCT(INDIRECT("'Word Vectors'!B"&amp;MATCH($B$2,'Word Vectors'!A:A,0)&amp;":Z"&amp;MATCH($B$2,'Word Vectors'!A:A,0)),INDIRECT("'Word Vectors'!B66:Z66"))/(SQRT(SUMPRODUCT(INDIRECT("'Word Vectors'!B"&amp;MATCH($B$2,'Word Vectors'!A:A,0)&amp;":Z"&amp;MATCH($B$2,'Word Vectors'!A:A,0)),INDIRECT("'Word Vectors'!B"&amp;MATCH($B$2,'Word Vectors'!A:A,0)&amp;":Z"&amp;MATCH($B$2,'Word Vectors'!A:A,0))))*SQRT(SUMPRODUCT(INDIRECT("'Word Vectors'!B66:Z66"),INDIRECT("'Word Vectors'!B66:Z66")))))</f>
        <v/>
      </c>
      <c r="BQ2">
        <f>IF(OR($B$2="",ISNA(MATCH($B$2,'Word Vectors'!A:A,0)),'Word Vectors'!A67=$B$2),"",SUMPRODUCT(INDIRECT("'Word Vectors'!B"&amp;MATCH($B$2,'Word Vectors'!A:A,0)&amp;":Z"&amp;MATCH($B$2,'Word Vectors'!A:A,0)),INDIRECT("'Word Vectors'!B67:Z67"))/(SQRT(SUMPRODUCT(INDIRECT("'Word Vectors'!B"&amp;MATCH($B$2,'Word Vectors'!A:A,0)&amp;":Z"&amp;MATCH($B$2,'Word Vectors'!A:A,0)),INDIRECT("'Word Vectors'!B"&amp;MATCH($B$2,'Word Vectors'!A:A,0)&amp;":Z"&amp;MATCH($B$2,'Word Vectors'!A:A,0))))*SQRT(SUMPRODUCT(INDIRECT("'Word Vectors'!B67:Z67"),INDIRECT("'Word Vectors'!B67:Z67")))))</f>
        <v/>
      </c>
      <c r="BR2">
        <f>IF(OR($B$2="",ISNA(MATCH($B$2,'Word Vectors'!A:A,0)),'Word Vectors'!A68=$B$2),"",SUMPRODUCT(INDIRECT("'Word Vectors'!B"&amp;MATCH($B$2,'Word Vectors'!A:A,0)&amp;":Z"&amp;MATCH($B$2,'Word Vectors'!A:A,0)),INDIRECT("'Word Vectors'!B68:Z68"))/(SQRT(SUMPRODUCT(INDIRECT("'Word Vectors'!B"&amp;MATCH($B$2,'Word Vectors'!A:A,0)&amp;":Z"&amp;MATCH($B$2,'Word Vectors'!A:A,0)),INDIRECT("'Word Vectors'!B"&amp;MATCH($B$2,'Word Vectors'!A:A,0)&amp;":Z"&amp;MATCH($B$2,'Word Vectors'!A:A,0))))*SQRT(SUMPRODUCT(INDIRECT("'Word Vectors'!B68:Z68"),INDIRECT("'Word Vectors'!B68:Z68")))))</f>
        <v/>
      </c>
      <c r="BS2">
        <f>IF(OR($B$2="",ISNA(MATCH($B$2,'Word Vectors'!A:A,0)),'Word Vectors'!A69=$B$2),"",SUMPRODUCT(INDIRECT("'Word Vectors'!B"&amp;MATCH($B$2,'Word Vectors'!A:A,0)&amp;":Z"&amp;MATCH($B$2,'Word Vectors'!A:A,0)),INDIRECT("'Word Vectors'!B69:Z69"))/(SQRT(SUMPRODUCT(INDIRECT("'Word Vectors'!B"&amp;MATCH($B$2,'Word Vectors'!A:A,0)&amp;":Z"&amp;MATCH($B$2,'Word Vectors'!A:A,0)),INDIRECT("'Word Vectors'!B"&amp;MATCH($B$2,'Word Vectors'!A:A,0)&amp;":Z"&amp;MATCH($B$2,'Word Vectors'!A:A,0))))*SQRT(SUMPRODUCT(INDIRECT("'Word Vectors'!B69:Z69"),INDIRECT("'Word Vectors'!B69:Z69")))))</f>
        <v/>
      </c>
      <c r="BT2">
        <f>IF(OR($B$2="",ISNA(MATCH($B$2,'Word Vectors'!A:A,0)),'Word Vectors'!A70=$B$2),"",SUMPRODUCT(INDIRECT("'Word Vectors'!B"&amp;MATCH($B$2,'Word Vectors'!A:A,0)&amp;":Z"&amp;MATCH($B$2,'Word Vectors'!A:A,0)),INDIRECT("'Word Vectors'!B70:Z70"))/(SQRT(SUMPRODUCT(INDIRECT("'Word Vectors'!B"&amp;MATCH($B$2,'Word Vectors'!A:A,0)&amp;":Z"&amp;MATCH($B$2,'Word Vectors'!A:A,0)),INDIRECT("'Word Vectors'!B"&amp;MATCH($B$2,'Word Vectors'!A:A,0)&amp;":Z"&amp;MATCH($B$2,'Word Vectors'!A:A,0))))*SQRT(SUMPRODUCT(INDIRECT("'Word Vectors'!B70:Z70"),INDIRECT("'Word Vectors'!B70:Z70")))))</f>
        <v/>
      </c>
      <c r="BU2">
        <f>IF(OR($B$2="",ISNA(MATCH($B$2,'Word Vectors'!A:A,0)),'Word Vectors'!A71=$B$2),"",SUMPRODUCT(INDIRECT("'Word Vectors'!B"&amp;MATCH($B$2,'Word Vectors'!A:A,0)&amp;":Z"&amp;MATCH($B$2,'Word Vectors'!A:A,0)),INDIRECT("'Word Vectors'!B71:Z71"))/(SQRT(SUMPRODUCT(INDIRECT("'Word Vectors'!B"&amp;MATCH($B$2,'Word Vectors'!A:A,0)&amp;":Z"&amp;MATCH($B$2,'Word Vectors'!A:A,0)),INDIRECT("'Word Vectors'!B"&amp;MATCH($B$2,'Word Vectors'!A:A,0)&amp;":Z"&amp;MATCH($B$2,'Word Vectors'!A:A,0))))*SQRT(SUMPRODUCT(INDIRECT("'Word Vectors'!B71:Z71"),INDIRECT("'Word Vectors'!B71:Z71")))))</f>
        <v/>
      </c>
      <c r="BV2">
        <f>IF(OR($B$2="",ISNA(MATCH($B$2,'Word Vectors'!A:A,0)),'Word Vectors'!A72=$B$2),"",SUMPRODUCT(INDIRECT("'Word Vectors'!B"&amp;MATCH($B$2,'Word Vectors'!A:A,0)&amp;":Z"&amp;MATCH($B$2,'Word Vectors'!A:A,0)),INDIRECT("'Word Vectors'!B72:Z72"))/(SQRT(SUMPRODUCT(INDIRECT("'Word Vectors'!B"&amp;MATCH($B$2,'Word Vectors'!A:A,0)&amp;":Z"&amp;MATCH($B$2,'Word Vectors'!A:A,0)),INDIRECT("'Word Vectors'!B"&amp;MATCH($B$2,'Word Vectors'!A:A,0)&amp;":Z"&amp;MATCH($B$2,'Word Vectors'!A:A,0))))*SQRT(SUMPRODUCT(INDIRECT("'Word Vectors'!B72:Z72"),INDIRECT("'Word Vectors'!B72:Z72")))))</f>
        <v/>
      </c>
      <c r="BW2">
        <f>IF(OR($B$2="",ISNA(MATCH($B$2,'Word Vectors'!A:A,0)),'Word Vectors'!A73=$B$2),"",SUMPRODUCT(INDIRECT("'Word Vectors'!B"&amp;MATCH($B$2,'Word Vectors'!A:A,0)&amp;":Z"&amp;MATCH($B$2,'Word Vectors'!A:A,0)),INDIRECT("'Word Vectors'!B73:Z73"))/(SQRT(SUMPRODUCT(INDIRECT("'Word Vectors'!B"&amp;MATCH($B$2,'Word Vectors'!A:A,0)&amp;":Z"&amp;MATCH($B$2,'Word Vectors'!A:A,0)),INDIRECT("'Word Vectors'!B"&amp;MATCH($B$2,'Word Vectors'!A:A,0)&amp;":Z"&amp;MATCH($B$2,'Word Vectors'!A:A,0))))*SQRT(SUMPRODUCT(INDIRECT("'Word Vectors'!B73:Z73"),INDIRECT("'Word Vectors'!B73:Z73")))))</f>
        <v/>
      </c>
      <c r="BX2">
        <f>IF(OR($B$2="",ISNA(MATCH($B$2,'Word Vectors'!A:A,0)),'Word Vectors'!A74=$B$2),"",SUMPRODUCT(INDIRECT("'Word Vectors'!B"&amp;MATCH($B$2,'Word Vectors'!A:A,0)&amp;":Z"&amp;MATCH($B$2,'Word Vectors'!A:A,0)),INDIRECT("'Word Vectors'!B74:Z74"))/(SQRT(SUMPRODUCT(INDIRECT("'Word Vectors'!B"&amp;MATCH($B$2,'Word Vectors'!A:A,0)&amp;":Z"&amp;MATCH($B$2,'Word Vectors'!A:A,0)),INDIRECT("'Word Vectors'!B"&amp;MATCH($B$2,'Word Vectors'!A:A,0)&amp;":Z"&amp;MATCH($B$2,'Word Vectors'!A:A,0))))*SQRT(SUMPRODUCT(INDIRECT("'Word Vectors'!B74:Z74"),INDIRECT("'Word Vectors'!B74:Z74")))))</f>
        <v/>
      </c>
      <c r="BY2">
        <f>IF(OR($B$2="",ISNA(MATCH($B$2,'Word Vectors'!A:A,0)),'Word Vectors'!A75=$B$2),"",SUMPRODUCT(INDIRECT("'Word Vectors'!B"&amp;MATCH($B$2,'Word Vectors'!A:A,0)&amp;":Z"&amp;MATCH($B$2,'Word Vectors'!A:A,0)),INDIRECT("'Word Vectors'!B75:Z75"))/(SQRT(SUMPRODUCT(INDIRECT("'Word Vectors'!B"&amp;MATCH($B$2,'Word Vectors'!A:A,0)&amp;":Z"&amp;MATCH($B$2,'Word Vectors'!A:A,0)),INDIRECT("'Word Vectors'!B"&amp;MATCH($B$2,'Word Vectors'!A:A,0)&amp;":Z"&amp;MATCH($B$2,'Word Vectors'!A:A,0))))*SQRT(SUMPRODUCT(INDIRECT("'Word Vectors'!B75:Z75"),INDIRECT("'Word Vectors'!B75:Z75")))))</f>
        <v/>
      </c>
      <c r="BZ2">
        <f>IF(OR($B$2="",ISNA(MATCH($B$2,'Word Vectors'!A:A,0)),'Word Vectors'!A76=$B$2),"",SUMPRODUCT(INDIRECT("'Word Vectors'!B"&amp;MATCH($B$2,'Word Vectors'!A:A,0)&amp;":Z"&amp;MATCH($B$2,'Word Vectors'!A:A,0)),INDIRECT("'Word Vectors'!B76:Z76"))/(SQRT(SUMPRODUCT(INDIRECT("'Word Vectors'!B"&amp;MATCH($B$2,'Word Vectors'!A:A,0)&amp;":Z"&amp;MATCH($B$2,'Word Vectors'!A:A,0)),INDIRECT("'Word Vectors'!B"&amp;MATCH($B$2,'Word Vectors'!A:A,0)&amp;":Z"&amp;MATCH($B$2,'Word Vectors'!A:A,0))))*SQRT(SUMPRODUCT(INDIRECT("'Word Vectors'!B76:Z76"),INDIRECT("'Word Vectors'!B76:Z76")))))</f>
        <v/>
      </c>
      <c r="CA2">
        <f>IF(OR($B$2="",ISNA(MATCH($B$2,'Word Vectors'!A:A,0)),'Word Vectors'!A77=$B$2),"",SUMPRODUCT(INDIRECT("'Word Vectors'!B"&amp;MATCH($B$2,'Word Vectors'!A:A,0)&amp;":Z"&amp;MATCH($B$2,'Word Vectors'!A:A,0)),INDIRECT("'Word Vectors'!B77:Z77"))/(SQRT(SUMPRODUCT(INDIRECT("'Word Vectors'!B"&amp;MATCH($B$2,'Word Vectors'!A:A,0)&amp;":Z"&amp;MATCH($B$2,'Word Vectors'!A:A,0)),INDIRECT("'Word Vectors'!B"&amp;MATCH($B$2,'Word Vectors'!A:A,0)&amp;":Z"&amp;MATCH($B$2,'Word Vectors'!A:A,0))))*SQRT(SUMPRODUCT(INDIRECT("'Word Vectors'!B77:Z77"),INDIRECT("'Word Vectors'!B77:Z77")))))</f>
        <v/>
      </c>
      <c r="CB2">
        <f>IF(OR($B$2="",ISNA(MATCH($B$2,'Word Vectors'!A:A,0)),'Word Vectors'!A78=$B$2),"",SUMPRODUCT(INDIRECT("'Word Vectors'!B"&amp;MATCH($B$2,'Word Vectors'!A:A,0)&amp;":Z"&amp;MATCH($B$2,'Word Vectors'!A:A,0)),INDIRECT("'Word Vectors'!B78:Z78"))/(SQRT(SUMPRODUCT(INDIRECT("'Word Vectors'!B"&amp;MATCH($B$2,'Word Vectors'!A:A,0)&amp;":Z"&amp;MATCH($B$2,'Word Vectors'!A:A,0)),INDIRECT("'Word Vectors'!B"&amp;MATCH($B$2,'Word Vectors'!A:A,0)&amp;":Z"&amp;MATCH($B$2,'Word Vectors'!A:A,0))))*SQRT(SUMPRODUCT(INDIRECT("'Word Vectors'!B78:Z78"),INDIRECT("'Word Vectors'!B78:Z78")))))</f>
        <v/>
      </c>
      <c r="CC2">
        <f>IF(OR($B$2="",ISNA(MATCH($B$2,'Word Vectors'!A:A,0)),'Word Vectors'!A79=$B$2),"",SUMPRODUCT(INDIRECT("'Word Vectors'!B"&amp;MATCH($B$2,'Word Vectors'!A:A,0)&amp;":Z"&amp;MATCH($B$2,'Word Vectors'!A:A,0)),INDIRECT("'Word Vectors'!B79:Z79"))/(SQRT(SUMPRODUCT(INDIRECT("'Word Vectors'!B"&amp;MATCH($B$2,'Word Vectors'!A:A,0)&amp;":Z"&amp;MATCH($B$2,'Word Vectors'!A:A,0)),INDIRECT("'Word Vectors'!B"&amp;MATCH($B$2,'Word Vectors'!A:A,0)&amp;":Z"&amp;MATCH($B$2,'Word Vectors'!A:A,0))))*SQRT(SUMPRODUCT(INDIRECT("'Word Vectors'!B79:Z79"),INDIRECT("'Word Vectors'!B79:Z79")))))</f>
        <v/>
      </c>
      <c r="CD2">
        <f>IF(OR($B$2="",ISNA(MATCH($B$2,'Word Vectors'!A:A,0)),'Word Vectors'!A80=$B$2),"",SUMPRODUCT(INDIRECT("'Word Vectors'!B"&amp;MATCH($B$2,'Word Vectors'!A:A,0)&amp;":Z"&amp;MATCH($B$2,'Word Vectors'!A:A,0)),INDIRECT("'Word Vectors'!B80:Z80"))/(SQRT(SUMPRODUCT(INDIRECT("'Word Vectors'!B"&amp;MATCH($B$2,'Word Vectors'!A:A,0)&amp;":Z"&amp;MATCH($B$2,'Word Vectors'!A:A,0)),INDIRECT("'Word Vectors'!B"&amp;MATCH($B$2,'Word Vectors'!A:A,0)&amp;":Z"&amp;MATCH($B$2,'Word Vectors'!A:A,0))))*SQRT(SUMPRODUCT(INDIRECT("'Word Vectors'!B80:Z80"),INDIRECT("'Word Vectors'!B80:Z80")))))</f>
        <v/>
      </c>
      <c r="CE2">
        <f>IF(OR($B$2="",ISNA(MATCH($B$2,'Word Vectors'!A:A,0)),'Word Vectors'!A81=$B$2),"",SUMPRODUCT(INDIRECT("'Word Vectors'!B"&amp;MATCH($B$2,'Word Vectors'!A:A,0)&amp;":Z"&amp;MATCH($B$2,'Word Vectors'!A:A,0)),INDIRECT("'Word Vectors'!B81:Z81"))/(SQRT(SUMPRODUCT(INDIRECT("'Word Vectors'!B"&amp;MATCH($B$2,'Word Vectors'!A:A,0)&amp;":Z"&amp;MATCH($B$2,'Word Vectors'!A:A,0)),INDIRECT("'Word Vectors'!B"&amp;MATCH($B$2,'Word Vectors'!A:A,0)&amp;":Z"&amp;MATCH($B$2,'Word Vectors'!A:A,0))))*SQRT(SUMPRODUCT(INDIRECT("'Word Vectors'!B81:Z81"),INDIRECT("'Word Vectors'!B81:Z81")))))</f>
        <v/>
      </c>
      <c r="CF2">
        <f>IF(OR($B$2="",ISNA(MATCH($B$2,'Word Vectors'!A:A,0)),'Word Vectors'!A82=$B$2),"",SUMPRODUCT(INDIRECT("'Word Vectors'!B"&amp;MATCH($B$2,'Word Vectors'!A:A,0)&amp;":Z"&amp;MATCH($B$2,'Word Vectors'!A:A,0)),INDIRECT("'Word Vectors'!B82:Z82"))/(SQRT(SUMPRODUCT(INDIRECT("'Word Vectors'!B"&amp;MATCH($B$2,'Word Vectors'!A:A,0)&amp;":Z"&amp;MATCH($B$2,'Word Vectors'!A:A,0)),INDIRECT("'Word Vectors'!B"&amp;MATCH($B$2,'Word Vectors'!A:A,0)&amp;":Z"&amp;MATCH($B$2,'Word Vectors'!A:A,0))))*SQRT(SUMPRODUCT(INDIRECT("'Word Vectors'!B82:Z82"),INDIRECT("'Word Vectors'!B82:Z82")))))</f>
        <v/>
      </c>
      <c r="CG2">
        <f>IF(OR($B$2="",ISNA(MATCH($B$2,'Word Vectors'!A:A,0)),'Word Vectors'!A83=$B$2),"",SUMPRODUCT(INDIRECT("'Word Vectors'!B"&amp;MATCH($B$2,'Word Vectors'!A:A,0)&amp;":Z"&amp;MATCH($B$2,'Word Vectors'!A:A,0)),INDIRECT("'Word Vectors'!B83:Z83"))/(SQRT(SUMPRODUCT(INDIRECT("'Word Vectors'!B"&amp;MATCH($B$2,'Word Vectors'!A:A,0)&amp;":Z"&amp;MATCH($B$2,'Word Vectors'!A:A,0)),INDIRECT("'Word Vectors'!B"&amp;MATCH($B$2,'Word Vectors'!A:A,0)&amp;":Z"&amp;MATCH($B$2,'Word Vectors'!A:A,0))))*SQRT(SUMPRODUCT(INDIRECT("'Word Vectors'!B83:Z83"),INDIRECT("'Word Vectors'!B83:Z83")))))</f>
        <v/>
      </c>
      <c r="CH2">
        <f>IF(OR($B$2="",ISNA(MATCH($B$2,'Word Vectors'!A:A,0)),'Word Vectors'!A84=$B$2),"",SUMPRODUCT(INDIRECT("'Word Vectors'!B"&amp;MATCH($B$2,'Word Vectors'!A:A,0)&amp;":Z"&amp;MATCH($B$2,'Word Vectors'!A:A,0)),INDIRECT("'Word Vectors'!B84:Z84"))/(SQRT(SUMPRODUCT(INDIRECT("'Word Vectors'!B"&amp;MATCH($B$2,'Word Vectors'!A:A,0)&amp;":Z"&amp;MATCH($B$2,'Word Vectors'!A:A,0)),INDIRECT("'Word Vectors'!B"&amp;MATCH($B$2,'Word Vectors'!A:A,0)&amp;":Z"&amp;MATCH($B$2,'Word Vectors'!A:A,0))))*SQRT(SUMPRODUCT(INDIRECT("'Word Vectors'!B84:Z84"),INDIRECT("'Word Vectors'!B84:Z84")))))</f>
        <v/>
      </c>
      <c r="CI2">
        <f>IF(OR($B$2="",ISNA(MATCH($B$2,'Word Vectors'!A:A,0)),'Word Vectors'!A85=$B$2),"",SUMPRODUCT(INDIRECT("'Word Vectors'!B"&amp;MATCH($B$2,'Word Vectors'!A:A,0)&amp;":Z"&amp;MATCH($B$2,'Word Vectors'!A:A,0)),INDIRECT("'Word Vectors'!B85:Z85"))/(SQRT(SUMPRODUCT(INDIRECT("'Word Vectors'!B"&amp;MATCH($B$2,'Word Vectors'!A:A,0)&amp;":Z"&amp;MATCH($B$2,'Word Vectors'!A:A,0)),INDIRECT("'Word Vectors'!B"&amp;MATCH($B$2,'Word Vectors'!A:A,0)&amp;":Z"&amp;MATCH($B$2,'Word Vectors'!A:A,0))))*SQRT(SUMPRODUCT(INDIRECT("'Word Vectors'!B85:Z85"),INDIRECT("'Word Vectors'!B85:Z85")))))</f>
        <v/>
      </c>
      <c r="CJ2">
        <f>IF(OR($B$2="",ISNA(MATCH($B$2,'Word Vectors'!A:A,0)),'Word Vectors'!A86=$B$2),"",SUMPRODUCT(INDIRECT("'Word Vectors'!B"&amp;MATCH($B$2,'Word Vectors'!A:A,0)&amp;":Z"&amp;MATCH($B$2,'Word Vectors'!A:A,0)),INDIRECT("'Word Vectors'!B86:Z86"))/(SQRT(SUMPRODUCT(INDIRECT("'Word Vectors'!B"&amp;MATCH($B$2,'Word Vectors'!A:A,0)&amp;":Z"&amp;MATCH($B$2,'Word Vectors'!A:A,0)),INDIRECT("'Word Vectors'!B"&amp;MATCH($B$2,'Word Vectors'!A:A,0)&amp;":Z"&amp;MATCH($B$2,'Word Vectors'!A:A,0))))*SQRT(SUMPRODUCT(INDIRECT("'Word Vectors'!B86:Z86"),INDIRECT("'Word Vectors'!B86:Z86")))))</f>
        <v/>
      </c>
      <c r="CK2">
        <f>IF(OR($B$2="",ISNA(MATCH($B$2,'Word Vectors'!A:A,0)),'Word Vectors'!A87=$B$2),"",SUMPRODUCT(INDIRECT("'Word Vectors'!B"&amp;MATCH($B$2,'Word Vectors'!A:A,0)&amp;":Z"&amp;MATCH($B$2,'Word Vectors'!A:A,0)),INDIRECT("'Word Vectors'!B87:Z87"))/(SQRT(SUMPRODUCT(INDIRECT("'Word Vectors'!B"&amp;MATCH($B$2,'Word Vectors'!A:A,0)&amp;":Z"&amp;MATCH($B$2,'Word Vectors'!A:A,0)),INDIRECT("'Word Vectors'!B"&amp;MATCH($B$2,'Word Vectors'!A:A,0)&amp;":Z"&amp;MATCH($B$2,'Word Vectors'!A:A,0))))*SQRT(SUMPRODUCT(INDIRECT("'Word Vectors'!B87:Z87"),INDIRECT("'Word Vectors'!B87:Z87")))))</f>
        <v/>
      </c>
      <c r="CL2">
        <f>IF(OR($B$2="",ISNA(MATCH($B$2,'Word Vectors'!A:A,0)),'Word Vectors'!A88=$B$2),"",SUMPRODUCT(INDIRECT("'Word Vectors'!B"&amp;MATCH($B$2,'Word Vectors'!A:A,0)&amp;":Z"&amp;MATCH($B$2,'Word Vectors'!A:A,0)),INDIRECT("'Word Vectors'!B88:Z88"))/(SQRT(SUMPRODUCT(INDIRECT("'Word Vectors'!B"&amp;MATCH($B$2,'Word Vectors'!A:A,0)&amp;":Z"&amp;MATCH($B$2,'Word Vectors'!A:A,0)),INDIRECT("'Word Vectors'!B"&amp;MATCH($B$2,'Word Vectors'!A:A,0)&amp;":Z"&amp;MATCH($B$2,'Word Vectors'!A:A,0))))*SQRT(SUMPRODUCT(INDIRECT("'Word Vectors'!B88:Z88"),INDIRECT("'Word Vectors'!B88:Z88")))))</f>
        <v/>
      </c>
      <c r="CM2">
        <f>IF(OR($B$2="",ISNA(MATCH($B$2,'Word Vectors'!A:A,0)),'Word Vectors'!A89=$B$2),"",SUMPRODUCT(INDIRECT("'Word Vectors'!B"&amp;MATCH($B$2,'Word Vectors'!A:A,0)&amp;":Z"&amp;MATCH($B$2,'Word Vectors'!A:A,0)),INDIRECT("'Word Vectors'!B89:Z89"))/(SQRT(SUMPRODUCT(INDIRECT("'Word Vectors'!B"&amp;MATCH($B$2,'Word Vectors'!A:A,0)&amp;":Z"&amp;MATCH($B$2,'Word Vectors'!A:A,0)),INDIRECT("'Word Vectors'!B"&amp;MATCH($B$2,'Word Vectors'!A:A,0)&amp;":Z"&amp;MATCH($B$2,'Word Vectors'!A:A,0))))*SQRT(SUMPRODUCT(INDIRECT("'Word Vectors'!B89:Z89"),INDIRECT("'Word Vectors'!B89:Z89")))))</f>
        <v/>
      </c>
      <c r="CN2">
        <f>IF(OR($B$2="",ISNA(MATCH($B$2,'Word Vectors'!A:A,0)),'Word Vectors'!A90=$B$2),"",SUMPRODUCT(INDIRECT("'Word Vectors'!B"&amp;MATCH($B$2,'Word Vectors'!A:A,0)&amp;":Z"&amp;MATCH($B$2,'Word Vectors'!A:A,0)),INDIRECT("'Word Vectors'!B90:Z90"))/(SQRT(SUMPRODUCT(INDIRECT("'Word Vectors'!B"&amp;MATCH($B$2,'Word Vectors'!A:A,0)&amp;":Z"&amp;MATCH($B$2,'Word Vectors'!A:A,0)),INDIRECT("'Word Vectors'!B"&amp;MATCH($B$2,'Word Vectors'!A:A,0)&amp;":Z"&amp;MATCH($B$2,'Word Vectors'!A:A,0))))*SQRT(SUMPRODUCT(INDIRECT("'Word Vectors'!B90:Z90"),INDIRECT("'Word Vectors'!B90:Z90")))))</f>
        <v/>
      </c>
      <c r="CO2">
        <f>IF(OR($B$2="",ISNA(MATCH($B$2,'Word Vectors'!A:A,0)),'Word Vectors'!A91=$B$2),"",SUMPRODUCT(INDIRECT("'Word Vectors'!B"&amp;MATCH($B$2,'Word Vectors'!A:A,0)&amp;":Z"&amp;MATCH($B$2,'Word Vectors'!A:A,0)),INDIRECT("'Word Vectors'!B91:Z91"))/(SQRT(SUMPRODUCT(INDIRECT("'Word Vectors'!B"&amp;MATCH($B$2,'Word Vectors'!A:A,0)&amp;":Z"&amp;MATCH($B$2,'Word Vectors'!A:A,0)),INDIRECT("'Word Vectors'!B"&amp;MATCH($B$2,'Word Vectors'!A:A,0)&amp;":Z"&amp;MATCH($B$2,'Word Vectors'!A:A,0))))*SQRT(SUMPRODUCT(INDIRECT("'Word Vectors'!B91:Z91"),INDIRECT("'Word Vectors'!B91:Z91")))))</f>
        <v/>
      </c>
      <c r="CP2">
        <f>IF(OR($B$2="",ISNA(MATCH($B$2,'Word Vectors'!A:A,0)),'Word Vectors'!A92=$B$2),"",SUMPRODUCT(INDIRECT("'Word Vectors'!B"&amp;MATCH($B$2,'Word Vectors'!A:A,0)&amp;":Z"&amp;MATCH($B$2,'Word Vectors'!A:A,0)),INDIRECT("'Word Vectors'!B92:Z92"))/(SQRT(SUMPRODUCT(INDIRECT("'Word Vectors'!B"&amp;MATCH($B$2,'Word Vectors'!A:A,0)&amp;":Z"&amp;MATCH($B$2,'Word Vectors'!A:A,0)),INDIRECT("'Word Vectors'!B"&amp;MATCH($B$2,'Word Vectors'!A:A,0)&amp;":Z"&amp;MATCH($B$2,'Word Vectors'!A:A,0))))*SQRT(SUMPRODUCT(INDIRECT("'Word Vectors'!B92:Z92"),INDIRECT("'Word Vectors'!B92:Z92")))))</f>
        <v/>
      </c>
      <c r="CQ2">
        <f>IF(OR($B$2="",ISNA(MATCH($B$2,'Word Vectors'!A:A,0)),'Word Vectors'!A93=$B$2),"",SUMPRODUCT(INDIRECT("'Word Vectors'!B"&amp;MATCH($B$2,'Word Vectors'!A:A,0)&amp;":Z"&amp;MATCH($B$2,'Word Vectors'!A:A,0)),INDIRECT("'Word Vectors'!B93:Z93"))/(SQRT(SUMPRODUCT(INDIRECT("'Word Vectors'!B"&amp;MATCH($B$2,'Word Vectors'!A:A,0)&amp;":Z"&amp;MATCH($B$2,'Word Vectors'!A:A,0)),INDIRECT("'Word Vectors'!B"&amp;MATCH($B$2,'Word Vectors'!A:A,0)&amp;":Z"&amp;MATCH($B$2,'Word Vectors'!A:A,0))))*SQRT(SUMPRODUCT(INDIRECT("'Word Vectors'!B93:Z93"),INDIRECT("'Word Vectors'!B93:Z93")))))</f>
        <v/>
      </c>
      <c r="CR2">
        <f>IF(OR($B$2="",ISNA(MATCH($B$2,'Word Vectors'!A:A,0)),'Word Vectors'!A94=$B$2),"",SUMPRODUCT(INDIRECT("'Word Vectors'!B"&amp;MATCH($B$2,'Word Vectors'!A:A,0)&amp;":Z"&amp;MATCH($B$2,'Word Vectors'!A:A,0)),INDIRECT("'Word Vectors'!B94:Z94"))/(SQRT(SUMPRODUCT(INDIRECT("'Word Vectors'!B"&amp;MATCH($B$2,'Word Vectors'!A:A,0)&amp;":Z"&amp;MATCH($B$2,'Word Vectors'!A:A,0)),INDIRECT("'Word Vectors'!B"&amp;MATCH($B$2,'Word Vectors'!A:A,0)&amp;":Z"&amp;MATCH($B$2,'Word Vectors'!A:A,0))))*SQRT(SUMPRODUCT(INDIRECT("'Word Vectors'!B94:Z94"),INDIRECT("'Word Vectors'!B94:Z94")))))</f>
        <v/>
      </c>
      <c r="CS2">
        <f>IF(OR($B$2="",ISNA(MATCH($B$2,'Word Vectors'!A:A,0)),'Word Vectors'!A95=$B$2),"",SUMPRODUCT(INDIRECT("'Word Vectors'!B"&amp;MATCH($B$2,'Word Vectors'!A:A,0)&amp;":Z"&amp;MATCH($B$2,'Word Vectors'!A:A,0)),INDIRECT("'Word Vectors'!B95:Z95"))/(SQRT(SUMPRODUCT(INDIRECT("'Word Vectors'!B"&amp;MATCH($B$2,'Word Vectors'!A:A,0)&amp;":Z"&amp;MATCH($B$2,'Word Vectors'!A:A,0)),INDIRECT("'Word Vectors'!B"&amp;MATCH($B$2,'Word Vectors'!A:A,0)&amp;":Z"&amp;MATCH($B$2,'Word Vectors'!A:A,0))))*SQRT(SUMPRODUCT(INDIRECT("'Word Vectors'!B95:Z95"),INDIRECT("'Word Vectors'!B95:Z95")))))</f>
        <v/>
      </c>
      <c r="CT2">
        <f>IF(OR($B$2="",ISNA(MATCH($B$2,'Word Vectors'!A:A,0)),'Word Vectors'!A96=$B$2),"",SUMPRODUCT(INDIRECT("'Word Vectors'!B"&amp;MATCH($B$2,'Word Vectors'!A:A,0)&amp;":Z"&amp;MATCH($B$2,'Word Vectors'!A:A,0)),INDIRECT("'Word Vectors'!B96:Z96"))/(SQRT(SUMPRODUCT(INDIRECT("'Word Vectors'!B"&amp;MATCH($B$2,'Word Vectors'!A:A,0)&amp;":Z"&amp;MATCH($B$2,'Word Vectors'!A:A,0)),INDIRECT("'Word Vectors'!B"&amp;MATCH($B$2,'Word Vectors'!A:A,0)&amp;":Z"&amp;MATCH($B$2,'Word Vectors'!A:A,0))))*SQRT(SUMPRODUCT(INDIRECT("'Word Vectors'!B96:Z96"),INDIRECT("'Word Vectors'!B96:Z96")))))</f>
        <v/>
      </c>
      <c r="CU2">
        <f>IF(OR($B$2="",ISNA(MATCH($B$2,'Word Vectors'!A:A,0)),'Word Vectors'!A97=$B$2),"",SUMPRODUCT(INDIRECT("'Word Vectors'!B"&amp;MATCH($B$2,'Word Vectors'!A:A,0)&amp;":Z"&amp;MATCH($B$2,'Word Vectors'!A:A,0)),INDIRECT("'Word Vectors'!B97:Z97"))/(SQRT(SUMPRODUCT(INDIRECT("'Word Vectors'!B"&amp;MATCH($B$2,'Word Vectors'!A:A,0)&amp;":Z"&amp;MATCH($B$2,'Word Vectors'!A:A,0)),INDIRECT("'Word Vectors'!B"&amp;MATCH($B$2,'Word Vectors'!A:A,0)&amp;":Z"&amp;MATCH($B$2,'Word Vectors'!A:A,0))))*SQRT(SUMPRODUCT(INDIRECT("'Word Vectors'!B97:Z97"),INDIRECT("'Word Vectors'!B97:Z97")))))</f>
        <v/>
      </c>
      <c r="CV2">
        <f>IF(OR($B$2="",ISNA(MATCH($B$2,'Word Vectors'!A:A,0)),'Word Vectors'!A98=$B$2),"",SUMPRODUCT(INDIRECT("'Word Vectors'!B"&amp;MATCH($B$2,'Word Vectors'!A:A,0)&amp;":Z"&amp;MATCH($B$2,'Word Vectors'!A:A,0)),INDIRECT("'Word Vectors'!B98:Z98"))/(SQRT(SUMPRODUCT(INDIRECT("'Word Vectors'!B"&amp;MATCH($B$2,'Word Vectors'!A:A,0)&amp;":Z"&amp;MATCH($B$2,'Word Vectors'!A:A,0)),INDIRECT("'Word Vectors'!B"&amp;MATCH($B$2,'Word Vectors'!A:A,0)&amp;":Z"&amp;MATCH($B$2,'Word Vectors'!A:A,0))))*SQRT(SUMPRODUCT(INDIRECT("'Word Vectors'!B98:Z98"),INDIRECT("'Word Vectors'!B98:Z98")))))</f>
        <v/>
      </c>
      <c r="CW2">
        <f>IF(OR($B$2="",ISNA(MATCH($B$2,'Word Vectors'!A:A,0)),'Word Vectors'!A99=$B$2),"",SUMPRODUCT(INDIRECT("'Word Vectors'!B"&amp;MATCH($B$2,'Word Vectors'!A:A,0)&amp;":Z"&amp;MATCH($B$2,'Word Vectors'!A:A,0)),INDIRECT("'Word Vectors'!B99:Z99"))/(SQRT(SUMPRODUCT(INDIRECT("'Word Vectors'!B"&amp;MATCH($B$2,'Word Vectors'!A:A,0)&amp;":Z"&amp;MATCH($B$2,'Word Vectors'!A:A,0)),INDIRECT("'Word Vectors'!B"&amp;MATCH($B$2,'Word Vectors'!A:A,0)&amp;":Z"&amp;MATCH($B$2,'Word Vectors'!A:A,0))))*SQRT(SUMPRODUCT(INDIRECT("'Word Vectors'!B99:Z99"),INDIRECT("'Word Vectors'!B99:Z99")))))</f>
        <v/>
      </c>
      <c r="CX2">
        <f>IF(OR($B$2="",ISNA(MATCH($B$2,'Word Vectors'!A:A,0)),'Word Vectors'!A100=$B$2),"",SUMPRODUCT(INDIRECT("'Word Vectors'!B"&amp;MATCH($B$2,'Word Vectors'!A:A,0)&amp;":Z"&amp;MATCH($B$2,'Word Vectors'!A:A,0)),INDIRECT("'Word Vectors'!B100:Z100"))/(SQRT(SUMPRODUCT(INDIRECT("'Word Vectors'!B"&amp;MATCH($B$2,'Word Vectors'!A:A,0)&amp;":Z"&amp;MATCH($B$2,'Word Vectors'!A:A,0)),INDIRECT("'Word Vectors'!B"&amp;MATCH($B$2,'Word Vectors'!A:A,0)&amp;":Z"&amp;MATCH($B$2,'Word Vectors'!A:A,0))))*SQRT(SUMPRODUCT(INDIRECT("'Word Vectors'!B100:Z100"),INDIRECT("'Word Vectors'!B100:Z100")))))</f>
        <v/>
      </c>
      <c r="CY2">
        <f>IF(OR($B$2="",ISNA(MATCH($B$2,'Word Vectors'!A:A,0)),'Word Vectors'!A101=$B$2),"",SUMPRODUCT(INDIRECT("'Word Vectors'!B"&amp;MATCH($B$2,'Word Vectors'!A:A,0)&amp;":Z"&amp;MATCH($B$2,'Word Vectors'!A:A,0)),INDIRECT("'Word Vectors'!B101:Z101"))/(SQRT(SUMPRODUCT(INDIRECT("'Word Vectors'!B"&amp;MATCH($B$2,'Word Vectors'!A:A,0)&amp;":Z"&amp;MATCH($B$2,'Word Vectors'!A:A,0)),INDIRECT("'Word Vectors'!B"&amp;MATCH($B$2,'Word Vectors'!A:A,0)&amp;":Z"&amp;MATCH($B$2,'Word Vectors'!A:A,0))))*SQRT(SUMPRODUCT(INDIRECT("'Word Vectors'!B101:Z101"),INDIRECT("'Word Vectors'!B101:Z101")))))</f>
        <v/>
      </c>
      <c r="CZ2">
        <f>IF(OR($B$2="",ISNA(MATCH($B$2,'Word Vectors'!A:A,0)),'Word Vectors'!A102=$B$2),"",SUMPRODUCT(INDIRECT("'Word Vectors'!B"&amp;MATCH($B$2,'Word Vectors'!A:A,0)&amp;":Z"&amp;MATCH($B$2,'Word Vectors'!A:A,0)),INDIRECT("'Word Vectors'!B102:Z102"))/(SQRT(SUMPRODUCT(INDIRECT("'Word Vectors'!B"&amp;MATCH($B$2,'Word Vectors'!A:A,0)&amp;":Z"&amp;MATCH($B$2,'Word Vectors'!A:A,0)),INDIRECT("'Word Vectors'!B"&amp;MATCH($B$2,'Word Vectors'!A:A,0)&amp;":Z"&amp;MATCH($B$2,'Word Vectors'!A:A,0))))*SQRT(SUMPRODUCT(INDIRECT("'Word Vectors'!B102:Z102"),INDIRECT("'Word Vectors'!B102:Z102")))))</f>
        <v/>
      </c>
      <c r="DA2">
        <f>IF(OR($B$2="",ISNA(MATCH($B$2,'Word Vectors'!A:A,0)),'Word Vectors'!A103=$B$2),"",SUMPRODUCT(INDIRECT("'Word Vectors'!B"&amp;MATCH($B$2,'Word Vectors'!A:A,0)&amp;":Z"&amp;MATCH($B$2,'Word Vectors'!A:A,0)),INDIRECT("'Word Vectors'!B103:Z103"))/(SQRT(SUMPRODUCT(INDIRECT("'Word Vectors'!B"&amp;MATCH($B$2,'Word Vectors'!A:A,0)&amp;":Z"&amp;MATCH($B$2,'Word Vectors'!A:A,0)),INDIRECT("'Word Vectors'!B"&amp;MATCH($B$2,'Word Vectors'!A:A,0)&amp;":Z"&amp;MATCH($B$2,'Word Vectors'!A:A,0))))*SQRT(SUMPRODUCT(INDIRECT("'Word Vectors'!B103:Z103"),INDIRECT("'Word Vectors'!B103:Z103")))))</f>
        <v/>
      </c>
      <c r="DB2">
        <f>IF(OR($B$2="",ISNA(MATCH($B$2,'Word Vectors'!A:A,0)),'Word Vectors'!A104=$B$2),"",SUMPRODUCT(INDIRECT("'Word Vectors'!B"&amp;MATCH($B$2,'Word Vectors'!A:A,0)&amp;":Z"&amp;MATCH($B$2,'Word Vectors'!A:A,0)),INDIRECT("'Word Vectors'!B104:Z104"))/(SQRT(SUMPRODUCT(INDIRECT("'Word Vectors'!B"&amp;MATCH($B$2,'Word Vectors'!A:A,0)&amp;":Z"&amp;MATCH($B$2,'Word Vectors'!A:A,0)),INDIRECT("'Word Vectors'!B"&amp;MATCH($B$2,'Word Vectors'!A:A,0)&amp;":Z"&amp;MATCH($B$2,'Word Vectors'!A:A,0))))*SQRT(SUMPRODUCT(INDIRECT("'Word Vectors'!B104:Z104"),INDIRECT("'Word Vectors'!B104:Z104")))))</f>
        <v/>
      </c>
      <c r="DC2">
        <f>IF(OR($B$2="",ISNA(MATCH($B$2,'Word Vectors'!A:A,0)),'Word Vectors'!A105=$B$2),"",SUMPRODUCT(INDIRECT("'Word Vectors'!B"&amp;MATCH($B$2,'Word Vectors'!A:A,0)&amp;":Z"&amp;MATCH($B$2,'Word Vectors'!A:A,0)),INDIRECT("'Word Vectors'!B105:Z105"))/(SQRT(SUMPRODUCT(INDIRECT("'Word Vectors'!B"&amp;MATCH($B$2,'Word Vectors'!A:A,0)&amp;":Z"&amp;MATCH($B$2,'Word Vectors'!A:A,0)),INDIRECT("'Word Vectors'!B"&amp;MATCH($B$2,'Word Vectors'!A:A,0)&amp;":Z"&amp;MATCH($B$2,'Word Vectors'!A:A,0))))*SQRT(SUMPRODUCT(INDIRECT("'Word Vectors'!B105:Z105"),INDIRECT("'Word Vectors'!B105:Z105")))))</f>
        <v/>
      </c>
      <c r="DD2">
        <f>IF(OR($B$2="",ISNA(MATCH($B$2,'Word Vectors'!A:A,0)),'Word Vectors'!A106=$B$2),"",SUMPRODUCT(INDIRECT("'Word Vectors'!B"&amp;MATCH($B$2,'Word Vectors'!A:A,0)&amp;":Z"&amp;MATCH($B$2,'Word Vectors'!A:A,0)),INDIRECT("'Word Vectors'!B106:Z106"))/(SQRT(SUMPRODUCT(INDIRECT("'Word Vectors'!B"&amp;MATCH($B$2,'Word Vectors'!A:A,0)&amp;":Z"&amp;MATCH($B$2,'Word Vectors'!A:A,0)),INDIRECT("'Word Vectors'!B"&amp;MATCH($B$2,'Word Vectors'!A:A,0)&amp;":Z"&amp;MATCH($B$2,'Word Vectors'!A:A,0))))*SQRT(SUMPRODUCT(INDIRECT("'Word Vectors'!B106:Z106"),INDIRECT("'Word Vectors'!B106:Z106")))))</f>
        <v/>
      </c>
      <c r="DE2">
        <f>IF(OR($B$2="",ISNA(MATCH($B$2,'Word Vectors'!A:A,0)),'Word Vectors'!A107=$B$2),"",SUMPRODUCT(INDIRECT("'Word Vectors'!B"&amp;MATCH($B$2,'Word Vectors'!A:A,0)&amp;":Z"&amp;MATCH($B$2,'Word Vectors'!A:A,0)),INDIRECT("'Word Vectors'!B107:Z107"))/(SQRT(SUMPRODUCT(INDIRECT("'Word Vectors'!B"&amp;MATCH($B$2,'Word Vectors'!A:A,0)&amp;":Z"&amp;MATCH($B$2,'Word Vectors'!A:A,0)),INDIRECT("'Word Vectors'!B"&amp;MATCH($B$2,'Word Vectors'!A:A,0)&amp;":Z"&amp;MATCH($B$2,'Word Vectors'!A:A,0))))*SQRT(SUMPRODUCT(INDIRECT("'Word Vectors'!B107:Z107"),INDIRECT("'Word Vectors'!B107:Z107")))))</f>
        <v/>
      </c>
      <c r="DF2">
        <f>IF(OR($B$2="",ISNA(MATCH($B$2,'Word Vectors'!A:A,0)),'Word Vectors'!A108=$B$2),"",SUMPRODUCT(INDIRECT("'Word Vectors'!B"&amp;MATCH($B$2,'Word Vectors'!A:A,0)&amp;":Z"&amp;MATCH($B$2,'Word Vectors'!A:A,0)),INDIRECT("'Word Vectors'!B108:Z108"))/(SQRT(SUMPRODUCT(INDIRECT("'Word Vectors'!B"&amp;MATCH($B$2,'Word Vectors'!A:A,0)&amp;":Z"&amp;MATCH($B$2,'Word Vectors'!A:A,0)),INDIRECT("'Word Vectors'!B"&amp;MATCH($B$2,'Word Vectors'!A:A,0)&amp;":Z"&amp;MATCH($B$2,'Word Vectors'!A:A,0))))*SQRT(SUMPRODUCT(INDIRECT("'Word Vectors'!B108:Z108"),INDIRECT("'Word Vectors'!B108:Z108")))))</f>
        <v/>
      </c>
      <c r="DG2">
        <f>IF(OR($B$2="",ISNA(MATCH($B$2,'Word Vectors'!A:A,0)),'Word Vectors'!A109=$B$2),"",SUMPRODUCT(INDIRECT("'Word Vectors'!B"&amp;MATCH($B$2,'Word Vectors'!A:A,0)&amp;":Z"&amp;MATCH($B$2,'Word Vectors'!A:A,0)),INDIRECT("'Word Vectors'!B109:Z109"))/(SQRT(SUMPRODUCT(INDIRECT("'Word Vectors'!B"&amp;MATCH($B$2,'Word Vectors'!A:A,0)&amp;":Z"&amp;MATCH($B$2,'Word Vectors'!A:A,0)),INDIRECT("'Word Vectors'!B"&amp;MATCH($B$2,'Word Vectors'!A:A,0)&amp;":Z"&amp;MATCH($B$2,'Word Vectors'!A:A,0))))*SQRT(SUMPRODUCT(INDIRECT("'Word Vectors'!B109:Z109"),INDIRECT("'Word Vectors'!B109:Z109")))))</f>
        <v/>
      </c>
      <c r="DH2">
        <f>IF(OR($B$2="",ISNA(MATCH($B$2,'Word Vectors'!A:A,0)),'Word Vectors'!A110=$B$2),"",SUMPRODUCT(INDIRECT("'Word Vectors'!B"&amp;MATCH($B$2,'Word Vectors'!A:A,0)&amp;":Z"&amp;MATCH($B$2,'Word Vectors'!A:A,0)),INDIRECT("'Word Vectors'!B110:Z110"))/(SQRT(SUMPRODUCT(INDIRECT("'Word Vectors'!B"&amp;MATCH($B$2,'Word Vectors'!A:A,0)&amp;":Z"&amp;MATCH($B$2,'Word Vectors'!A:A,0)),INDIRECT("'Word Vectors'!B"&amp;MATCH($B$2,'Word Vectors'!A:A,0)&amp;":Z"&amp;MATCH($B$2,'Word Vectors'!A:A,0))))*SQRT(SUMPRODUCT(INDIRECT("'Word Vectors'!B110:Z110"),INDIRECT("'Word Vectors'!B110:Z110")))))</f>
        <v/>
      </c>
      <c r="DI2">
        <f>IF(OR($B$2="",ISNA(MATCH($B$2,'Word Vectors'!A:A,0)),'Word Vectors'!A111=$B$2),"",SUMPRODUCT(INDIRECT("'Word Vectors'!B"&amp;MATCH($B$2,'Word Vectors'!A:A,0)&amp;":Z"&amp;MATCH($B$2,'Word Vectors'!A:A,0)),INDIRECT("'Word Vectors'!B111:Z111"))/(SQRT(SUMPRODUCT(INDIRECT("'Word Vectors'!B"&amp;MATCH($B$2,'Word Vectors'!A:A,0)&amp;":Z"&amp;MATCH($B$2,'Word Vectors'!A:A,0)),INDIRECT("'Word Vectors'!B"&amp;MATCH($B$2,'Word Vectors'!A:A,0)&amp;":Z"&amp;MATCH($B$2,'Word Vectors'!A:A,0))))*SQRT(SUMPRODUCT(INDIRECT("'Word Vectors'!B111:Z111"),INDIRECT("'Word Vectors'!B111:Z111")))))</f>
        <v/>
      </c>
      <c r="DJ2">
        <f>IF(OR($B$2="",ISNA(MATCH($B$2,'Word Vectors'!A:A,0)),'Word Vectors'!A112=$B$2),"",SUMPRODUCT(INDIRECT("'Word Vectors'!B"&amp;MATCH($B$2,'Word Vectors'!A:A,0)&amp;":Z"&amp;MATCH($B$2,'Word Vectors'!A:A,0)),INDIRECT("'Word Vectors'!B112:Z112"))/(SQRT(SUMPRODUCT(INDIRECT("'Word Vectors'!B"&amp;MATCH($B$2,'Word Vectors'!A:A,0)&amp;":Z"&amp;MATCH($B$2,'Word Vectors'!A:A,0)),INDIRECT("'Word Vectors'!B"&amp;MATCH($B$2,'Word Vectors'!A:A,0)&amp;":Z"&amp;MATCH($B$2,'Word Vectors'!A:A,0))))*SQRT(SUMPRODUCT(INDIRECT("'Word Vectors'!B112:Z112"),INDIRECT("'Word Vectors'!B112:Z112")))))</f>
        <v/>
      </c>
      <c r="DK2">
        <f>IF(OR($B$2="",ISNA(MATCH($B$2,'Word Vectors'!A:A,0)),'Word Vectors'!A113=$B$2),"",SUMPRODUCT(INDIRECT("'Word Vectors'!B"&amp;MATCH($B$2,'Word Vectors'!A:A,0)&amp;":Z"&amp;MATCH($B$2,'Word Vectors'!A:A,0)),INDIRECT("'Word Vectors'!B113:Z113"))/(SQRT(SUMPRODUCT(INDIRECT("'Word Vectors'!B"&amp;MATCH($B$2,'Word Vectors'!A:A,0)&amp;":Z"&amp;MATCH($B$2,'Word Vectors'!A:A,0)),INDIRECT("'Word Vectors'!B"&amp;MATCH($B$2,'Word Vectors'!A:A,0)&amp;":Z"&amp;MATCH($B$2,'Word Vectors'!A:A,0))))*SQRT(SUMPRODUCT(INDIRECT("'Word Vectors'!B113:Z113"),INDIRECT("'Word Vectors'!B113:Z113")))))</f>
        <v/>
      </c>
      <c r="DL2">
        <f>IF(OR($B$2="",ISNA(MATCH($B$2,'Word Vectors'!A:A,0)),'Word Vectors'!A114=$B$2),"",SUMPRODUCT(INDIRECT("'Word Vectors'!B"&amp;MATCH($B$2,'Word Vectors'!A:A,0)&amp;":Z"&amp;MATCH($B$2,'Word Vectors'!A:A,0)),INDIRECT("'Word Vectors'!B114:Z114"))/(SQRT(SUMPRODUCT(INDIRECT("'Word Vectors'!B"&amp;MATCH($B$2,'Word Vectors'!A:A,0)&amp;":Z"&amp;MATCH($B$2,'Word Vectors'!A:A,0)),INDIRECT("'Word Vectors'!B"&amp;MATCH($B$2,'Word Vectors'!A:A,0)&amp;":Z"&amp;MATCH($B$2,'Word Vectors'!A:A,0))))*SQRT(SUMPRODUCT(INDIRECT("'Word Vectors'!B114:Z114"),INDIRECT("'Word Vectors'!B114:Z114")))))</f>
        <v/>
      </c>
      <c r="DM2">
        <f>IF(OR($B$2="",ISNA(MATCH($B$2,'Word Vectors'!A:A,0)),'Word Vectors'!A115=$B$2),"",SUMPRODUCT(INDIRECT("'Word Vectors'!B"&amp;MATCH($B$2,'Word Vectors'!A:A,0)&amp;":Z"&amp;MATCH($B$2,'Word Vectors'!A:A,0)),INDIRECT("'Word Vectors'!B115:Z115"))/(SQRT(SUMPRODUCT(INDIRECT("'Word Vectors'!B"&amp;MATCH($B$2,'Word Vectors'!A:A,0)&amp;":Z"&amp;MATCH($B$2,'Word Vectors'!A:A,0)),INDIRECT("'Word Vectors'!B"&amp;MATCH($B$2,'Word Vectors'!A:A,0)&amp;":Z"&amp;MATCH($B$2,'Word Vectors'!A:A,0))))*SQRT(SUMPRODUCT(INDIRECT("'Word Vectors'!B115:Z115"),INDIRECT("'Word Vectors'!B115:Z115")))))</f>
        <v/>
      </c>
      <c r="DN2">
        <f>IF(OR($B$2="",ISNA(MATCH($B$2,'Word Vectors'!A:A,0)),'Word Vectors'!A116=$B$2),"",SUMPRODUCT(INDIRECT("'Word Vectors'!B"&amp;MATCH($B$2,'Word Vectors'!A:A,0)&amp;":Z"&amp;MATCH($B$2,'Word Vectors'!A:A,0)),INDIRECT("'Word Vectors'!B116:Z116"))/(SQRT(SUMPRODUCT(INDIRECT("'Word Vectors'!B"&amp;MATCH($B$2,'Word Vectors'!A:A,0)&amp;":Z"&amp;MATCH($B$2,'Word Vectors'!A:A,0)),INDIRECT("'Word Vectors'!B"&amp;MATCH($B$2,'Word Vectors'!A:A,0)&amp;":Z"&amp;MATCH($B$2,'Word Vectors'!A:A,0))))*SQRT(SUMPRODUCT(INDIRECT("'Word Vectors'!B116:Z116"),INDIRECT("'Word Vectors'!B116:Z116")))))</f>
        <v/>
      </c>
      <c r="DO2">
        <f>IF(OR($B$2="",ISNA(MATCH($B$2,'Word Vectors'!A:A,0)),'Word Vectors'!A117=$B$2),"",SUMPRODUCT(INDIRECT("'Word Vectors'!B"&amp;MATCH($B$2,'Word Vectors'!A:A,0)&amp;":Z"&amp;MATCH($B$2,'Word Vectors'!A:A,0)),INDIRECT("'Word Vectors'!B117:Z117"))/(SQRT(SUMPRODUCT(INDIRECT("'Word Vectors'!B"&amp;MATCH($B$2,'Word Vectors'!A:A,0)&amp;":Z"&amp;MATCH($B$2,'Word Vectors'!A:A,0)),INDIRECT("'Word Vectors'!B"&amp;MATCH($B$2,'Word Vectors'!A:A,0)&amp;":Z"&amp;MATCH($B$2,'Word Vectors'!A:A,0))))*SQRT(SUMPRODUCT(INDIRECT("'Word Vectors'!B117:Z117"),INDIRECT("'Word Vectors'!B117:Z117")))))</f>
        <v/>
      </c>
      <c r="DP2">
        <f>IF(OR($B$2="",ISNA(MATCH($B$2,'Word Vectors'!A:A,0)),'Word Vectors'!A118=$B$2),"",SUMPRODUCT(INDIRECT("'Word Vectors'!B"&amp;MATCH($B$2,'Word Vectors'!A:A,0)&amp;":Z"&amp;MATCH($B$2,'Word Vectors'!A:A,0)),INDIRECT("'Word Vectors'!B118:Z118"))/(SQRT(SUMPRODUCT(INDIRECT("'Word Vectors'!B"&amp;MATCH($B$2,'Word Vectors'!A:A,0)&amp;":Z"&amp;MATCH($B$2,'Word Vectors'!A:A,0)),INDIRECT("'Word Vectors'!B"&amp;MATCH($B$2,'Word Vectors'!A:A,0)&amp;":Z"&amp;MATCH($B$2,'Word Vectors'!A:A,0))))*SQRT(SUMPRODUCT(INDIRECT("'Word Vectors'!B118:Z118"),INDIRECT("'Word Vectors'!B118:Z118")))))</f>
        <v/>
      </c>
      <c r="DQ2">
        <f>IF(OR($B$2="",ISNA(MATCH($B$2,'Word Vectors'!A:A,0)),'Word Vectors'!A119=$B$2),"",SUMPRODUCT(INDIRECT("'Word Vectors'!B"&amp;MATCH($B$2,'Word Vectors'!A:A,0)&amp;":Z"&amp;MATCH($B$2,'Word Vectors'!A:A,0)),INDIRECT("'Word Vectors'!B119:Z119"))/(SQRT(SUMPRODUCT(INDIRECT("'Word Vectors'!B"&amp;MATCH($B$2,'Word Vectors'!A:A,0)&amp;":Z"&amp;MATCH($B$2,'Word Vectors'!A:A,0)),INDIRECT("'Word Vectors'!B"&amp;MATCH($B$2,'Word Vectors'!A:A,0)&amp;":Z"&amp;MATCH($B$2,'Word Vectors'!A:A,0))))*SQRT(SUMPRODUCT(INDIRECT("'Word Vectors'!B119:Z119"),INDIRECT("'Word Vectors'!B119:Z119")))))</f>
        <v/>
      </c>
      <c r="DR2">
        <f>IF(OR($B$2="",ISNA(MATCH($B$2,'Word Vectors'!A:A,0)),'Word Vectors'!A120=$B$2),"",SUMPRODUCT(INDIRECT("'Word Vectors'!B"&amp;MATCH($B$2,'Word Vectors'!A:A,0)&amp;":Z"&amp;MATCH($B$2,'Word Vectors'!A:A,0)),INDIRECT("'Word Vectors'!B120:Z120"))/(SQRT(SUMPRODUCT(INDIRECT("'Word Vectors'!B"&amp;MATCH($B$2,'Word Vectors'!A:A,0)&amp;":Z"&amp;MATCH($B$2,'Word Vectors'!A:A,0)),INDIRECT("'Word Vectors'!B"&amp;MATCH($B$2,'Word Vectors'!A:A,0)&amp;":Z"&amp;MATCH($B$2,'Word Vectors'!A:A,0))))*SQRT(SUMPRODUCT(INDIRECT("'Word Vectors'!B120:Z120"),INDIRECT("'Word Vectors'!B120:Z120")))))</f>
        <v/>
      </c>
      <c r="DS2">
        <f>IF(OR($B$2="",ISNA(MATCH($B$2,'Word Vectors'!A:A,0)),'Word Vectors'!A121=$B$2),"",SUMPRODUCT(INDIRECT("'Word Vectors'!B"&amp;MATCH($B$2,'Word Vectors'!A:A,0)&amp;":Z"&amp;MATCH($B$2,'Word Vectors'!A:A,0)),INDIRECT("'Word Vectors'!B121:Z121"))/(SQRT(SUMPRODUCT(INDIRECT("'Word Vectors'!B"&amp;MATCH($B$2,'Word Vectors'!A:A,0)&amp;":Z"&amp;MATCH($B$2,'Word Vectors'!A:A,0)),INDIRECT("'Word Vectors'!B"&amp;MATCH($B$2,'Word Vectors'!A:A,0)&amp;":Z"&amp;MATCH($B$2,'Word Vectors'!A:A,0))))*SQRT(SUMPRODUCT(INDIRECT("'Word Vectors'!B121:Z121"),INDIRECT("'Word Vectors'!B121:Z121")))))</f>
        <v/>
      </c>
      <c r="DT2">
        <f>IF(OR($B$2="",ISNA(MATCH($B$2,'Word Vectors'!A:A,0)),'Word Vectors'!A122=$B$2),"",SUMPRODUCT(INDIRECT("'Word Vectors'!B"&amp;MATCH($B$2,'Word Vectors'!A:A,0)&amp;":Z"&amp;MATCH($B$2,'Word Vectors'!A:A,0)),INDIRECT("'Word Vectors'!B122:Z122"))/(SQRT(SUMPRODUCT(INDIRECT("'Word Vectors'!B"&amp;MATCH($B$2,'Word Vectors'!A:A,0)&amp;":Z"&amp;MATCH($B$2,'Word Vectors'!A:A,0)),INDIRECT("'Word Vectors'!B"&amp;MATCH($B$2,'Word Vectors'!A:A,0)&amp;":Z"&amp;MATCH($B$2,'Word Vectors'!A:A,0))))*SQRT(SUMPRODUCT(INDIRECT("'Word Vectors'!B122:Z122"),INDIRECT("'Word Vectors'!B122:Z122")))))</f>
        <v/>
      </c>
      <c r="DU2">
        <f>IF(OR($B$2="",ISNA(MATCH($B$2,'Word Vectors'!A:A,0)),'Word Vectors'!A123=$B$2),"",SUMPRODUCT(INDIRECT("'Word Vectors'!B"&amp;MATCH($B$2,'Word Vectors'!A:A,0)&amp;":Z"&amp;MATCH($B$2,'Word Vectors'!A:A,0)),INDIRECT("'Word Vectors'!B123:Z123"))/(SQRT(SUMPRODUCT(INDIRECT("'Word Vectors'!B"&amp;MATCH($B$2,'Word Vectors'!A:A,0)&amp;":Z"&amp;MATCH($B$2,'Word Vectors'!A:A,0)),INDIRECT("'Word Vectors'!B"&amp;MATCH($B$2,'Word Vectors'!A:A,0)&amp;":Z"&amp;MATCH($B$2,'Word Vectors'!A:A,0))))*SQRT(SUMPRODUCT(INDIRECT("'Word Vectors'!B123:Z123"),INDIRECT("'Word Vectors'!B123:Z123")))))</f>
        <v/>
      </c>
      <c r="DV2">
        <f>IF(OR($B$2="",ISNA(MATCH($B$2,'Word Vectors'!A:A,0)),'Word Vectors'!A124=$B$2),"",SUMPRODUCT(INDIRECT("'Word Vectors'!B"&amp;MATCH($B$2,'Word Vectors'!A:A,0)&amp;":Z"&amp;MATCH($B$2,'Word Vectors'!A:A,0)),INDIRECT("'Word Vectors'!B124:Z124"))/(SQRT(SUMPRODUCT(INDIRECT("'Word Vectors'!B"&amp;MATCH($B$2,'Word Vectors'!A:A,0)&amp;":Z"&amp;MATCH($B$2,'Word Vectors'!A:A,0)),INDIRECT("'Word Vectors'!B"&amp;MATCH($B$2,'Word Vectors'!A:A,0)&amp;":Z"&amp;MATCH($B$2,'Word Vectors'!A:A,0))))*SQRT(SUMPRODUCT(INDIRECT("'Word Vectors'!B124:Z124"),INDIRECT("'Word Vectors'!B124:Z124")))))</f>
        <v/>
      </c>
      <c r="DW2">
        <f>IF(OR($B$2="",ISNA(MATCH($B$2,'Word Vectors'!A:A,0)),'Word Vectors'!A125=$B$2),"",SUMPRODUCT(INDIRECT("'Word Vectors'!B"&amp;MATCH($B$2,'Word Vectors'!A:A,0)&amp;":Z"&amp;MATCH($B$2,'Word Vectors'!A:A,0)),INDIRECT("'Word Vectors'!B125:Z125"))/(SQRT(SUMPRODUCT(INDIRECT("'Word Vectors'!B"&amp;MATCH($B$2,'Word Vectors'!A:A,0)&amp;":Z"&amp;MATCH($B$2,'Word Vectors'!A:A,0)),INDIRECT("'Word Vectors'!B"&amp;MATCH($B$2,'Word Vectors'!A:A,0)&amp;":Z"&amp;MATCH($B$2,'Word Vectors'!A:A,0))))*SQRT(SUMPRODUCT(INDIRECT("'Word Vectors'!B125:Z125"),INDIRECT("'Word Vectors'!B125:Z125")))))</f>
        <v/>
      </c>
      <c r="DX2">
        <f>IF(OR($B$2="",ISNA(MATCH($B$2,'Word Vectors'!A:A,0)),'Word Vectors'!A126=$B$2),"",SUMPRODUCT(INDIRECT("'Word Vectors'!B"&amp;MATCH($B$2,'Word Vectors'!A:A,0)&amp;":Z"&amp;MATCH($B$2,'Word Vectors'!A:A,0)),INDIRECT("'Word Vectors'!B126:Z126"))/(SQRT(SUMPRODUCT(INDIRECT("'Word Vectors'!B"&amp;MATCH($B$2,'Word Vectors'!A:A,0)&amp;":Z"&amp;MATCH($B$2,'Word Vectors'!A:A,0)),INDIRECT("'Word Vectors'!B"&amp;MATCH($B$2,'Word Vectors'!A:A,0)&amp;":Z"&amp;MATCH($B$2,'Word Vectors'!A:A,0))))*SQRT(SUMPRODUCT(INDIRECT("'Word Vectors'!B126:Z126"),INDIRECT("'Word Vectors'!B126:Z126")))))</f>
        <v/>
      </c>
      <c r="DY2">
        <f>IF(OR($B$2="",ISNA(MATCH($B$2,'Word Vectors'!A:A,0)),'Word Vectors'!A127=$B$2),"",SUMPRODUCT(INDIRECT("'Word Vectors'!B"&amp;MATCH($B$2,'Word Vectors'!A:A,0)&amp;":Z"&amp;MATCH($B$2,'Word Vectors'!A:A,0)),INDIRECT("'Word Vectors'!B127:Z127"))/(SQRT(SUMPRODUCT(INDIRECT("'Word Vectors'!B"&amp;MATCH($B$2,'Word Vectors'!A:A,0)&amp;":Z"&amp;MATCH($B$2,'Word Vectors'!A:A,0)),INDIRECT("'Word Vectors'!B"&amp;MATCH($B$2,'Word Vectors'!A:A,0)&amp;":Z"&amp;MATCH($B$2,'Word Vectors'!A:A,0))))*SQRT(SUMPRODUCT(INDIRECT("'Word Vectors'!B127:Z127"),INDIRECT("'Word Vectors'!B127:Z127")))))</f>
        <v/>
      </c>
      <c r="DZ2">
        <f>IF(OR($B$2="",ISNA(MATCH($B$2,'Word Vectors'!A:A,0)),'Word Vectors'!A128=$B$2),"",SUMPRODUCT(INDIRECT("'Word Vectors'!B"&amp;MATCH($B$2,'Word Vectors'!A:A,0)&amp;":Z"&amp;MATCH($B$2,'Word Vectors'!A:A,0)),INDIRECT("'Word Vectors'!B128:Z128"))/(SQRT(SUMPRODUCT(INDIRECT("'Word Vectors'!B"&amp;MATCH($B$2,'Word Vectors'!A:A,0)&amp;":Z"&amp;MATCH($B$2,'Word Vectors'!A:A,0)),INDIRECT("'Word Vectors'!B"&amp;MATCH($B$2,'Word Vectors'!A:A,0)&amp;":Z"&amp;MATCH($B$2,'Word Vectors'!A:A,0))))*SQRT(SUMPRODUCT(INDIRECT("'Word Vectors'!B128:Z128"),INDIRECT("'Word Vectors'!B128:Z128")))))</f>
        <v/>
      </c>
      <c r="EA2">
        <f>IF(OR($B$2="",ISNA(MATCH($B$2,'Word Vectors'!A:A,0)),'Word Vectors'!A129=$B$2),"",SUMPRODUCT(INDIRECT("'Word Vectors'!B"&amp;MATCH($B$2,'Word Vectors'!A:A,0)&amp;":Z"&amp;MATCH($B$2,'Word Vectors'!A:A,0)),INDIRECT("'Word Vectors'!B129:Z129"))/(SQRT(SUMPRODUCT(INDIRECT("'Word Vectors'!B"&amp;MATCH($B$2,'Word Vectors'!A:A,0)&amp;":Z"&amp;MATCH($B$2,'Word Vectors'!A:A,0)),INDIRECT("'Word Vectors'!B"&amp;MATCH($B$2,'Word Vectors'!A:A,0)&amp;":Z"&amp;MATCH($B$2,'Word Vectors'!A:A,0))))*SQRT(SUMPRODUCT(INDIRECT("'Word Vectors'!B129:Z129"),INDIRECT("'Word Vectors'!B129:Z129")))))</f>
        <v/>
      </c>
      <c r="EB2">
        <f>IF(OR($B$2="",ISNA(MATCH($B$2,'Word Vectors'!A:A,0)),'Word Vectors'!A130=$B$2),"",SUMPRODUCT(INDIRECT("'Word Vectors'!B"&amp;MATCH($B$2,'Word Vectors'!A:A,0)&amp;":Z"&amp;MATCH($B$2,'Word Vectors'!A:A,0)),INDIRECT("'Word Vectors'!B130:Z130"))/(SQRT(SUMPRODUCT(INDIRECT("'Word Vectors'!B"&amp;MATCH($B$2,'Word Vectors'!A:A,0)&amp;":Z"&amp;MATCH($B$2,'Word Vectors'!A:A,0)),INDIRECT("'Word Vectors'!B"&amp;MATCH($B$2,'Word Vectors'!A:A,0)&amp;":Z"&amp;MATCH($B$2,'Word Vectors'!A:A,0))))*SQRT(SUMPRODUCT(INDIRECT("'Word Vectors'!B130:Z130"),INDIRECT("'Word Vectors'!B130:Z130")))))</f>
        <v/>
      </c>
      <c r="EC2">
        <f>IF(OR($B$2="",ISNA(MATCH($B$2,'Word Vectors'!A:A,0)),'Word Vectors'!A131=$B$2),"",SUMPRODUCT(INDIRECT("'Word Vectors'!B"&amp;MATCH($B$2,'Word Vectors'!A:A,0)&amp;":Z"&amp;MATCH($B$2,'Word Vectors'!A:A,0)),INDIRECT("'Word Vectors'!B131:Z131"))/(SQRT(SUMPRODUCT(INDIRECT("'Word Vectors'!B"&amp;MATCH($B$2,'Word Vectors'!A:A,0)&amp;":Z"&amp;MATCH($B$2,'Word Vectors'!A:A,0)),INDIRECT("'Word Vectors'!B"&amp;MATCH($B$2,'Word Vectors'!A:A,0)&amp;":Z"&amp;MATCH($B$2,'Word Vectors'!A:A,0))))*SQRT(SUMPRODUCT(INDIRECT("'Word Vectors'!B131:Z131"),INDIRECT("'Word Vectors'!B131:Z131")))))</f>
        <v/>
      </c>
      <c r="ED2">
        <f>IF(OR($B$2="",ISNA(MATCH($B$2,'Word Vectors'!A:A,0)),'Word Vectors'!A132=$B$2),"",SUMPRODUCT(INDIRECT("'Word Vectors'!B"&amp;MATCH($B$2,'Word Vectors'!A:A,0)&amp;":Z"&amp;MATCH($B$2,'Word Vectors'!A:A,0)),INDIRECT("'Word Vectors'!B132:Z132"))/(SQRT(SUMPRODUCT(INDIRECT("'Word Vectors'!B"&amp;MATCH($B$2,'Word Vectors'!A:A,0)&amp;":Z"&amp;MATCH($B$2,'Word Vectors'!A:A,0)),INDIRECT("'Word Vectors'!B"&amp;MATCH($B$2,'Word Vectors'!A:A,0)&amp;":Z"&amp;MATCH($B$2,'Word Vectors'!A:A,0))))*SQRT(SUMPRODUCT(INDIRECT("'Word Vectors'!B132:Z132"),INDIRECT("'Word Vectors'!B132:Z132")))))</f>
        <v/>
      </c>
      <c r="EE2">
        <f>IF(OR($B$2="",ISNA(MATCH($B$2,'Word Vectors'!A:A,0)),'Word Vectors'!A133=$B$2),"",SUMPRODUCT(INDIRECT("'Word Vectors'!B"&amp;MATCH($B$2,'Word Vectors'!A:A,0)&amp;":Z"&amp;MATCH($B$2,'Word Vectors'!A:A,0)),INDIRECT("'Word Vectors'!B133:Z133"))/(SQRT(SUMPRODUCT(INDIRECT("'Word Vectors'!B"&amp;MATCH($B$2,'Word Vectors'!A:A,0)&amp;":Z"&amp;MATCH($B$2,'Word Vectors'!A:A,0)),INDIRECT("'Word Vectors'!B"&amp;MATCH($B$2,'Word Vectors'!A:A,0)&amp;":Z"&amp;MATCH($B$2,'Word Vectors'!A:A,0))))*SQRT(SUMPRODUCT(INDIRECT("'Word Vectors'!B133:Z133"),INDIRECT("'Word Vectors'!B133:Z133")))))</f>
        <v/>
      </c>
      <c r="EF2">
        <f>IF(OR($B$2="",ISNA(MATCH($B$2,'Word Vectors'!A:A,0)),'Word Vectors'!A134=$B$2),"",SUMPRODUCT(INDIRECT("'Word Vectors'!B"&amp;MATCH($B$2,'Word Vectors'!A:A,0)&amp;":Z"&amp;MATCH($B$2,'Word Vectors'!A:A,0)),INDIRECT("'Word Vectors'!B134:Z134"))/(SQRT(SUMPRODUCT(INDIRECT("'Word Vectors'!B"&amp;MATCH($B$2,'Word Vectors'!A:A,0)&amp;":Z"&amp;MATCH($B$2,'Word Vectors'!A:A,0)),INDIRECT("'Word Vectors'!B"&amp;MATCH($B$2,'Word Vectors'!A:A,0)&amp;":Z"&amp;MATCH($B$2,'Word Vectors'!A:A,0))))*SQRT(SUMPRODUCT(INDIRECT("'Word Vectors'!B134:Z134"),INDIRECT("'Word Vectors'!B134:Z134")))))</f>
        <v/>
      </c>
      <c r="EG2">
        <f>IF(OR($B$2="",ISNA(MATCH($B$2,'Word Vectors'!A:A,0)),'Word Vectors'!A135=$B$2),"",SUMPRODUCT(INDIRECT("'Word Vectors'!B"&amp;MATCH($B$2,'Word Vectors'!A:A,0)&amp;":Z"&amp;MATCH($B$2,'Word Vectors'!A:A,0)),INDIRECT("'Word Vectors'!B135:Z135"))/(SQRT(SUMPRODUCT(INDIRECT("'Word Vectors'!B"&amp;MATCH($B$2,'Word Vectors'!A:A,0)&amp;":Z"&amp;MATCH($B$2,'Word Vectors'!A:A,0)),INDIRECT("'Word Vectors'!B"&amp;MATCH($B$2,'Word Vectors'!A:A,0)&amp;":Z"&amp;MATCH($B$2,'Word Vectors'!A:A,0))))*SQRT(SUMPRODUCT(INDIRECT("'Word Vectors'!B135:Z135"),INDIRECT("'Word Vectors'!B135:Z135")))))</f>
        <v/>
      </c>
      <c r="EH2">
        <f>IF(OR($B$2="",ISNA(MATCH($B$2,'Word Vectors'!A:A,0)),'Word Vectors'!A136=$B$2),"",SUMPRODUCT(INDIRECT("'Word Vectors'!B"&amp;MATCH($B$2,'Word Vectors'!A:A,0)&amp;":Z"&amp;MATCH($B$2,'Word Vectors'!A:A,0)),INDIRECT("'Word Vectors'!B136:Z136"))/(SQRT(SUMPRODUCT(INDIRECT("'Word Vectors'!B"&amp;MATCH($B$2,'Word Vectors'!A:A,0)&amp;":Z"&amp;MATCH($B$2,'Word Vectors'!A:A,0)),INDIRECT("'Word Vectors'!B"&amp;MATCH($B$2,'Word Vectors'!A:A,0)&amp;":Z"&amp;MATCH($B$2,'Word Vectors'!A:A,0))))*SQRT(SUMPRODUCT(INDIRECT("'Word Vectors'!B136:Z136"),INDIRECT("'Word Vectors'!B136:Z136")))))</f>
        <v/>
      </c>
      <c r="EI2">
        <f>IF(OR($B$2="",ISNA(MATCH($B$2,'Word Vectors'!A:A,0)),'Word Vectors'!A137=$B$2),"",SUMPRODUCT(INDIRECT("'Word Vectors'!B"&amp;MATCH($B$2,'Word Vectors'!A:A,0)&amp;":Z"&amp;MATCH($B$2,'Word Vectors'!A:A,0)),INDIRECT("'Word Vectors'!B137:Z137"))/(SQRT(SUMPRODUCT(INDIRECT("'Word Vectors'!B"&amp;MATCH($B$2,'Word Vectors'!A:A,0)&amp;":Z"&amp;MATCH($B$2,'Word Vectors'!A:A,0)),INDIRECT("'Word Vectors'!B"&amp;MATCH($B$2,'Word Vectors'!A:A,0)&amp;":Z"&amp;MATCH($B$2,'Word Vectors'!A:A,0))))*SQRT(SUMPRODUCT(INDIRECT("'Word Vectors'!B137:Z137"),INDIRECT("'Word Vectors'!B137:Z137")))))</f>
        <v/>
      </c>
      <c r="EJ2">
        <f>IF(OR($B$2="",ISNA(MATCH($B$2,'Word Vectors'!A:A,0)),'Word Vectors'!A138=$B$2),"",SUMPRODUCT(INDIRECT("'Word Vectors'!B"&amp;MATCH($B$2,'Word Vectors'!A:A,0)&amp;":Z"&amp;MATCH($B$2,'Word Vectors'!A:A,0)),INDIRECT("'Word Vectors'!B138:Z138"))/(SQRT(SUMPRODUCT(INDIRECT("'Word Vectors'!B"&amp;MATCH($B$2,'Word Vectors'!A:A,0)&amp;":Z"&amp;MATCH($B$2,'Word Vectors'!A:A,0)),INDIRECT("'Word Vectors'!B"&amp;MATCH($B$2,'Word Vectors'!A:A,0)&amp;":Z"&amp;MATCH($B$2,'Word Vectors'!A:A,0))))*SQRT(SUMPRODUCT(INDIRECT("'Word Vectors'!B138:Z138"),INDIRECT("'Word Vectors'!B138:Z138")))))</f>
        <v/>
      </c>
      <c r="EK2">
        <f>IF(OR($B$2="",ISNA(MATCH($B$2,'Word Vectors'!A:A,0)),'Word Vectors'!A139=$B$2),"",SUMPRODUCT(INDIRECT("'Word Vectors'!B"&amp;MATCH($B$2,'Word Vectors'!A:A,0)&amp;":Z"&amp;MATCH($B$2,'Word Vectors'!A:A,0)),INDIRECT("'Word Vectors'!B139:Z139"))/(SQRT(SUMPRODUCT(INDIRECT("'Word Vectors'!B"&amp;MATCH($B$2,'Word Vectors'!A:A,0)&amp;":Z"&amp;MATCH($B$2,'Word Vectors'!A:A,0)),INDIRECT("'Word Vectors'!B"&amp;MATCH($B$2,'Word Vectors'!A:A,0)&amp;":Z"&amp;MATCH($B$2,'Word Vectors'!A:A,0))))*SQRT(SUMPRODUCT(INDIRECT("'Word Vectors'!B139:Z139"),INDIRECT("'Word Vectors'!B139:Z139")))))</f>
        <v/>
      </c>
      <c r="EL2">
        <f>IF(OR($B$2="",ISNA(MATCH($B$2,'Word Vectors'!A:A,0)),'Word Vectors'!A140=$B$2),"",SUMPRODUCT(INDIRECT("'Word Vectors'!B"&amp;MATCH($B$2,'Word Vectors'!A:A,0)&amp;":Z"&amp;MATCH($B$2,'Word Vectors'!A:A,0)),INDIRECT("'Word Vectors'!B140:Z140"))/(SQRT(SUMPRODUCT(INDIRECT("'Word Vectors'!B"&amp;MATCH($B$2,'Word Vectors'!A:A,0)&amp;":Z"&amp;MATCH($B$2,'Word Vectors'!A:A,0)),INDIRECT("'Word Vectors'!B"&amp;MATCH($B$2,'Word Vectors'!A:A,0)&amp;":Z"&amp;MATCH($B$2,'Word Vectors'!A:A,0))))*SQRT(SUMPRODUCT(INDIRECT("'Word Vectors'!B140:Z140"),INDIRECT("'Word Vectors'!B140:Z140")))))</f>
        <v/>
      </c>
      <c r="EM2">
        <f>IF(OR($B$2="",ISNA(MATCH($B$2,'Word Vectors'!A:A,0)),'Word Vectors'!A141=$B$2),"",SUMPRODUCT(INDIRECT("'Word Vectors'!B"&amp;MATCH($B$2,'Word Vectors'!A:A,0)&amp;":Z"&amp;MATCH($B$2,'Word Vectors'!A:A,0)),INDIRECT("'Word Vectors'!B141:Z141"))/(SQRT(SUMPRODUCT(INDIRECT("'Word Vectors'!B"&amp;MATCH($B$2,'Word Vectors'!A:A,0)&amp;":Z"&amp;MATCH($B$2,'Word Vectors'!A:A,0)),INDIRECT("'Word Vectors'!B"&amp;MATCH($B$2,'Word Vectors'!A:A,0)&amp;":Z"&amp;MATCH($B$2,'Word Vectors'!A:A,0))))*SQRT(SUMPRODUCT(INDIRECT("'Word Vectors'!B141:Z141"),INDIRECT("'Word Vectors'!B141:Z141")))))</f>
        <v/>
      </c>
      <c r="EN2">
        <f>IF(OR($B$2="",ISNA(MATCH($B$2,'Word Vectors'!A:A,0)),'Word Vectors'!A142=$B$2),"",SUMPRODUCT(INDIRECT("'Word Vectors'!B"&amp;MATCH($B$2,'Word Vectors'!A:A,0)&amp;":Z"&amp;MATCH($B$2,'Word Vectors'!A:A,0)),INDIRECT("'Word Vectors'!B142:Z142"))/(SQRT(SUMPRODUCT(INDIRECT("'Word Vectors'!B"&amp;MATCH($B$2,'Word Vectors'!A:A,0)&amp;":Z"&amp;MATCH($B$2,'Word Vectors'!A:A,0)),INDIRECT("'Word Vectors'!B"&amp;MATCH($B$2,'Word Vectors'!A:A,0)&amp;":Z"&amp;MATCH($B$2,'Word Vectors'!A:A,0))))*SQRT(SUMPRODUCT(INDIRECT("'Word Vectors'!B142:Z142"),INDIRECT("'Word Vectors'!B142:Z142")))))</f>
        <v/>
      </c>
      <c r="EO2">
        <f>IF(OR($B$2="",ISNA(MATCH($B$2,'Word Vectors'!A:A,0)),'Word Vectors'!A143=$B$2),"",SUMPRODUCT(INDIRECT("'Word Vectors'!B"&amp;MATCH($B$2,'Word Vectors'!A:A,0)&amp;":Z"&amp;MATCH($B$2,'Word Vectors'!A:A,0)),INDIRECT("'Word Vectors'!B143:Z143"))/(SQRT(SUMPRODUCT(INDIRECT("'Word Vectors'!B"&amp;MATCH($B$2,'Word Vectors'!A:A,0)&amp;":Z"&amp;MATCH($B$2,'Word Vectors'!A:A,0)),INDIRECT("'Word Vectors'!B"&amp;MATCH($B$2,'Word Vectors'!A:A,0)&amp;":Z"&amp;MATCH($B$2,'Word Vectors'!A:A,0))))*SQRT(SUMPRODUCT(INDIRECT("'Word Vectors'!B143:Z143"),INDIRECT("'Word Vectors'!B143:Z143")))))</f>
        <v/>
      </c>
      <c r="EP2">
        <f>IF(OR($B$2="",ISNA(MATCH($B$2,'Word Vectors'!A:A,0)),'Word Vectors'!A144=$B$2),"",SUMPRODUCT(INDIRECT("'Word Vectors'!B"&amp;MATCH($B$2,'Word Vectors'!A:A,0)&amp;":Z"&amp;MATCH($B$2,'Word Vectors'!A:A,0)),INDIRECT("'Word Vectors'!B144:Z144"))/(SQRT(SUMPRODUCT(INDIRECT("'Word Vectors'!B"&amp;MATCH($B$2,'Word Vectors'!A:A,0)&amp;":Z"&amp;MATCH($B$2,'Word Vectors'!A:A,0)),INDIRECT("'Word Vectors'!B"&amp;MATCH($B$2,'Word Vectors'!A:A,0)&amp;":Z"&amp;MATCH($B$2,'Word Vectors'!A:A,0))))*SQRT(SUMPRODUCT(INDIRECT("'Word Vectors'!B144:Z144"),INDIRECT("'Word Vectors'!B144:Z144")))))</f>
        <v/>
      </c>
      <c r="EQ2">
        <f>IF(OR($B$2="",ISNA(MATCH($B$2,'Word Vectors'!A:A,0)),'Word Vectors'!A145=$B$2),"",SUMPRODUCT(INDIRECT("'Word Vectors'!B"&amp;MATCH($B$2,'Word Vectors'!A:A,0)&amp;":Z"&amp;MATCH($B$2,'Word Vectors'!A:A,0)),INDIRECT("'Word Vectors'!B145:Z145"))/(SQRT(SUMPRODUCT(INDIRECT("'Word Vectors'!B"&amp;MATCH($B$2,'Word Vectors'!A:A,0)&amp;":Z"&amp;MATCH($B$2,'Word Vectors'!A:A,0)),INDIRECT("'Word Vectors'!B"&amp;MATCH($B$2,'Word Vectors'!A:A,0)&amp;":Z"&amp;MATCH($B$2,'Word Vectors'!A:A,0))))*SQRT(SUMPRODUCT(INDIRECT("'Word Vectors'!B145:Z145"),INDIRECT("'Word Vectors'!B145:Z145")))))</f>
        <v/>
      </c>
      <c r="ER2">
        <f>IF(OR($B$2="",ISNA(MATCH($B$2,'Word Vectors'!A:A,0)),'Word Vectors'!A146=$B$2),"",SUMPRODUCT(INDIRECT("'Word Vectors'!B"&amp;MATCH($B$2,'Word Vectors'!A:A,0)&amp;":Z"&amp;MATCH($B$2,'Word Vectors'!A:A,0)),INDIRECT("'Word Vectors'!B146:Z146"))/(SQRT(SUMPRODUCT(INDIRECT("'Word Vectors'!B"&amp;MATCH($B$2,'Word Vectors'!A:A,0)&amp;":Z"&amp;MATCH($B$2,'Word Vectors'!A:A,0)),INDIRECT("'Word Vectors'!B"&amp;MATCH($B$2,'Word Vectors'!A:A,0)&amp;":Z"&amp;MATCH($B$2,'Word Vectors'!A:A,0))))*SQRT(SUMPRODUCT(INDIRECT("'Word Vectors'!B146:Z146"),INDIRECT("'Word Vectors'!B146:Z146")))))</f>
        <v/>
      </c>
      <c r="ES2">
        <f>IF(OR($B$2="",ISNA(MATCH($B$2,'Word Vectors'!A:A,0)),'Word Vectors'!A147=$B$2),"",SUMPRODUCT(INDIRECT("'Word Vectors'!B"&amp;MATCH($B$2,'Word Vectors'!A:A,0)&amp;":Z"&amp;MATCH($B$2,'Word Vectors'!A:A,0)),INDIRECT("'Word Vectors'!B147:Z147"))/(SQRT(SUMPRODUCT(INDIRECT("'Word Vectors'!B"&amp;MATCH($B$2,'Word Vectors'!A:A,0)&amp;":Z"&amp;MATCH($B$2,'Word Vectors'!A:A,0)),INDIRECT("'Word Vectors'!B"&amp;MATCH($B$2,'Word Vectors'!A:A,0)&amp;":Z"&amp;MATCH($B$2,'Word Vectors'!A:A,0))))*SQRT(SUMPRODUCT(INDIRECT("'Word Vectors'!B147:Z147"),INDIRECT("'Word Vectors'!B147:Z147")))))</f>
        <v/>
      </c>
      <c r="ET2">
        <f>IF(OR($B$2="",ISNA(MATCH($B$2,'Word Vectors'!A:A,0)),'Word Vectors'!A148=$B$2),"",SUMPRODUCT(INDIRECT("'Word Vectors'!B"&amp;MATCH($B$2,'Word Vectors'!A:A,0)&amp;":Z"&amp;MATCH($B$2,'Word Vectors'!A:A,0)),INDIRECT("'Word Vectors'!B148:Z148"))/(SQRT(SUMPRODUCT(INDIRECT("'Word Vectors'!B"&amp;MATCH($B$2,'Word Vectors'!A:A,0)&amp;":Z"&amp;MATCH($B$2,'Word Vectors'!A:A,0)),INDIRECT("'Word Vectors'!B"&amp;MATCH($B$2,'Word Vectors'!A:A,0)&amp;":Z"&amp;MATCH($B$2,'Word Vectors'!A:A,0))))*SQRT(SUMPRODUCT(INDIRECT("'Word Vectors'!B148:Z148"),INDIRECT("'Word Vectors'!B148:Z148")))))</f>
        <v/>
      </c>
      <c r="EU2">
        <f>IF(OR($B$2="",ISNA(MATCH($B$2,'Word Vectors'!A:A,0)),'Word Vectors'!A149=$B$2),"",SUMPRODUCT(INDIRECT("'Word Vectors'!B"&amp;MATCH($B$2,'Word Vectors'!A:A,0)&amp;":Z"&amp;MATCH($B$2,'Word Vectors'!A:A,0)),INDIRECT("'Word Vectors'!B149:Z149"))/(SQRT(SUMPRODUCT(INDIRECT("'Word Vectors'!B"&amp;MATCH($B$2,'Word Vectors'!A:A,0)&amp;":Z"&amp;MATCH($B$2,'Word Vectors'!A:A,0)),INDIRECT("'Word Vectors'!B"&amp;MATCH($B$2,'Word Vectors'!A:A,0)&amp;":Z"&amp;MATCH($B$2,'Word Vectors'!A:A,0))))*SQRT(SUMPRODUCT(INDIRECT("'Word Vectors'!B149:Z149"),INDIRECT("'Word Vectors'!B149:Z149")))))</f>
        <v/>
      </c>
      <c r="EV2">
        <f>IF(OR($B$2="",ISNA(MATCH($B$2,'Word Vectors'!A:A,0)),'Word Vectors'!A150=$B$2),"",SUMPRODUCT(INDIRECT("'Word Vectors'!B"&amp;MATCH($B$2,'Word Vectors'!A:A,0)&amp;":Z"&amp;MATCH($B$2,'Word Vectors'!A:A,0)),INDIRECT("'Word Vectors'!B150:Z150"))/(SQRT(SUMPRODUCT(INDIRECT("'Word Vectors'!B"&amp;MATCH($B$2,'Word Vectors'!A:A,0)&amp;":Z"&amp;MATCH($B$2,'Word Vectors'!A:A,0)),INDIRECT("'Word Vectors'!B"&amp;MATCH($B$2,'Word Vectors'!A:A,0)&amp;":Z"&amp;MATCH($B$2,'Word Vectors'!A:A,0))))*SQRT(SUMPRODUCT(INDIRECT("'Word Vectors'!B150:Z150"),INDIRECT("'Word Vectors'!B150:Z150")))))</f>
        <v/>
      </c>
      <c r="EW2">
        <f>IF(OR($B$2="",ISNA(MATCH($B$2,'Word Vectors'!A:A,0)),'Word Vectors'!A151=$B$2),"",SUMPRODUCT(INDIRECT("'Word Vectors'!B"&amp;MATCH($B$2,'Word Vectors'!A:A,0)&amp;":Z"&amp;MATCH($B$2,'Word Vectors'!A:A,0)),INDIRECT("'Word Vectors'!B151:Z151"))/(SQRT(SUMPRODUCT(INDIRECT("'Word Vectors'!B"&amp;MATCH($B$2,'Word Vectors'!A:A,0)&amp;":Z"&amp;MATCH($B$2,'Word Vectors'!A:A,0)),INDIRECT("'Word Vectors'!B"&amp;MATCH($B$2,'Word Vectors'!A:A,0)&amp;":Z"&amp;MATCH($B$2,'Word Vectors'!A:A,0))))*SQRT(SUMPRODUCT(INDIRECT("'Word Vectors'!B151:Z151"),INDIRECT("'Word Vectors'!B151:Z151")))))</f>
        <v/>
      </c>
      <c r="EX2">
        <f>IF(OR($B$2="",ISNA(MATCH($B$2,'Word Vectors'!A:A,0)),'Word Vectors'!A152=$B$2),"",SUMPRODUCT(INDIRECT("'Word Vectors'!B"&amp;MATCH($B$2,'Word Vectors'!A:A,0)&amp;":Z"&amp;MATCH($B$2,'Word Vectors'!A:A,0)),INDIRECT("'Word Vectors'!B152:Z152"))/(SQRT(SUMPRODUCT(INDIRECT("'Word Vectors'!B"&amp;MATCH($B$2,'Word Vectors'!A:A,0)&amp;":Z"&amp;MATCH($B$2,'Word Vectors'!A:A,0)),INDIRECT("'Word Vectors'!B"&amp;MATCH($B$2,'Word Vectors'!A:A,0)&amp;":Z"&amp;MATCH($B$2,'Word Vectors'!A:A,0))))*SQRT(SUMPRODUCT(INDIRECT("'Word Vectors'!B152:Z152"),INDIRECT("'Word Vectors'!B152:Z152")))))</f>
        <v/>
      </c>
      <c r="EY2">
        <f>IF(OR($B$2="",ISNA(MATCH($B$2,'Word Vectors'!A:A,0)),'Word Vectors'!A153=$B$2),"",SUMPRODUCT(INDIRECT("'Word Vectors'!B"&amp;MATCH($B$2,'Word Vectors'!A:A,0)&amp;":Z"&amp;MATCH($B$2,'Word Vectors'!A:A,0)),INDIRECT("'Word Vectors'!B153:Z153"))/(SQRT(SUMPRODUCT(INDIRECT("'Word Vectors'!B"&amp;MATCH($B$2,'Word Vectors'!A:A,0)&amp;":Z"&amp;MATCH($B$2,'Word Vectors'!A:A,0)),INDIRECT("'Word Vectors'!B"&amp;MATCH($B$2,'Word Vectors'!A:A,0)&amp;":Z"&amp;MATCH($B$2,'Word Vectors'!A:A,0))))*SQRT(SUMPRODUCT(INDIRECT("'Word Vectors'!B153:Z153"),INDIRECT("'Word Vectors'!B153:Z153")))))</f>
        <v/>
      </c>
      <c r="EZ2">
        <f>IF(OR($B$2="",ISNA(MATCH($B$2,'Word Vectors'!A:A,0)),'Word Vectors'!A154=$B$2),"",SUMPRODUCT(INDIRECT("'Word Vectors'!B"&amp;MATCH($B$2,'Word Vectors'!A:A,0)&amp;":Z"&amp;MATCH($B$2,'Word Vectors'!A:A,0)),INDIRECT("'Word Vectors'!B154:Z154"))/(SQRT(SUMPRODUCT(INDIRECT("'Word Vectors'!B"&amp;MATCH($B$2,'Word Vectors'!A:A,0)&amp;":Z"&amp;MATCH($B$2,'Word Vectors'!A:A,0)),INDIRECT("'Word Vectors'!B"&amp;MATCH($B$2,'Word Vectors'!A:A,0)&amp;":Z"&amp;MATCH($B$2,'Word Vectors'!A:A,0))))*SQRT(SUMPRODUCT(INDIRECT("'Word Vectors'!B154:Z154"),INDIRECT("'Word Vectors'!B154:Z154")))))</f>
        <v/>
      </c>
      <c r="FA2">
        <f>IF(OR($B$2="",ISNA(MATCH($B$2,'Word Vectors'!A:A,0)),'Word Vectors'!A155=$B$2),"",SUMPRODUCT(INDIRECT("'Word Vectors'!B"&amp;MATCH($B$2,'Word Vectors'!A:A,0)&amp;":Z"&amp;MATCH($B$2,'Word Vectors'!A:A,0)),INDIRECT("'Word Vectors'!B155:Z155"))/(SQRT(SUMPRODUCT(INDIRECT("'Word Vectors'!B"&amp;MATCH($B$2,'Word Vectors'!A:A,0)&amp;":Z"&amp;MATCH($B$2,'Word Vectors'!A:A,0)),INDIRECT("'Word Vectors'!B"&amp;MATCH($B$2,'Word Vectors'!A:A,0)&amp;":Z"&amp;MATCH($B$2,'Word Vectors'!A:A,0))))*SQRT(SUMPRODUCT(INDIRECT("'Word Vectors'!B155:Z155"),INDIRECT("'Word Vectors'!B155:Z155")))))</f>
        <v/>
      </c>
      <c r="FB2">
        <f>IF(OR($B$2="",ISNA(MATCH($B$2,'Word Vectors'!A:A,0)),'Word Vectors'!A156=$B$2),"",SUMPRODUCT(INDIRECT("'Word Vectors'!B"&amp;MATCH($B$2,'Word Vectors'!A:A,0)&amp;":Z"&amp;MATCH($B$2,'Word Vectors'!A:A,0)),INDIRECT("'Word Vectors'!B156:Z156"))/(SQRT(SUMPRODUCT(INDIRECT("'Word Vectors'!B"&amp;MATCH($B$2,'Word Vectors'!A:A,0)&amp;":Z"&amp;MATCH($B$2,'Word Vectors'!A:A,0)),INDIRECT("'Word Vectors'!B"&amp;MATCH($B$2,'Word Vectors'!A:A,0)&amp;":Z"&amp;MATCH($B$2,'Word Vectors'!A:A,0))))*SQRT(SUMPRODUCT(INDIRECT("'Word Vectors'!B156:Z156"),INDIRECT("'Word Vectors'!B156:Z156")))))</f>
        <v/>
      </c>
      <c r="FC2">
        <f>IF(OR($B$2="",ISNA(MATCH($B$2,'Word Vectors'!A:A,0)),'Word Vectors'!A157=$B$2),"",SUMPRODUCT(INDIRECT("'Word Vectors'!B"&amp;MATCH($B$2,'Word Vectors'!A:A,0)&amp;":Z"&amp;MATCH($B$2,'Word Vectors'!A:A,0)),INDIRECT("'Word Vectors'!B157:Z157"))/(SQRT(SUMPRODUCT(INDIRECT("'Word Vectors'!B"&amp;MATCH($B$2,'Word Vectors'!A:A,0)&amp;":Z"&amp;MATCH($B$2,'Word Vectors'!A:A,0)),INDIRECT("'Word Vectors'!B"&amp;MATCH($B$2,'Word Vectors'!A:A,0)&amp;":Z"&amp;MATCH($B$2,'Word Vectors'!A:A,0))))*SQRT(SUMPRODUCT(INDIRECT("'Word Vectors'!B157:Z157"),INDIRECT("'Word Vectors'!B157:Z157")))))</f>
        <v/>
      </c>
      <c r="FD2">
        <f>IF(OR($B$2="",ISNA(MATCH($B$2,'Word Vectors'!A:A,0)),'Word Vectors'!A158=$B$2),"",SUMPRODUCT(INDIRECT("'Word Vectors'!B"&amp;MATCH($B$2,'Word Vectors'!A:A,0)&amp;":Z"&amp;MATCH($B$2,'Word Vectors'!A:A,0)),INDIRECT("'Word Vectors'!B158:Z158"))/(SQRT(SUMPRODUCT(INDIRECT("'Word Vectors'!B"&amp;MATCH($B$2,'Word Vectors'!A:A,0)&amp;":Z"&amp;MATCH($B$2,'Word Vectors'!A:A,0)),INDIRECT("'Word Vectors'!B"&amp;MATCH($B$2,'Word Vectors'!A:A,0)&amp;":Z"&amp;MATCH($B$2,'Word Vectors'!A:A,0))))*SQRT(SUMPRODUCT(INDIRECT("'Word Vectors'!B158:Z158"),INDIRECT("'Word Vectors'!B158:Z158")))))</f>
        <v/>
      </c>
      <c r="FE2">
        <f>IF(OR($B$2="",ISNA(MATCH($B$2,'Word Vectors'!A:A,0)),'Word Vectors'!A159=$B$2),"",SUMPRODUCT(INDIRECT("'Word Vectors'!B"&amp;MATCH($B$2,'Word Vectors'!A:A,0)&amp;":Z"&amp;MATCH($B$2,'Word Vectors'!A:A,0)),INDIRECT("'Word Vectors'!B159:Z159"))/(SQRT(SUMPRODUCT(INDIRECT("'Word Vectors'!B"&amp;MATCH($B$2,'Word Vectors'!A:A,0)&amp;":Z"&amp;MATCH($B$2,'Word Vectors'!A:A,0)),INDIRECT("'Word Vectors'!B"&amp;MATCH($B$2,'Word Vectors'!A:A,0)&amp;":Z"&amp;MATCH($B$2,'Word Vectors'!A:A,0))))*SQRT(SUMPRODUCT(INDIRECT("'Word Vectors'!B159:Z159"),INDIRECT("'Word Vectors'!B159:Z159")))))</f>
        <v/>
      </c>
      <c r="FF2">
        <f>IF(OR($B$2="",ISNA(MATCH($B$2,'Word Vectors'!A:A,0)),'Word Vectors'!A160=$B$2),"",SUMPRODUCT(INDIRECT("'Word Vectors'!B"&amp;MATCH($B$2,'Word Vectors'!A:A,0)&amp;":Z"&amp;MATCH($B$2,'Word Vectors'!A:A,0)),INDIRECT("'Word Vectors'!B160:Z160"))/(SQRT(SUMPRODUCT(INDIRECT("'Word Vectors'!B"&amp;MATCH($B$2,'Word Vectors'!A:A,0)&amp;":Z"&amp;MATCH($B$2,'Word Vectors'!A:A,0)),INDIRECT("'Word Vectors'!B"&amp;MATCH($B$2,'Word Vectors'!A:A,0)&amp;":Z"&amp;MATCH($B$2,'Word Vectors'!A:A,0))))*SQRT(SUMPRODUCT(INDIRECT("'Word Vectors'!B160:Z160"),INDIRECT("'Word Vectors'!B160:Z160")))))</f>
        <v/>
      </c>
      <c r="FG2">
        <f>IF(OR($B$2="",ISNA(MATCH($B$2,'Word Vectors'!A:A,0)),'Word Vectors'!A161=$B$2),"",SUMPRODUCT(INDIRECT("'Word Vectors'!B"&amp;MATCH($B$2,'Word Vectors'!A:A,0)&amp;":Z"&amp;MATCH($B$2,'Word Vectors'!A:A,0)),INDIRECT("'Word Vectors'!B161:Z161"))/(SQRT(SUMPRODUCT(INDIRECT("'Word Vectors'!B"&amp;MATCH($B$2,'Word Vectors'!A:A,0)&amp;":Z"&amp;MATCH($B$2,'Word Vectors'!A:A,0)),INDIRECT("'Word Vectors'!B"&amp;MATCH($B$2,'Word Vectors'!A:A,0)&amp;":Z"&amp;MATCH($B$2,'Word Vectors'!A:A,0))))*SQRT(SUMPRODUCT(INDIRECT("'Word Vectors'!B161:Z161"),INDIRECT("'Word Vectors'!B161:Z161")))))</f>
        <v/>
      </c>
      <c r="FH2">
        <f>IF(OR($B$2="",ISNA(MATCH($B$2,'Word Vectors'!A:A,0)),'Word Vectors'!A162=$B$2),"",SUMPRODUCT(INDIRECT("'Word Vectors'!B"&amp;MATCH($B$2,'Word Vectors'!A:A,0)&amp;":Z"&amp;MATCH($B$2,'Word Vectors'!A:A,0)),INDIRECT("'Word Vectors'!B162:Z162"))/(SQRT(SUMPRODUCT(INDIRECT("'Word Vectors'!B"&amp;MATCH($B$2,'Word Vectors'!A:A,0)&amp;":Z"&amp;MATCH($B$2,'Word Vectors'!A:A,0)),INDIRECT("'Word Vectors'!B"&amp;MATCH($B$2,'Word Vectors'!A:A,0)&amp;":Z"&amp;MATCH($B$2,'Word Vectors'!A:A,0))))*SQRT(SUMPRODUCT(INDIRECT("'Word Vectors'!B162:Z162"),INDIRECT("'Word Vectors'!B162:Z162")))))</f>
        <v/>
      </c>
      <c r="FI2">
        <f>IF(OR($B$2="",ISNA(MATCH($B$2,'Word Vectors'!A:A,0)),'Word Vectors'!A163=$B$2),"",SUMPRODUCT(INDIRECT("'Word Vectors'!B"&amp;MATCH($B$2,'Word Vectors'!A:A,0)&amp;":Z"&amp;MATCH($B$2,'Word Vectors'!A:A,0)),INDIRECT("'Word Vectors'!B163:Z163"))/(SQRT(SUMPRODUCT(INDIRECT("'Word Vectors'!B"&amp;MATCH($B$2,'Word Vectors'!A:A,0)&amp;":Z"&amp;MATCH($B$2,'Word Vectors'!A:A,0)),INDIRECT("'Word Vectors'!B"&amp;MATCH($B$2,'Word Vectors'!A:A,0)&amp;":Z"&amp;MATCH($B$2,'Word Vectors'!A:A,0))))*SQRT(SUMPRODUCT(INDIRECT("'Word Vectors'!B163:Z163"),INDIRECT("'Word Vectors'!B163:Z163")))))</f>
        <v/>
      </c>
      <c r="FJ2">
        <f>IF(OR($B$2="",ISNA(MATCH($B$2,'Word Vectors'!A:A,0)),'Word Vectors'!A164=$B$2),"",SUMPRODUCT(INDIRECT("'Word Vectors'!B"&amp;MATCH($B$2,'Word Vectors'!A:A,0)&amp;":Z"&amp;MATCH($B$2,'Word Vectors'!A:A,0)),INDIRECT("'Word Vectors'!B164:Z164"))/(SQRT(SUMPRODUCT(INDIRECT("'Word Vectors'!B"&amp;MATCH($B$2,'Word Vectors'!A:A,0)&amp;":Z"&amp;MATCH($B$2,'Word Vectors'!A:A,0)),INDIRECT("'Word Vectors'!B"&amp;MATCH($B$2,'Word Vectors'!A:A,0)&amp;":Z"&amp;MATCH($B$2,'Word Vectors'!A:A,0))))*SQRT(SUMPRODUCT(INDIRECT("'Word Vectors'!B164:Z164"),INDIRECT("'Word Vectors'!B164:Z164")))))</f>
        <v/>
      </c>
      <c r="FK2">
        <f>IF(OR($B$2="",ISNA(MATCH($B$2,'Word Vectors'!A:A,0)),'Word Vectors'!A165=$B$2),"",SUMPRODUCT(INDIRECT("'Word Vectors'!B"&amp;MATCH($B$2,'Word Vectors'!A:A,0)&amp;":Z"&amp;MATCH($B$2,'Word Vectors'!A:A,0)),INDIRECT("'Word Vectors'!B165:Z165"))/(SQRT(SUMPRODUCT(INDIRECT("'Word Vectors'!B"&amp;MATCH($B$2,'Word Vectors'!A:A,0)&amp;":Z"&amp;MATCH($B$2,'Word Vectors'!A:A,0)),INDIRECT("'Word Vectors'!B"&amp;MATCH($B$2,'Word Vectors'!A:A,0)&amp;":Z"&amp;MATCH($B$2,'Word Vectors'!A:A,0))))*SQRT(SUMPRODUCT(INDIRECT("'Word Vectors'!B165:Z165"),INDIRECT("'Word Vectors'!B165:Z165")))))</f>
        <v/>
      </c>
      <c r="FL2">
        <f>IF(OR($B$2="",ISNA(MATCH($B$2,'Word Vectors'!A:A,0)),'Word Vectors'!A166=$B$2),"",SUMPRODUCT(INDIRECT("'Word Vectors'!B"&amp;MATCH($B$2,'Word Vectors'!A:A,0)&amp;":Z"&amp;MATCH($B$2,'Word Vectors'!A:A,0)),INDIRECT("'Word Vectors'!B166:Z166"))/(SQRT(SUMPRODUCT(INDIRECT("'Word Vectors'!B"&amp;MATCH($B$2,'Word Vectors'!A:A,0)&amp;":Z"&amp;MATCH($B$2,'Word Vectors'!A:A,0)),INDIRECT("'Word Vectors'!B"&amp;MATCH($B$2,'Word Vectors'!A:A,0)&amp;":Z"&amp;MATCH($B$2,'Word Vectors'!A:A,0))))*SQRT(SUMPRODUCT(INDIRECT("'Word Vectors'!B166:Z166"),INDIRECT("'Word Vectors'!B166:Z166")))))</f>
        <v/>
      </c>
      <c r="FM2">
        <f>IF(OR($B$2="",ISNA(MATCH($B$2,'Word Vectors'!A:A,0)),'Word Vectors'!A167=$B$2),"",SUMPRODUCT(INDIRECT("'Word Vectors'!B"&amp;MATCH($B$2,'Word Vectors'!A:A,0)&amp;":Z"&amp;MATCH($B$2,'Word Vectors'!A:A,0)),INDIRECT("'Word Vectors'!B167:Z167"))/(SQRT(SUMPRODUCT(INDIRECT("'Word Vectors'!B"&amp;MATCH($B$2,'Word Vectors'!A:A,0)&amp;":Z"&amp;MATCH($B$2,'Word Vectors'!A:A,0)),INDIRECT("'Word Vectors'!B"&amp;MATCH($B$2,'Word Vectors'!A:A,0)&amp;":Z"&amp;MATCH($B$2,'Word Vectors'!A:A,0))))*SQRT(SUMPRODUCT(INDIRECT("'Word Vectors'!B167:Z167"),INDIRECT("'Word Vectors'!B167:Z167")))))</f>
        <v/>
      </c>
      <c r="FN2">
        <f>IF(OR($B$2="",ISNA(MATCH($B$2,'Word Vectors'!A:A,0)),'Word Vectors'!A168=$B$2),"",SUMPRODUCT(INDIRECT("'Word Vectors'!B"&amp;MATCH($B$2,'Word Vectors'!A:A,0)&amp;":Z"&amp;MATCH($B$2,'Word Vectors'!A:A,0)),INDIRECT("'Word Vectors'!B168:Z168"))/(SQRT(SUMPRODUCT(INDIRECT("'Word Vectors'!B"&amp;MATCH($B$2,'Word Vectors'!A:A,0)&amp;":Z"&amp;MATCH($B$2,'Word Vectors'!A:A,0)),INDIRECT("'Word Vectors'!B"&amp;MATCH($B$2,'Word Vectors'!A:A,0)&amp;":Z"&amp;MATCH($B$2,'Word Vectors'!A:A,0))))*SQRT(SUMPRODUCT(INDIRECT("'Word Vectors'!B168:Z168"),INDIRECT("'Word Vectors'!B168:Z168")))))</f>
        <v/>
      </c>
      <c r="FO2">
        <f>IF(OR($B$2="",ISNA(MATCH($B$2,'Word Vectors'!A:A,0)),'Word Vectors'!A169=$B$2),"",SUMPRODUCT(INDIRECT("'Word Vectors'!B"&amp;MATCH($B$2,'Word Vectors'!A:A,0)&amp;":Z"&amp;MATCH($B$2,'Word Vectors'!A:A,0)),INDIRECT("'Word Vectors'!B169:Z169"))/(SQRT(SUMPRODUCT(INDIRECT("'Word Vectors'!B"&amp;MATCH($B$2,'Word Vectors'!A:A,0)&amp;":Z"&amp;MATCH($B$2,'Word Vectors'!A:A,0)),INDIRECT("'Word Vectors'!B"&amp;MATCH($B$2,'Word Vectors'!A:A,0)&amp;":Z"&amp;MATCH($B$2,'Word Vectors'!A:A,0))))*SQRT(SUMPRODUCT(INDIRECT("'Word Vectors'!B169:Z169"),INDIRECT("'Word Vectors'!B169:Z169")))))</f>
        <v/>
      </c>
      <c r="FP2">
        <f>IF(OR($B$2="",ISNA(MATCH($B$2,'Word Vectors'!A:A,0)),'Word Vectors'!A170=$B$2),"",SUMPRODUCT(INDIRECT("'Word Vectors'!B"&amp;MATCH($B$2,'Word Vectors'!A:A,0)&amp;":Z"&amp;MATCH($B$2,'Word Vectors'!A:A,0)),INDIRECT("'Word Vectors'!B170:Z170"))/(SQRT(SUMPRODUCT(INDIRECT("'Word Vectors'!B"&amp;MATCH($B$2,'Word Vectors'!A:A,0)&amp;":Z"&amp;MATCH($B$2,'Word Vectors'!A:A,0)),INDIRECT("'Word Vectors'!B"&amp;MATCH($B$2,'Word Vectors'!A:A,0)&amp;":Z"&amp;MATCH($B$2,'Word Vectors'!A:A,0))))*SQRT(SUMPRODUCT(INDIRECT("'Word Vectors'!B170:Z170"),INDIRECT("'Word Vectors'!B170:Z170")))))</f>
        <v/>
      </c>
      <c r="FQ2">
        <f>IF(OR($B$2="",ISNA(MATCH($B$2,'Word Vectors'!A:A,0)),'Word Vectors'!A171=$B$2),"",SUMPRODUCT(INDIRECT("'Word Vectors'!B"&amp;MATCH($B$2,'Word Vectors'!A:A,0)&amp;":Z"&amp;MATCH($B$2,'Word Vectors'!A:A,0)),INDIRECT("'Word Vectors'!B171:Z171"))/(SQRT(SUMPRODUCT(INDIRECT("'Word Vectors'!B"&amp;MATCH($B$2,'Word Vectors'!A:A,0)&amp;":Z"&amp;MATCH($B$2,'Word Vectors'!A:A,0)),INDIRECT("'Word Vectors'!B"&amp;MATCH($B$2,'Word Vectors'!A:A,0)&amp;":Z"&amp;MATCH($B$2,'Word Vectors'!A:A,0))))*SQRT(SUMPRODUCT(INDIRECT("'Word Vectors'!B171:Z171"),INDIRECT("'Word Vectors'!B171:Z171")))))</f>
        <v/>
      </c>
      <c r="FR2">
        <f>IF(OR($B$2="",ISNA(MATCH($B$2,'Word Vectors'!A:A,0)),'Word Vectors'!A172=$B$2),"",SUMPRODUCT(INDIRECT("'Word Vectors'!B"&amp;MATCH($B$2,'Word Vectors'!A:A,0)&amp;":Z"&amp;MATCH($B$2,'Word Vectors'!A:A,0)),INDIRECT("'Word Vectors'!B172:Z172"))/(SQRT(SUMPRODUCT(INDIRECT("'Word Vectors'!B"&amp;MATCH($B$2,'Word Vectors'!A:A,0)&amp;":Z"&amp;MATCH($B$2,'Word Vectors'!A:A,0)),INDIRECT("'Word Vectors'!B"&amp;MATCH($B$2,'Word Vectors'!A:A,0)&amp;":Z"&amp;MATCH($B$2,'Word Vectors'!A:A,0))))*SQRT(SUMPRODUCT(INDIRECT("'Word Vectors'!B172:Z172"),INDIRECT("'Word Vectors'!B172:Z172")))))</f>
        <v/>
      </c>
      <c r="FS2">
        <f>IF(OR($B$2="",ISNA(MATCH($B$2,'Word Vectors'!A:A,0)),'Word Vectors'!A173=$B$2),"",SUMPRODUCT(INDIRECT("'Word Vectors'!B"&amp;MATCH($B$2,'Word Vectors'!A:A,0)&amp;":Z"&amp;MATCH($B$2,'Word Vectors'!A:A,0)),INDIRECT("'Word Vectors'!B173:Z173"))/(SQRT(SUMPRODUCT(INDIRECT("'Word Vectors'!B"&amp;MATCH($B$2,'Word Vectors'!A:A,0)&amp;":Z"&amp;MATCH($B$2,'Word Vectors'!A:A,0)),INDIRECT("'Word Vectors'!B"&amp;MATCH($B$2,'Word Vectors'!A:A,0)&amp;":Z"&amp;MATCH($B$2,'Word Vectors'!A:A,0))))*SQRT(SUMPRODUCT(INDIRECT("'Word Vectors'!B173:Z173"),INDIRECT("'Word Vectors'!B173:Z173")))))</f>
        <v/>
      </c>
      <c r="FT2">
        <f>IF(OR($B$2="",ISNA(MATCH($B$2,'Word Vectors'!A:A,0)),'Word Vectors'!A174=$B$2),"",SUMPRODUCT(INDIRECT("'Word Vectors'!B"&amp;MATCH($B$2,'Word Vectors'!A:A,0)&amp;":Z"&amp;MATCH($B$2,'Word Vectors'!A:A,0)),INDIRECT("'Word Vectors'!B174:Z174"))/(SQRT(SUMPRODUCT(INDIRECT("'Word Vectors'!B"&amp;MATCH($B$2,'Word Vectors'!A:A,0)&amp;":Z"&amp;MATCH($B$2,'Word Vectors'!A:A,0)),INDIRECT("'Word Vectors'!B"&amp;MATCH($B$2,'Word Vectors'!A:A,0)&amp;":Z"&amp;MATCH($B$2,'Word Vectors'!A:A,0))))*SQRT(SUMPRODUCT(INDIRECT("'Word Vectors'!B174:Z174"),INDIRECT("'Word Vectors'!B174:Z174")))))</f>
        <v/>
      </c>
      <c r="FU2">
        <f>IF(OR($B$2="",ISNA(MATCH($B$2,'Word Vectors'!A:A,0)),'Word Vectors'!A175=$B$2),"",SUMPRODUCT(INDIRECT("'Word Vectors'!B"&amp;MATCH($B$2,'Word Vectors'!A:A,0)&amp;":Z"&amp;MATCH($B$2,'Word Vectors'!A:A,0)),INDIRECT("'Word Vectors'!B175:Z175"))/(SQRT(SUMPRODUCT(INDIRECT("'Word Vectors'!B"&amp;MATCH($B$2,'Word Vectors'!A:A,0)&amp;":Z"&amp;MATCH($B$2,'Word Vectors'!A:A,0)),INDIRECT("'Word Vectors'!B"&amp;MATCH($B$2,'Word Vectors'!A:A,0)&amp;":Z"&amp;MATCH($B$2,'Word Vectors'!A:A,0))))*SQRT(SUMPRODUCT(INDIRECT("'Word Vectors'!B175:Z175"),INDIRECT("'Word Vectors'!B175:Z175")))))</f>
        <v/>
      </c>
      <c r="FV2">
        <f>IF(OR($B$2="",ISNA(MATCH($B$2,'Word Vectors'!A:A,0)),'Word Vectors'!A176=$B$2),"",SUMPRODUCT(INDIRECT("'Word Vectors'!B"&amp;MATCH($B$2,'Word Vectors'!A:A,0)&amp;":Z"&amp;MATCH($B$2,'Word Vectors'!A:A,0)),INDIRECT("'Word Vectors'!B176:Z176"))/(SQRT(SUMPRODUCT(INDIRECT("'Word Vectors'!B"&amp;MATCH($B$2,'Word Vectors'!A:A,0)&amp;":Z"&amp;MATCH($B$2,'Word Vectors'!A:A,0)),INDIRECT("'Word Vectors'!B"&amp;MATCH($B$2,'Word Vectors'!A:A,0)&amp;":Z"&amp;MATCH($B$2,'Word Vectors'!A:A,0))))*SQRT(SUMPRODUCT(INDIRECT("'Word Vectors'!B176:Z176"),INDIRECT("'Word Vectors'!B176:Z176")))))</f>
        <v/>
      </c>
      <c r="FW2">
        <f>IF(OR($B$2="",ISNA(MATCH($B$2,'Word Vectors'!A:A,0)),'Word Vectors'!A177=$B$2),"",SUMPRODUCT(INDIRECT("'Word Vectors'!B"&amp;MATCH($B$2,'Word Vectors'!A:A,0)&amp;":Z"&amp;MATCH($B$2,'Word Vectors'!A:A,0)),INDIRECT("'Word Vectors'!B177:Z177"))/(SQRT(SUMPRODUCT(INDIRECT("'Word Vectors'!B"&amp;MATCH($B$2,'Word Vectors'!A:A,0)&amp;":Z"&amp;MATCH($B$2,'Word Vectors'!A:A,0)),INDIRECT("'Word Vectors'!B"&amp;MATCH($B$2,'Word Vectors'!A:A,0)&amp;":Z"&amp;MATCH($B$2,'Word Vectors'!A:A,0))))*SQRT(SUMPRODUCT(INDIRECT("'Word Vectors'!B177:Z177"),INDIRECT("'Word Vectors'!B177:Z177")))))</f>
        <v/>
      </c>
      <c r="FX2">
        <f>IF(OR($B$2="",ISNA(MATCH($B$2,'Word Vectors'!A:A,0)),'Word Vectors'!A178=$B$2),"",SUMPRODUCT(INDIRECT("'Word Vectors'!B"&amp;MATCH($B$2,'Word Vectors'!A:A,0)&amp;":Z"&amp;MATCH($B$2,'Word Vectors'!A:A,0)),INDIRECT("'Word Vectors'!B178:Z178"))/(SQRT(SUMPRODUCT(INDIRECT("'Word Vectors'!B"&amp;MATCH($B$2,'Word Vectors'!A:A,0)&amp;":Z"&amp;MATCH($B$2,'Word Vectors'!A:A,0)),INDIRECT("'Word Vectors'!B"&amp;MATCH($B$2,'Word Vectors'!A:A,0)&amp;":Z"&amp;MATCH($B$2,'Word Vectors'!A:A,0))))*SQRT(SUMPRODUCT(INDIRECT("'Word Vectors'!B178:Z178"),INDIRECT("'Word Vectors'!B178:Z178")))))</f>
        <v/>
      </c>
      <c r="FY2">
        <f>IF(OR($B$2="",ISNA(MATCH($B$2,'Word Vectors'!A:A,0)),'Word Vectors'!A179=$B$2),"",SUMPRODUCT(INDIRECT("'Word Vectors'!B"&amp;MATCH($B$2,'Word Vectors'!A:A,0)&amp;":Z"&amp;MATCH($B$2,'Word Vectors'!A:A,0)),INDIRECT("'Word Vectors'!B179:Z179"))/(SQRT(SUMPRODUCT(INDIRECT("'Word Vectors'!B"&amp;MATCH($B$2,'Word Vectors'!A:A,0)&amp;":Z"&amp;MATCH($B$2,'Word Vectors'!A:A,0)),INDIRECT("'Word Vectors'!B"&amp;MATCH($B$2,'Word Vectors'!A:A,0)&amp;":Z"&amp;MATCH($B$2,'Word Vectors'!A:A,0))))*SQRT(SUMPRODUCT(INDIRECT("'Word Vectors'!B179:Z179"),INDIRECT("'Word Vectors'!B179:Z179")))))</f>
        <v/>
      </c>
      <c r="FZ2">
        <f>IF(OR($B$2="",ISNA(MATCH($B$2,'Word Vectors'!A:A,0)),'Word Vectors'!A180=$B$2),"",SUMPRODUCT(INDIRECT("'Word Vectors'!B"&amp;MATCH($B$2,'Word Vectors'!A:A,0)&amp;":Z"&amp;MATCH($B$2,'Word Vectors'!A:A,0)),INDIRECT("'Word Vectors'!B180:Z180"))/(SQRT(SUMPRODUCT(INDIRECT("'Word Vectors'!B"&amp;MATCH($B$2,'Word Vectors'!A:A,0)&amp;":Z"&amp;MATCH($B$2,'Word Vectors'!A:A,0)),INDIRECT("'Word Vectors'!B"&amp;MATCH($B$2,'Word Vectors'!A:A,0)&amp;":Z"&amp;MATCH($B$2,'Word Vectors'!A:A,0))))*SQRT(SUMPRODUCT(INDIRECT("'Word Vectors'!B180:Z180"),INDIRECT("'Word Vectors'!B180:Z180")))))</f>
        <v/>
      </c>
      <c r="GA2">
        <f>IF(OR($B$2="",ISNA(MATCH($B$2,'Word Vectors'!A:A,0)),'Word Vectors'!A181=$B$2),"",SUMPRODUCT(INDIRECT("'Word Vectors'!B"&amp;MATCH($B$2,'Word Vectors'!A:A,0)&amp;":Z"&amp;MATCH($B$2,'Word Vectors'!A:A,0)),INDIRECT("'Word Vectors'!B181:Z181"))/(SQRT(SUMPRODUCT(INDIRECT("'Word Vectors'!B"&amp;MATCH($B$2,'Word Vectors'!A:A,0)&amp;":Z"&amp;MATCH($B$2,'Word Vectors'!A:A,0)),INDIRECT("'Word Vectors'!B"&amp;MATCH($B$2,'Word Vectors'!A:A,0)&amp;":Z"&amp;MATCH($B$2,'Word Vectors'!A:A,0))))*SQRT(SUMPRODUCT(INDIRECT("'Word Vectors'!B181:Z181"),INDIRECT("'Word Vectors'!B181:Z181")))))</f>
        <v/>
      </c>
      <c r="GB2">
        <f>IF(OR($B$2="",ISNA(MATCH($B$2,'Word Vectors'!A:A,0)),'Word Vectors'!A182=$B$2),"",SUMPRODUCT(INDIRECT("'Word Vectors'!B"&amp;MATCH($B$2,'Word Vectors'!A:A,0)&amp;":Z"&amp;MATCH($B$2,'Word Vectors'!A:A,0)),INDIRECT("'Word Vectors'!B182:Z182"))/(SQRT(SUMPRODUCT(INDIRECT("'Word Vectors'!B"&amp;MATCH($B$2,'Word Vectors'!A:A,0)&amp;":Z"&amp;MATCH($B$2,'Word Vectors'!A:A,0)),INDIRECT("'Word Vectors'!B"&amp;MATCH($B$2,'Word Vectors'!A:A,0)&amp;":Z"&amp;MATCH($B$2,'Word Vectors'!A:A,0))))*SQRT(SUMPRODUCT(INDIRECT("'Word Vectors'!B182:Z182"),INDIRECT("'Word Vectors'!B182:Z182")))))</f>
        <v/>
      </c>
      <c r="GC2">
        <f>IF(OR($B$2="",ISNA(MATCH($B$2,'Word Vectors'!A:A,0)),'Word Vectors'!A183=$B$2),"",SUMPRODUCT(INDIRECT("'Word Vectors'!B"&amp;MATCH($B$2,'Word Vectors'!A:A,0)&amp;":Z"&amp;MATCH($B$2,'Word Vectors'!A:A,0)),INDIRECT("'Word Vectors'!B183:Z183"))/(SQRT(SUMPRODUCT(INDIRECT("'Word Vectors'!B"&amp;MATCH($B$2,'Word Vectors'!A:A,0)&amp;":Z"&amp;MATCH($B$2,'Word Vectors'!A:A,0)),INDIRECT("'Word Vectors'!B"&amp;MATCH($B$2,'Word Vectors'!A:A,0)&amp;":Z"&amp;MATCH($B$2,'Word Vectors'!A:A,0))))*SQRT(SUMPRODUCT(INDIRECT("'Word Vectors'!B183:Z183"),INDIRECT("'Word Vectors'!B183:Z183")))))</f>
        <v/>
      </c>
      <c r="GD2">
        <f>IF(OR($B$2="",ISNA(MATCH($B$2,'Word Vectors'!A:A,0)),'Word Vectors'!A184=$B$2),"",SUMPRODUCT(INDIRECT("'Word Vectors'!B"&amp;MATCH($B$2,'Word Vectors'!A:A,0)&amp;":Z"&amp;MATCH($B$2,'Word Vectors'!A:A,0)),INDIRECT("'Word Vectors'!B184:Z184"))/(SQRT(SUMPRODUCT(INDIRECT("'Word Vectors'!B"&amp;MATCH($B$2,'Word Vectors'!A:A,0)&amp;":Z"&amp;MATCH($B$2,'Word Vectors'!A:A,0)),INDIRECT("'Word Vectors'!B"&amp;MATCH($B$2,'Word Vectors'!A:A,0)&amp;":Z"&amp;MATCH($B$2,'Word Vectors'!A:A,0))))*SQRT(SUMPRODUCT(INDIRECT("'Word Vectors'!B184:Z184"),INDIRECT("'Word Vectors'!B184:Z184")))))</f>
        <v/>
      </c>
      <c r="GE2">
        <f>IF(OR($B$2="",ISNA(MATCH($B$2,'Word Vectors'!A:A,0)),'Word Vectors'!A185=$B$2),"",SUMPRODUCT(INDIRECT("'Word Vectors'!B"&amp;MATCH($B$2,'Word Vectors'!A:A,0)&amp;":Z"&amp;MATCH($B$2,'Word Vectors'!A:A,0)),INDIRECT("'Word Vectors'!B185:Z185"))/(SQRT(SUMPRODUCT(INDIRECT("'Word Vectors'!B"&amp;MATCH($B$2,'Word Vectors'!A:A,0)&amp;":Z"&amp;MATCH($B$2,'Word Vectors'!A:A,0)),INDIRECT("'Word Vectors'!B"&amp;MATCH($B$2,'Word Vectors'!A:A,0)&amp;":Z"&amp;MATCH($B$2,'Word Vectors'!A:A,0))))*SQRT(SUMPRODUCT(INDIRECT("'Word Vectors'!B185:Z185"),INDIRECT("'Word Vectors'!B185:Z185")))))</f>
        <v/>
      </c>
      <c r="GF2">
        <f>IF(OR($B$2="",ISNA(MATCH($B$2,'Word Vectors'!A:A,0)),'Word Vectors'!A186=$B$2),"",SUMPRODUCT(INDIRECT("'Word Vectors'!B"&amp;MATCH($B$2,'Word Vectors'!A:A,0)&amp;":Z"&amp;MATCH($B$2,'Word Vectors'!A:A,0)),INDIRECT("'Word Vectors'!B186:Z186"))/(SQRT(SUMPRODUCT(INDIRECT("'Word Vectors'!B"&amp;MATCH($B$2,'Word Vectors'!A:A,0)&amp;":Z"&amp;MATCH($B$2,'Word Vectors'!A:A,0)),INDIRECT("'Word Vectors'!B"&amp;MATCH($B$2,'Word Vectors'!A:A,0)&amp;":Z"&amp;MATCH($B$2,'Word Vectors'!A:A,0))))*SQRT(SUMPRODUCT(INDIRECT("'Word Vectors'!B186:Z186"),INDIRECT("'Word Vectors'!B186:Z186")))))</f>
        <v/>
      </c>
      <c r="GG2">
        <f>IF(OR($B$2="",ISNA(MATCH($B$2,'Word Vectors'!A:A,0)),'Word Vectors'!A187=$B$2),"",SUMPRODUCT(INDIRECT("'Word Vectors'!B"&amp;MATCH($B$2,'Word Vectors'!A:A,0)&amp;":Z"&amp;MATCH($B$2,'Word Vectors'!A:A,0)),INDIRECT("'Word Vectors'!B187:Z187"))/(SQRT(SUMPRODUCT(INDIRECT("'Word Vectors'!B"&amp;MATCH($B$2,'Word Vectors'!A:A,0)&amp;":Z"&amp;MATCH($B$2,'Word Vectors'!A:A,0)),INDIRECT("'Word Vectors'!B"&amp;MATCH($B$2,'Word Vectors'!A:A,0)&amp;":Z"&amp;MATCH($B$2,'Word Vectors'!A:A,0))))*SQRT(SUMPRODUCT(INDIRECT("'Word Vectors'!B187:Z187"),INDIRECT("'Word Vectors'!B187:Z187")))))</f>
        <v/>
      </c>
      <c r="GH2">
        <f>IF(OR($B$2="",ISNA(MATCH($B$2,'Word Vectors'!A:A,0)),'Word Vectors'!A188=$B$2),"",SUMPRODUCT(INDIRECT("'Word Vectors'!B"&amp;MATCH($B$2,'Word Vectors'!A:A,0)&amp;":Z"&amp;MATCH($B$2,'Word Vectors'!A:A,0)),INDIRECT("'Word Vectors'!B188:Z188"))/(SQRT(SUMPRODUCT(INDIRECT("'Word Vectors'!B"&amp;MATCH($B$2,'Word Vectors'!A:A,0)&amp;":Z"&amp;MATCH($B$2,'Word Vectors'!A:A,0)),INDIRECT("'Word Vectors'!B"&amp;MATCH($B$2,'Word Vectors'!A:A,0)&amp;":Z"&amp;MATCH($B$2,'Word Vectors'!A:A,0))))*SQRT(SUMPRODUCT(INDIRECT("'Word Vectors'!B188:Z188"),INDIRECT("'Word Vectors'!B188:Z188")))))</f>
        <v/>
      </c>
      <c r="GI2">
        <f>IF(OR($B$2="",ISNA(MATCH($B$2,'Word Vectors'!A:A,0)),'Word Vectors'!A189=$B$2),"",SUMPRODUCT(INDIRECT("'Word Vectors'!B"&amp;MATCH($B$2,'Word Vectors'!A:A,0)&amp;":Z"&amp;MATCH($B$2,'Word Vectors'!A:A,0)),INDIRECT("'Word Vectors'!B189:Z189"))/(SQRT(SUMPRODUCT(INDIRECT("'Word Vectors'!B"&amp;MATCH($B$2,'Word Vectors'!A:A,0)&amp;":Z"&amp;MATCH($B$2,'Word Vectors'!A:A,0)),INDIRECT("'Word Vectors'!B"&amp;MATCH($B$2,'Word Vectors'!A:A,0)&amp;":Z"&amp;MATCH($B$2,'Word Vectors'!A:A,0))))*SQRT(SUMPRODUCT(INDIRECT("'Word Vectors'!B189:Z189"),INDIRECT("'Word Vectors'!B189:Z189")))))</f>
        <v/>
      </c>
      <c r="GJ2">
        <f>IF(OR($B$2="",ISNA(MATCH($B$2,'Word Vectors'!A:A,0)),'Word Vectors'!A190=$B$2),"",SUMPRODUCT(INDIRECT("'Word Vectors'!B"&amp;MATCH($B$2,'Word Vectors'!A:A,0)&amp;":Z"&amp;MATCH($B$2,'Word Vectors'!A:A,0)),INDIRECT("'Word Vectors'!B190:Z190"))/(SQRT(SUMPRODUCT(INDIRECT("'Word Vectors'!B"&amp;MATCH($B$2,'Word Vectors'!A:A,0)&amp;":Z"&amp;MATCH($B$2,'Word Vectors'!A:A,0)),INDIRECT("'Word Vectors'!B"&amp;MATCH($B$2,'Word Vectors'!A:A,0)&amp;":Z"&amp;MATCH($B$2,'Word Vectors'!A:A,0))))*SQRT(SUMPRODUCT(INDIRECT("'Word Vectors'!B190:Z190"),INDIRECT("'Word Vectors'!B190:Z190")))))</f>
        <v/>
      </c>
      <c r="GK2">
        <f>IF(OR($B$2="",ISNA(MATCH($B$2,'Word Vectors'!A:A,0)),'Word Vectors'!A191=$B$2),"",SUMPRODUCT(INDIRECT("'Word Vectors'!B"&amp;MATCH($B$2,'Word Vectors'!A:A,0)&amp;":Z"&amp;MATCH($B$2,'Word Vectors'!A:A,0)),INDIRECT("'Word Vectors'!B191:Z191"))/(SQRT(SUMPRODUCT(INDIRECT("'Word Vectors'!B"&amp;MATCH($B$2,'Word Vectors'!A:A,0)&amp;":Z"&amp;MATCH($B$2,'Word Vectors'!A:A,0)),INDIRECT("'Word Vectors'!B"&amp;MATCH($B$2,'Word Vectors'!A:A,0)&amp;":Z"&amp;MATCH($B$2,'Word Vectors'!A:A,0))))*SQRT(SUMPRODUCT(INDIRECT("'Word Vectors'!B191:Z191"),INDIRECT("'Word Vectors'!B191:Z191")))))</f>
        <v/>
      </c>
      <c r="GL2">
        <f>IF(OR($B$2="",ISNA(MATCH($B$2,'Word Vectors'!A:A,0)),'Word Vectors'!A192=$B$2),"",SUMPRODUCT(INDIRECT("'Word Vectors'!B"&amp;MATCH($B$2,'Word Vectors'!A:A,0)&amp;":Z"&amp;MATCH($B$2,'Word Vectors'!A:A,0)),INDIRECT("'Word Vectors'!B192:Z192"))/(SQRT(SUMPRODUCT(INDIRECT("'Word Vectors'!B"&amp;MATCH($B$2,'Word Vectors'!A:A,0)&amp;":Z"&amp;MATCH($B$2,'Word Vectors'!A:A,0)),INDIRECT("'Word Vectors'!B"&amp;MATCH($B$2,'Word Vectors'!A:A,0)&amp;":Z"&amp;MATCH($B$2,'Word Vectors'!A:A,0))))*SQRT(SUMPRODUCT(INDIRECT("'Word Vectors'!B192:Z192"),INDIRECT("'Word Vectors'!B192:Z192")))))</f>
        <v/>
      </c>
      <c r="GM2">
        <f>IF(OR($B$2="",ISNA(MATCH($B$2,'Word Vectors'!A:A,0)),'Word Vectors'!A193=$B$2),"",SUMPRODUCT(INDIRECT("'Word Vectors'!B"&amp;MATCH($B$2,'Word Vectors'!A:A,0)&amp;":Z"&amp;MATCH($B$2,'Word Vectors'!A:A,0)),INDIRECT("'Word Vectors'!B193:Z193"))/(SQRT(SUMPRODUCT(INDIRECT("'Word Vectors'!B"&amp;MATCH($B$2,'Word Vectors'!A:A,0)&amp;":Z"&amp;MATCH($B$2,'Word Vectors'!A:A,0)),INDIRECT("'Word Vectors'!B"&amp;MATCH($B$2,'Word Vectors'!A:A,0)&amp;":Z"&amp;MATCH($B$2,'Word Vectors'!A:A,0))))*SQRT(SUMPRODUCT(INDIRECT("'Word Vectors'!B193:Z193"),INDIRECT("'Word Vectors'!B193:Z193")))))</f>
        <v/>
      </c>
      <c r="GN2">
        <f>IF(OR($B$2="",ISNA(MATCH($B$2,'Word Vectors'!A:A,0)),'Word Vectors'!A194=$B$2),"",SUMPRODUCT(INDIRECT("'Word Vectors'!B"&amp;MATCH($B$2,'Word Vectors'!A:A,0)&amp;":Z"&amp;MATCH($B$2,'Word Vectors'!A:A,0)),INDIRECT("'Word Vectors'!B194:Z194"))/(SQRT(SUMPRODUCT(INDIRECT("'Word Vectors'!B"&amp;MATCH($B$2,'Word Vectors'!A:A,0)&amp;":Z"&amp;MATCH($B$2,'Word Vectors'!A:A,0)),INDIRECT("'Word Vectors'!B"&amp;MATCH($B$2,'Word Vectors'!A:A,0)&amp;":Z"&amp;MATCH($B$2,'Word Vectors'!A:A,0))))*SQRT(SUMPRODUCT(INDIRECT("'Word Vectors'!B194:Z194"),INDIRECT("'Word Vectors'!B194:Z194")))))</f>
        <v/>
      </c>
      <c r="GO2">
        <f>IF(OR($B$2="",ISNA(MATCH($B$2,'Word Vectors'!A:A,0)),'Word Vectors'!A195=$B$2),"",SUMPRODUCT(INDIRECT("'Word Vectors'!B"&amp;MATCH($B$2,'Word Vectors'!A:A,0)&amp;":Z"&amp;MATCH($B$2,'Word Vectors'!A:A,0)),INDIRECT("'Word Vectors'!B195:Z195"))/(SQRT(SUMPRODUCT(INDIRECT("'Word Vectors'!B"&amp;MATCH($B$2,'Word Vectors'!A:A,0)&amp;":Z"&amp;MATCH($B$2,'Word Vectors'!A:A,0)),INDIRECT("'Word Vectors'!B"&amp;MATCH($B$2,'Word Vectors'!A:A,0)&amp;":Z"&amp;MATCH($B$2,'Word Vectors'!A:A,0))))*SQRT(SUMPRODUCT(INDIRECT("'Word Vectors'!B195:Z195"),INDIRECT("'Word Vectors'!B195:Z195")))))</f>
        <v/>
      </c>
      <c r="GP2">
        <f>IF(OR($B$2="",ISNA(MATCH($B$2,'Word Vectors'!A:A,0)),'Word Vectors'!A196=$B$2),"",SUMPRODUCT(INDIRECT("'Word Vectors'!B"&amp;MATCH($B$2,'Word Vectors'!A:A,0)&amp;":Z"&amp;MATCH($B$2,'Word Vectors'!A:A,0)),INDIRECT("'Word Vectors'!B196:Z196"))/(SQRT(SUMPRODUCT(INDIRECT("'Word Vectors'!B"&amp;MATCH($B$2,'Word Vectors'!A:A,0)&amp;":Z"&amp;MATCH($B$2,'Word Vectors'!A:A,0)),INDIRECT("'Word Vectors'!B"&amp;MATCH($B$2,'Word Vectors'!A:A,0)&amp;":Z"&amp;MATCH($B$2,'Word Vectors'!A:A,0))))*SQRT(SUMPRODUCT(INDIRECT("'Word Vectors'!B196:Z196"),INDIRECT("'Word Vectors'!B196:Z196")))))</f>
        <v/>
      </c>
      <c r="GQ2">
        <f>IF(OR($B$2="",ISNA(MATCH($B$2,'Word Vectors'!A:A,0)),'Word Vectors'!A197=$B$2),"",SUMPRODUCT(INDIRECT("'Word Vectors'!B"&amp;MATCH($B$2,'Word Vectors'!A:A,0)&amp;":Z"&amp;MATCH($B$2,'Word Vectors'!A:A,0)),INDIRECT("'Word Vectors'!B197:Z197"))/(SQRT(SUMPRODUCT(INDIRECT("'Word Vectors'!B"&amp;MATCH($B$2,'Word Vectors'!A:A,0)&amp;":Z"&amp;MATCH($B$2,'Word Vectors'!A:A,0)),INDIRECT("'Word Vectors'!B"&amp;MATCH($B$2,'Word Vectors'!A:A,0)&amp;":Z"&amp;MATCH($B$2,'Word Vectors'!A:A,0))))*SQRT(SUMPRODUCT(INDIRECT("'Word Vectors'!B197:Z197"),INDIRECT("'Word Vectors'!B197:Z197")))))</f>
        <v/>
      </c>
      <c r="GR2">
        <f>IF(OR($B$2="",ISNA(MATCH($B$2,'Word Vectors'!A:A,0)),'Word Vectors'!A198=$B$2),"",SUMPRODUCT(INDIRECT("'Word Vectors'!B"&amp;MATCH($B$2,'Word Vectors'!A:A,0)&amp;":Z"&amp;MATCH($B$2,'Word Vectors'!A:A,0)),INDIRECT("'Word Vectors'!B198:Z198"))/(SQRT(SUMPRODUCT(INDIRECT("'Word Vectors'!B"&amp;MATCH($B$2,'Word Vectors'!A:A,0)&amp;":Z"&amp;MATCH($B$2,'Word Vectors'!A:A,0)),INDIRECT("'Word Vectors'!B"&amp;MATCH($B$2,'Word Vectors'!A:A,0)&amp;":Z"&amp;MATCH($B$2,'Word Vectors'!A:A,0))))*SQRT(SUMPRODUCT(INDIRECT("'Word Vectors'!B198:Z198"),INDIRECT("'Word Vectors'!B198:Z198")))))</f>
        <v/>
      </c>
      <c r="GS2">
        <f>IF(OR($B$2="",ISNA(MATCH($B$2,'Word Vectors'!A:A,0)),'Word Vectors'!A199=$B$2),"",SUMPRODUCT(INDIRECT("'Word Vectors'!B"&amp;MATCH($B$2,'Word Vectors'!A:A,0)&amp;":Z"&amp;MATCH($B$2,'Word Vectors'!A:A,0)),INDIRECT("'Word Vectors'!B199:Z199"))/(SQRT(SUMPRODUCT(INDIRECT("'Word Vectors'!B"&amp;MATCH($B$2,'Word Vectors'!A:A,0)&amp;":Z"&amp;MATCH($B$2,'Word Vectors'!A:A,0)),INDIRECT("'Word Vectors'!B"&amp;MATCH($B$2,'Word Vectors'!A:A,0)&amp;":Z"&amp;MATCH($B$2,'Word Vectors'!A:A,0))))*SQRT(SUMPRODUCT(INDIRECT("'Word Vectors'!B199:Z199"),INDIRECT("'Word Vectors'!B199:Z199")))))</f>
        <v/>
      </c>
      <c r="GT2">
        <f>IF(OR($B$2="",ISNA(MATCH($B$2,'Word Vectors'!A:A,0)),'Word Vectors'!A200=$B$2),"",SUMPRODUCT(INDIRECT("'Word Vectors'!B"&amp;MATCH($B$2,'Word Vectors'!A:A,0)&amp;":Z"&amp;MATCH($B$2,'Word Vectors'!A:A,0)),INDIRECT("'Word Vectors'!B200:Z200"))/(SQRT(SUMPRODUCT(INDIRECT("'Word Vectors'!B"&amp;MATCH($B$2,'Word Vectors'!A:A,0)&amp;":Z"&amp;MATCH($B$2,'Word Vectors'!A:A,0)),INDIRECT("'Word Vectors'!B"&amp;MATCH($B$2,'Word Vectors'!A:A,0)&amp;":Z"&amp;MATCH($B$2,'Word Vectors'!A:A,0))))*SQRT(SUMPRODUCT(INDIRECT("'Word Vectors'!B200:Z200"),INDIRECT("'Word Vectors'!B200:Z200")))))</f>
        <v/>
      </c>
      <c r="GU2">
        <f>IF(OR($B$2="",ISNA(MATCH($B$2,'Word Vectors'!A:A,0)),'Word Vectors'!A201=$B$2),"",SUMPRODUCT(INDIRECT("'Word Vectors'!B"&amp;MATCH($B$2,'Word Vectors'!A:A,0)&amp;":Z"&amp;MATCH($B$2,'Word Vectors'!A:A,0)),INDIRECT("'Word Vectors'!B201:Z201"))/(SQRT(SUMPRODUCT(INDIRECT("'Word Vectors'!B"&amp;MATCH($B$2,'Word Vectors'!A:A,0)&amp;":Z"&amp;MATCH($B$2,'Word Vectors'!A:A,0)),INDIRECT("'Word Vectors'!B"&amp;MATCH($B$2,'Word Vectors'!A:A,0)&amp;":Z"&amp;MATCH($B$2,'Word Vectors'!A:A,0))))*SQRT(SUMPRODUCT(INDIRECT("'Word Vectors'!B201:Z201"),INDIRECT("'Word Vectors'!B201:Z201")))))</f>
        <v/>
      </c>
      <c r="GV2">
        <f>IF(OR($B$2="",ISNA(MATCH($B$2,'Word Vectors'!A:A,0)),'Word Vectors'!A202=$B$2),"",SUMPRODUCT(INDIRECT("'Word Vectors'!B"&amp;MATCH($B$2,'Word Vectors'!A:A,0)&amp;":Z"&amp;MATCH($B$2,'Word Vectors'!A:A,0)),INDIRECT("'Word Vectors'!B202:Z202"))/(SQRT(SUMPRODUCT(INDIRECT("'Word Vectors'!B"&amp;MATCH($B$2,'Word Vectors'!A:A,0)&amp;":Z"&amp;MATCH($B$2,'Word Vectors'!A:A,0)),INDIRECT("'Word Vectors'!B"&amp;MATCH($B$2,'Word Vectors'!A:A,0)&amp;":Z"&amp;MATCH($B$2,'Word Vectors'!A:A,0))))*SQRT(SUMPRODUCT(INDIRECT("'Word Vectors'!B202:Z202"),INDIRECT("'Word Vectors'!B202:Z202")))))</f>
        <v/>
      </c>
      <c r="GW2">
        <f>IF(OR($B$2="",ISNA(MATCH($B$2,'Word Vectors'!A:A,0)),'Word Vectors'!A203=$B$2),"",SUMPRODUCT(INDIRECT("'Word Vectors'!B"&amp;MATCH($B$2,'Word Vectors'!A:A,0)&amp;":Z"&amp;MATCH($B$2,'Word Vectors'!A:A,0)),INDIRECT("'Word Vectors'!B203:Z203"))/(SQRT(SUMPRODUCT(INDIRECT("'Word Vectors'!B"&amp;MATCH($B$2,'Word Vectors'!A:A,0)&amp;":Z"&amp;MATCH($B$2,'Word Vectors'!A:A,0)),INDIRECT("'Word Vectors'!B"&amp;MATCH($B$2,'Word Vectors'!A:A,0)&amp;":Z"&amp;MATCH($B$2,'Word Vectors'!A:A,0))))*SQRT(SUMPRODUCT(INDIRECT("'Word Vectors'!B203:Z203"),INDIRECT("'Word Vectors'!B203:Z203")))))</f>
        <v/>
      </c>
      <c r="GX2">
        <f>IF(OR($B$2="",ISNA(MATCH($B$2,'Word Vectors'!A:A,0)),'Word Vectors'!A204=$B$2),"",SUMPRODUCT(INDIRECT("'Word Vectors'!B"&amp;MATCH($B$2,'Word Vectors'!A:A,0)&amp;":Z"&amp;MATCH($B$2,'Word Vectors'!A:A,0)),INDIRECT("'Word Vectors'!B204:Z204"))/(SQRT(SUMPRODUCT(INDIRECT("'Word Vectors'!B"&amp;MATCH($B$2,'Word Vectors'!A:A,0)&amp;":Z"&amp;MATCH($B$2,'Word Vectors'!A:A,0)),INDIRECT("'Word Vectors'!B"&amp;MATCH($B$2,'Word Vectors'!A:A,0)&amp;":Z"&amp;MATCH($B$2,'Word Vectors'!A:A,0))))*SQRT(SUMPRODUCT(INDIRECT("'Word Vectors'!B204:Z204"),INDIRECT("'Word Vectors'!B204:Z204")))))</f>
        <v/>
      </c>
      <c r="GY2">
        <f>IF(OR($B$2="",ISNA(MATCH($B$2,'Word Vectors'!A:A,0)),'Word Vectors'!A205=$B$2),"",SUMPRODUCT(INDIRECT("'Word Vectors'!B"&amp;MATCH($B$2,'Word Vectors'!A:A,0)&amp;":Z"&amp;MATCH($B$2,'Word Vectors'!A:A,0)),INDIRECT("'Word Vectors'!B205:Z205"))/(SQRT(SUMPRODUCT(INDIRECT("'Word Vectors'!B"&amp;MATCH($B$2,'Word Vectors'!A:A,0)&amp;":Z"&amp;MATCH($B$2,'Word Vectors'!A:A,0)),INDIRECT("'Word Vectors'!B"&amp;MATCH($B$2,'Word Vectors'!A:A,0)&amp;":Z"&amp;MATCH($B$2,'Word Vectors'!A:A,0))))*SQRT(SUMPRODUCT(INDIRECT("'Word Vectors'!B205:Z205"),INDIRECT("'Word Vectors'!B205:Z205")))))</f>
        <v/>
      </c>
      <c r="GZ2">
        <f>IF(OR($B$2="",ISNA(MATCH($B$2,'Word Vectors'!A:A,0)),'Word Vectors'!A206=$B$2),"",SUMPRODUCT(INDIRECT("'Word Vectors'!B"&amp;MATCH($B$2,'Word Vectors'!A:A,0)&amp;":Z"&amp;MATCH($B$2,'Word Vectors'!A:A,0)),INDIRECT("'Word Vectors'!B206:Z206"))/(SQRT(SUMPRODUCT(INDIRECT("'Word Vectors'!B"&amp;MATCH($B$2,'Word Vectors'!A:A,0)&amp;":Z"&amp;MATCH($B$2,'Word Vectors'!A:A,0)),INDIRECT("'Word Vectors'!B"&amp;MATCH($B$2,'Word Vectors'!A:A,0)&amp;":Z"&amp;MATCH($B$2,'Word Vectors'!A:A,0))))*SQRT(SUMPRODUCT(INDIRECT("'Word Vectors'!B206:Z206"),INDIRECT("'Word Vectors'!B206:Z206")))))</f>
        <v/>
      </c>
      <c r="HA2">
        <f>IF(OR($B$2="",ISNA(MATCH($B$2,'Word Vectors'!A:A,0)),'Word Vectors'!A207=$B$2),"",SUMPRODUCT(INDIRECT("'Word Vectors'!B"&amp;MATCH($B$2,'Word Vectors'!A:A,0)&amp;":Z"&amp;MATCH($B$2,'Word Vectors'!A:A,0)),INDIRECT("'Word Vectors'!B207:Z207"))/(SQRT(SUMPRODUCT(INDIRECT("'Word Vectors'!B"&amp;MATCH($B$2,'Word Vectors'!A:A,0)&amp;":Z"&amp;MATCH($B$2,'Word Vectors'!A:A,0)),INDIRECT("'Word Vectors'!B"&amp;MATCH($B$2,'Word Vectors'!A:A,0)&amp;":Z"&amp;MATCH($B$2,'Word Vectors'!A:A,0))))*SQRT(SUMPRODUCT(INDIRECT("'Word Vectors'!B207:Z207"),INDIRECT("'Word Vectors'!B207:Z207")))))</f>
        <v/>
      </c>
      <c r="HB2">
        <f>IF(OR($B$2="",ISNA(MATCH($B$2,'Word Vectors'!A:A,0)),'Word Vectors'!A208=$B$2),"",SUMPRODUCT(INDIRECT("'Word Vectors'!B"&amp;MATCH($B$2,'Word Vectors'!A:A,0)&amp;":Z"&amp;MATCH($B$2,'Word Vectors'!A:A,0)),INDIRECT("'Word Vectors'!B208:Z208"))/(SQRT(SUMPRODUCT(INDIRECT("'Word Vectors'!B"&amp;MATCH($B$2,'Word Vectors'!A:A,0)&amp;":Z"&amp;MATCH($B$2,'Word Vectors'!A:A,0)),INDIRECT("'Word Vectors'!B"&amp;MATCH($B$2,'Word Vectors'!A:A,0)&amp;":Z"&amp;MATCH($B$2,'Word Vectors'!A:A,0))))*SQRT(SUMPRODUCT(INDIRECT("'Word Vectors'!B208:Z208"),INDIRECT("'Word Vectors'!B208:Z208")))))</f>
        <v/>
      </c>
      <c r="HC2">
        <f>IF(OR($B$2="",ISNA(MATCH($B$2,'Word Vectors'!A:A,0)),'Word Vectors'!A209=$B$2),"",SUMPRODUCT(INDIRECT("'Word Vectors'!B"&amp;MATCH($B$2,'Word Vectors'!A:A,0)&amp;":Z"&amp;MATCH($B$2,'Word Vectors'!A:A,0)),INDIRECT("'Word Vectors'!B209:Z209"))/(SQRT(SUMPRODUCT(INDIRECT("'Word Vectors'!B"&amp;MATCH($B$2,'Word Vectors'!A:A,0)&amp;":Z"&amp;MATCH($B$2,'Word Vectors'!A:A,0)),INDIRECT("'Word Vectors'!B"&amp;MATCH($B$2,'Word Vectors'!A:A,0)&amp;":Z"&amp;MATCH($B$2,'Word Vectors'!A:A,0))))*SQRT(SUMPRODUCT(INDIRECT("'Word Vectors'!B209:Z209"),INDIRECT("'Word Vectors'!B209:Z209")))))</f>
        <v/>
      </c>
      <c r="HD2">
        <f>IF(OR($B$2="",ISNA(MATCH($B$2,'Word Vectors'!A:A,0)),'Word Vectors'!A210=$B$2),"",SUMPRODUCT(INDIRECT("'Word Vectors'!B"&amp;MATCH($B$2,'Word Vectors'!A:A,0)&amp;":Z"&amp;MATCH($B$2,'Word Vectors'!A:A,0)),INDIRECT("'Word Vectors'!B210:Z210"))/(SQRT(SUMPRODUCT(INDIRECT("'Word Vectors'!B"&amp;MATCH($B$2,'Word Vectors'!A:A,0)&amp;":Z"&amp;MATCH($B$2,'Word Vectors'!A:A,0)),INDIRECT("'Word Vectors'!B"&amp;MATCH($B$2,'Word Vectors'!A:A,0)&amp;":Z"&amp;MATCH($B$2,'Word Vectors'!A:A,0))))*SQRT(SUMPRODUCT(INDIRECT("'Word Vectors'!B210:Z210"),INDIRECT("'Word Vectors'!B210:Z210")))))</f>
        <v/>
      </c>
      <c r="HE2">
        <f>IF(OR($B$2="",ISNA(MATCH($B$2,'Word Vectors'!A:A,0)),'Word Vectors'!A211=$B$2),"",SUMPRODUCT(INDIRECT("'Word Vectors'!B"&amp;MATCH($B$2,'Word Vectors'!A:A,0)&amp;":Z"&amp;MATCH($B$2,'Word Vectors'!A:A,0)),INDIRECT("'Word Vectors'!B211:Z211"))/(SQRT(SUMPRODUCT(INDIRECT("'Word Vectors'!B"&amp;MATCH($B$2,'Word Vectors'!A:A,0)&amp;":Z"&amp;MATCH($B$2,'Word Vectors'!A:A,0)),INDIRECT("'Word Vectors'!B"&amp;MATCH($B$2,'Word Vectors'!A:A,0)&amp;":Z"&amp;MATCH($B$2,'Word Vectors'!A:A,0))))*SQRT(SUMPRODUCT(INDIRECT("'Word Vectors'!B211:Z211"),INDIRECT("'Word Vectors'!B211:Z211")))))</f>
        <v/>
      </c>
      <c r="HF2">
        <f>IF(OR($B$2="",ISNA(MATCH($B$2,'Word Vectors'!A:A,0)),'Word Vectors'!A212=$B$2),"",SUMPRODUCT(INDIRECT("'Word Vectors'!B"&amp;MATCH($B$2,'Word Vectors'!A:A,0)&amp;":Z"&amp;MATCH($B$2,'Word Vectors'!A:A,0)),INDIRECT("'Word Vectors'!B212:Z212"))/(SQRT(SUMPRODUCT(INDIRECT("'Word Vectors'!B"&amp;MATCH($B$2,'Word Vectors'!A:A,0)&amp;":Z"&amp;MATCH($B$2,'Word Vectors'!A:A,0)),INDIRECT("'Word Vectors'!B"&amp;MATCH($B$2,'Word Vectors'!A:A,0)&amp;":Z"&amp;MATCH($B$2,'Word Vectors'!A:A,0))))*SQRT(SUMPRODUCT(INDIRECT("'Word Vectors'!B212:Z212"),INDIRECT("'Word Vectors'!B212:Z212")))))</f>
        <v/>
      </c>
      <c r="HG2">
        <f>IF(OR($B$2="",ISNA(MATCH($B$2,'Word Vectors'!A:A,0)),'Word Vectors'!A213=$B$2),"",SUMPRODUCT(INDIRECT("'Word Vectors'!B"&amp;MATCH($B$2,'Word Vectors'!A:A,0)&amp;":Z"&amp;MATCH($B$2,'Word Vectors'!A:A,0)),INDIRECT("'Word Vectors'!B213:Z213"))/(SQRT(SUMPRODUCT(INDIRECT("'Word Vectors'!B"&amp;MATCH($B$2,'Word Vectors'!A:A,0)&amp;":Z"&amp;MATCH($B$2,'Word Vectors'!A:A,0)),INDIRECT("'Word Vectors'!B"&amp;MATCH($B$2,'Word Vectors'!A:A,0)&amp;":Z"&amp;MATCH($B$2,'Word Vectors'!A:A,0))))*SQRT(SUMPRODUCT(INDIRECT("'Word Vectors'!B213:Z213"),INDIRECT("'Word Vectors'!B213:Z213")))))</f>
        <v/>
      </c>
      <c r="HH2">
        <f>IF(OR($B$2="",ISNA(MATCH($B$2,'Word Vectors'!A:A,0)),'Word Vectors'!A214=$B$2),"",SUMPRODUCT(INDIRECT("'Word Vectors'!B"&amp;MATCH($B$2,'Word Vectors'!A:A,0)&amp;":Z"&amp;MATCH($B$2,'Word Vectors'!A:A,0)),INDIRECT("'Word Vectors'!B214:Z214"))/(SQRT(SUMPRODUCT(INDIRECT("'Word Vectors'!B"&amp;MATCH($B$2,'Word Vectors'!A:A,0)&amp;":Z"&amp;MATCH($B$2,'Word Vectors'!A:A,0)),INDIRECT("'Word Vectors'!B"&amp;MATCH($B$2,'Word Vectors'!A:A,0)&amp;":Z"&amp;MATCH($B$2,'Word Vectors'!A:A,0))))*SQRT(SUMPRODUCT(INDIRECT("'Word Vectors'!B214:Z214"),INDIRECT("'Word Vectors'!B214:Z214")))))</f>
        <v/>
      </c>
      <c r="HI2">
        <f>IF(OR($B$2="",ISNA(MATCH($B$2,'Word Vectors'!A:A,0)),'Word Vectors'!A215=$B$2),"",SUMPRODUCT(INDIRECT("'Word Vectors'!B"&amp;MATCH($B$2,'Word Vectors'!A:A,0)&amp;":Z"&amp;MATCH($B$2,'Word Vectors'!A:A,0)),INDIRECT("'Word Vectors'!B215:Z215"))/(SQRT(SUMPRODUCT(INDIRECT("'Word Vectors'!B"&amp;MATCH($B$2,'Word Vectors'!A:A,0)&amp;":Z"&amp;MATCH($B$2,'Word Vectors'!A:A,0)),INDIRECT("'Word Vectors'!B"&amp;MATCH($B$2,'Word Vectors'!A:A,0)&amp;":Z"&amp;MATCH($B$2,'Word Vectors'!A:A,0))))*SQRT(SUMPRODUCT(INDIRECT("'Word Vectors'!B215:Z215"),INDIRECT("'Word Vectors'!B215:Z215")))))</f>
        <v/>
      </c>
      <c r="HJ2">
        <f>IF(OR($B$2="",ISNA(MATCH($B$2,'Word Vectors'!A:A,0)),'Word Vectors'!A216=$B$2),"",SUMPRODUCT(INDIRECT("'Word Vectors'!B"&amp;MATCH($B$2,'Word Vectors'!A:A,0)&amp;":Z"&amp;MATCH($B$2,'Word Vectors'!A:A,0)),INDIRECT("'Word Vectors'!B216:Z216"))/(SQRT(SUMPRODUCT(INDIRECT("'Word Vectors'!B"&amp;MATCH($B$2,'Word Vectors'!A:A,0)&amp;":Z"&amp;MATCH($B$2,'Word Vectors'!A:A,0)),INDIRECT("'Word Vectors'!B"&amp;MATCH($B$2,'Word Vectors'!A:A,0)&amp;":Z"&amp;MATCH($B$2,'Word Vectors'!A:A,0))))*SQRT(SUMPRODUCT(INDIRECT("'Word Vectors'!B216:Z216"),INDIRECT("'Word Vectors'!B216:Z216")))))</f>
        <v/>
      </c>
      <c r="HK2">
        <f>IF(OR($B$2="",ISNA(MATCH($B$2,'Word Vectors'!A:A,0)),'Word Vectors'!A217=$B$2),"",SUMPRODUCT(INDIRECT("'Word Vectors'!B"&amp;MATCH($B$2,'Word Vectors'!A:A,0)&amp;":Z"&amp;MATCH($B$2,'Word Vectors'!A:A,0)),INDIRECT("'Word Vectors'!B217:Z217"))/(SQRT(SUMPRODUCT(INDIRECT("'Word Vectors'!B"&amp;MATCH($B$2,'Word Vectors'!A:A,0)&amp;":Z"&amp;MATCH($B$2,'Word Vectors'!A:A,0)),INDIRECT("'Word Vectors'!B"&amp;MATCH($B$2,'Word Vectors'!A:A,0)&amp;":Z"&amp;MATCH($B$2,'Word Vectors'!A:A,0))))*SQRT(SUMPRODUCT(INDIRECT("'Word Vectors'!B217:Z217"),INDIRECT("'Word Vectors'!B217:Z217")))))</f>
        <v/>
      </c>
      <c r="HL2">
        <f>IF(OR($B$2="",ISNA(MATCH($B$2,'Word Vectors'!A:A,0)),'Word Vectors'!A218=$B$2),"",SUMPRODUCT(INDIRECT("'Word Vectors'!B"&amp;MATCH($B$2,'Word Vectors'!A:A,0)&amp;":Z"&amp;MATCH($B$2,'Word Vectors'!A:A,0)),INDIRECT("'Word Vectors'!B218:Z218"))/(SQRT(SUMPRODUCT(INDIRECT("'Word Vectors'!B"&amp;MATCH($B$2,'Word Vectors'!A:A,0)&amp;":Z"&amp;MATCH($B$2,'Word Vectors'!A:A,0)),INDIRECT("'Word Vectors'!B"&amp;MATCH($B$2,'Word Vectors'!A:A,0)&amp;":Z"&amp;MATCH($B$2,'Word Vectors'!A:A,0))))*SQRT(SUMPRODUCT(INDIRECT("'Word Vectors'!B218:Z218"),INDIRECT("'Word Vectors'!B218:Z218")))))</f>
        <v/>
      </c>
      <c r="HM2">
        <f>IF(OR($B$2="",ISNA(MATCH($B$2,'Word Vectors'!A:A,0)),'Word Vectors'!A219=$B$2),"",SUMPRODUCT(INDIRECT("'Word Vectors'!B"&amp;MATCH($B$2,'Word Vectors'!A:A,0)&amp;":Z"&amp;MATCH($B$2,'Word Vectors'!A:A,0)),INDIRECT("'Word Vectors'!B219:Z219"))/(SQRT(SUMPRODUCT(INDIRECT("'Word Vectors'!B"&amp;MATCH($B$2,'Word Vectors'!A:A,0)&amp;":Z"&amp;MATCH($B$2,'Word Vectors'!A:A,0)),INDIRECT("'Word Vectors'!B"&amp;MATCH($B$2,'Word Vectors'!A:A,0)&amp;":Z"&amp;MATCH($B$2,'Word Vectors'!A:A,0))))*SQRT(SUMPRODUCT(INDIRECT("'Word Vectors'!B219:Z219"),INDIRECT("'Word Vectors'!B219:Z219")))))</f>
        <v/>
      </c>
      <c r="HN2">
        <f>IF(OR($B$2="",ISNA(MATCH($B$2,'Word Vectors'!A:A,0)),'Word Vectors'!A220=$B$2),"",SUMPRODUCT(INDIRECT("'Word Vectors'!B"&amp;MATCH($B$2,'Word Vectors'!A:A,0)&amp;":Z"&amp;MATCH($B$2,'Word Vectors'!A:A,0)),INDIRECT("'Word Vectors'!B220:Z220"))/(SQRT(SUMPRODUCT(INDIRECT("'Word Vectors'!B"&amp;MATCH($B$2,'Word Vectors'!A:A,0)&amp;":Z"&amp;MATCH($B$2,'Word Vectors'!A:A,0)),INDIRECT("'Word Vectors'!B"&amp;MATCH($B$2,'Word Vectors'!A:A,0)&amp;":Z"&amp;MATCH($B$2,'Word Vectors'!A:A,0))))*SQRT(SUMPRODUCT(INDIRECT("'Word Vectors'!B220:Z220"),INDIRECT("'Word Vectors'!B220:Z220")))))</f>
        <v/>
      </c>
      <c r="HO2">
        <f>IF(OR($B$2="",ISNA(MATCH($B$2,'Word Vectors'!A:A,0)),'Word Vectors'!A221=$B$2),"",SUMPRODUCT(INDIRECT("'Word Vectors'!B"&amp;MATCH($B$2,'Word Vectors'!A:A,0)&amp;":Z"&amp;MATCH($B$2,'Word Vectors'!A:A,0)),INDIRECT("'Word Vectors'!B221:Z221"))/(SQRT(SUMPRODUCT(INDIRECT("'Word Vectors'!B"&amp;MATCH($B$2,'Word Vectors'!A:A,0)&amp;":Z"&amp;MATCH($B$2,'Word Vectors'!A:A,0)),INDIRECT("'Word Vectors'!B"&amp;MATCH($B$2,'Word Vectors'!A:A,0)&amp;":Z"&amp;MATCH($B$2,'Word Vectors'!A:A,0))))*SQRT(SUMPRODUCT(INDIRECT("'Word Vectors'!B221:Z221"),INDIRECT("'Word Vectors'!B221:Z221")))))</f>
        <v/>
      </c>
      <c r="HP2">
        <f>IF(OR($B$2="",ISNA(MATCH($B$2,'Word Vectors'!A:A,0)),'Word Vectors'!A222=$B$2),"",SUMPRODUCT(INDIRECT("'Word Vectors'!B"&amp;MATCH($B$2,'Word Vectors'!A:A,0)&amp;":Z"&amp;MATCH($B$2,'Word Vectors'!A:A,0)),INDIRECT("'Word Vectors'!B222:Z222"))/(SQRT(SUMPRODUCT(INDIRECT("'Word Vectors'!B"&amp;MATCH($B$2,'Word Vectors'!A:A,0)&amp;":Z"&amp;MATCH($B$2,'Word Vectors'!A:A,0)),INDIRECT("'Word Vectors'!B"&amp;MATCH($B$2,'Word Vectors'!A:A,0)&amp;":Z"&amp;MATCH($B$2,'Word Vectors'!A:A,0))))*SQRT(SUMPRODUCT(INDIRECT("'Word Vectors'!B222:Z222"),INDIRECT("'Word Vectors'!B222:Z222")))))</f>
        <v/>
      </c>
      <c r="HQ2">
        <f>IF(OR($B$2="",ISNA(MATCH($B$2,'Word Vectors'!A:A,0)),'Word Vectors'!A223=$B$2),"",SUMPRODUCT(INDIRECT("'Word Vectors'!B"&amp;MATCH($B$2,'Word Vectors'!A:A,0)&amp;":Z"&amp;MATCH($B$2,'Word Vectors'!A:A,0)),INDIRECT("'Word Vectors'!B223:Z223"))/(SQRT(SUMPRODUCT(INDIRECT("'Word Vectors'!B"&amp;MATCH($B$2,'Word Vectors'!A:A,0)&amp;":Z"&amp;MATCH($B$2,'Word Vectors'!A:A,0)),INDIRECT("'Word Vectors'!B"&amp;MATCH($B$2,'Word Vectors'!A:A,0)&amp;":Z"&amp;MATCH($B$2,'Word Vectors'!A:A,0))))*SQRT(SUMPRODUCT(INDIRECT("'Word Vectors'!B223:Z223"),INDIRECT("'Word Vectors'!B223:Z223")))))</f>
        <v/>
      </c>
      <c r="HR2">
        <f>IF(OR($B$2="",ISNA(MATCH($B$2,'Word Vectors'!A:A,0)),'Word Vectors'!A224=$B$2),"",SUMPRODUCT(INDIRECT("'Word Vectors'!B"&amp;MATCH($B$2,'Word Vectors'!A:A,0)&amp;":Z"&amp;MATCH($B$2,'Word Vectors'!A:A,0)),INDIRECT("'Word Vectors'!B224:Z224"))/(SQRT(SUMPRODUCT(INDIRECT("'Word Vectors'!B"&amp;MATCH($B$2,'Word Vectors'!A:A,0)&amp;":Z"&amp;MATCH($B$2,'Word Vectors'!A:A,0)),INDIRECT("'Word Vectors'!B"&amp;MATCH($B$2,'Word Vectors'!A:A,0)&amp;":Z"&amp;MATCH($B$2,'Word Vectors'!A:A,0))))*SQRT(SUMPRODUCT(INDIRECT("'Word Vectors'!B224:Z224"),INDIRECT("'Word Vectors'!B224:Z224")))))</f>
        <v/>
      </c>
      <c r="HS2">
        <f>IF(OR($B$2="",ISNA(MATCH($B$2,'Word Vectors'!A:A,0)),'Word Vectors'!A225=$B$2),"",SUMPRODUCT(INDIRECT("'Word Vectors'!B"&amp;MATCH($B$2,'Word Vectors'!A:A,0)&amp;":Z"&amp;MATCH($B$2,'Word Vectors'!A:A,0)),INDIRECT("'Word Vectors'!B225:Z225"))/(SQRT(SUMPRODUCT(INDIRECT("'Word Vectors'!B"&amp;MATCH($B$2,'Word Vectors'!A:A,0)&amp;":Z"&amp;MATCH($B$2,'Word Vectors'!A:A,0)),INDIRECT("'Word Vectors'!B"&amp;MATCH($B$2,'Word Vectors'!A:A,0)&amp;":Z"&amp;MATCH($B$2,'Word Vectors'!A:A,0))))*SQRT(SUMPRODUCT(INDIRECT("'Word Vectors'!B225:Z225"),INDIRECT("'Word Vectors'!B225:Z225")))))</f>
        <v/>
      </c>
      <c r="HT2">
        <f>IF(OR($B$2="",ISNA(MATCH($B$2,'Word Vectors'!A:A,0)),'Word Vectors'!A226=$B$2),"",SUMPRODUCT(INDIRECT("'Word Vectors'!B"&amp;MATCH($B$2,'Word Vectors'!A:A,0)&amp;":Z"&amp;MATCH($B$2,'Word Vectors'!A:A,0)),INDIRECT("'Word Vectors'!B226:Z226"))/(SQRT(SUMPRODUCT(INDIRECT("'Word Vectors'!B"&amp;MATCH($B$2,'Word Vectors'!A:A,0)&amp;":Z"&amp;MATCH($B$2,'Word Vectors'!A:A,0)),INDIRECT("'Word Vectors'!B"&amp;MATCH($B$2,'Word Vectors'!A:A,0)&amp;":Z"&amp;MATCH($B$2,'Word Vectors'!A:A,0))))*SQRT(SUMPRODUCT(INDIRECT("'Word Vectors'!B226:Z226"),INDIRECT("'Word Vectors'!B226:Z226")))))</f>
        <v/>
      </c>
      <c r="HU2">
        <f>IF(OR($B$2="",ISNA(MATCH($B$2,'Word Vectors'!A:A,0)),'Word Vectors'!A227=$B$2),"",SUMPRODUCT(INDIRECT("'Word Vectors'!B"&amp;MATCH($B$2,'Word Vectors'!A:A,0)&amp;":Z"&amp;MATCH($B$2,'Word Vectors'!A:A,0)),INDIRECT("'Word Vectors'!B227:Z227"))/(SQRT(SUMPRODUCT(INDIRECT("'Word Vectors'!B"&amp;MATCH($B$2,'Word Vectors'!A:A,0)&amp;":Z"&amp;MATCH($B$2,'Word Vectors'!A:A,0)),INDIRECT("'Word Vectors'!B"&amp;MATCH($B$2,'Word Vectors'!A:A,0)&amp;":Z"&amp;MATCH($B$2,'Word Vectors'!A:A,0))))*SQRT(SUMPRODUCT(INDIRECT("'Word Vectors'!B227:Z227"),INDIRECT("'Word Vectors'!B227:Z227")))))</f>
        <v/>
      </c>
      <c r="HV2">
        <f>IF(OR($B$2="",ISNA(MATCH($B$2,'Word Vectors'!A:A,0)),'Word Vectors'!A228=$B$2),"",SUMPRODUCT(INDIRECT("'Word Vectors'!B"&amp;MATCH($B$2,'Word Vectors'!A:A,0)&amp;":Z"&amp;MATCH($B$2,'Word Vectors'!A:A,0)),INDIRECT("'Word Vectors'!B228:Z228"))/(SQRT(SUMPRODUCT(INDIRECT("'Word Vectors'!B"&amp;MATCH($B$2,'Word Vectors'!A:A,0)&amp;":Z"&amp;MATCH($B$2,'Word Vectors'!A:A,0)),INDIRECT("'Word Vectors'!B"&amp;MATCH($B$2,'Word Vectors'!A:A,0)&amp;":Z"&amp;MATCH($B$2,'Word Vectors'!A:A,0))))*SQRT(SUMPRODUCT(INDIRECT("'Word Vectors'!B228:Z228"),INDIRECT("'Word Vectors'!B228:Z228")))))</f>
        <v/>
      </c>
      <c r="HW2">
        <f>IF(OR($B$2="",ISNA(MATCH($B$2,'Word Vectors'!A:A,0)),'Word Vectors'!A229=$B$2),"",SUMPRODUCT(INDIRECT("'Word Vectors'!B"&amp;MATCH($B$2,'Word Vectors'!A:A,0)&amp;":Z"&amp;MATCH($B$2,'Word Vectors'!A:A,0)),INDIRECT("'Word Vectors'!B229:Z229"))/(SQRT(SUMPRODUCT(INDIRECT("'Word Vectors'!B"&amp;MATCH($B$2,'Word Vectors'!A:A,0)&amp;":Z"&amp;MATCH($B$2,'Word Vectors'!A:A,0)),INDIRECT("'Word Vectors'!B"&amp;MATCH($B$2,'Word Vectors'!A:A,0)&amp;":Z"&amp;MATCH($B$2,'Word Vectors'!A:A,0))))*SQRT(SUMPRODUCT(INDIRECT("'Word Vectors'!B229:Z229"),INDIRECT("'Word Vectors'!B229:Z229")))))</f>
        <v/>
      </c>
      <c r="HX2">
        <f>IF(OR($B$2="",ISNA(MATCH($B$2,'Word Vectors'!A:A,0)),'Word Vectors'!A230=$B$2),"",SUMPRODUCT(INDIRECT("'Word Vectors'!B"&amp;MATCH($B$2,'Word Vectors'!A:A,0)&amp;":Z"&amp;MATCH($B$2,'Word Vectors'!A:A,0)),INDIRECT("'Word Vectors'!B230:Z230"))/(SQRT(SUMPRODUCT(INDIRECT("'Word Vectors'!B"&amp;MATCH($B$2,'Word Vectors'!A:A,0)&amp;":Z"&amp;MATCH($B$2,'Word Vectors'!A:A,0)),INDIRECT("'Word Vectors'!B"&amp;MATCH($B$2,'Word Vectors'!A:A,0)&amp;":Z"&amp;MATCH($B$2,'Word Vectors'!A:A,0))))*SQRT(SUMPRODUCT(INDIRECT("'Word Vectors'!B230:Z230"),INDIRECT("'Word Vectors'!B230:Z230")))))</f>
        <v/>
      </c>
      <c r="HY2">
        <f>IF(OR($B$2="",ISNA(MATCH($B$2,'Word Vectors'!A:A,0)),'Word Vectors'!A231=$B$2),"",SUMPRODUCT(INDIRECT("'Word Vectors'!B"&amp;MATCH($B$2,'Word Vectors'!A:A,0)&amp;":Z"&amp;MATCH($B$2,'Word Vectors'!A:A,0)),INDIRECT("'Word Vectors'!B231:Z231"))/(SQRT(SUMPRODUCT(INDIRECT("'Word Vectors'!B"&amp;MATCH($B$2,'Word Vectors'!A:A,0)&amp;":Z"&amp;MATCH($B$2,'Word Vectors'!A:A,0)),INDIRECT("'Word Vectors'!B"&amp;MATCH($B$2,'Word Vectors'!A:A,0)&amp;":Z"&amp;MATCH($B$2,'Word Vectors'!A:A,0))))*SQRT(SUMPRODUCT(INDIRECT("'Word Vectors'!B231:Z231"),INDIRECT("'Word Vectors'!B231:Z231")))))</f>
        <v/>
      </c>
      <c r="HZ2">
        <f>IF(OR($B$2="",ISNA(MATCH($B$2,'Word Vectors'!A:A,0)),'Word Vectors'!A232=$B$2),"",SUMPRODUCT(INDIRECT("'Word Vectors'!B"&amp;MATCH($B$2,'Word Vectors'!A:A,0)&amp;":Z"&amp;MATCH($B$2,'Word Vectors'!A:A,0)),INDIRECT("'Word Vectors'!B232:Z232"))/(SQRT(SUMPRODUCT(INDIRECT("'Word Vectors'!B"&amp;MATCH($B$2,'Word Vectors'!A:A,0)&amp;":Z"&amp;MATCH($B$2,'Word Vectors'!A:A,0)),INDIRECT("'Word Vectors'!B"&amp;MATCH($B$2,'Word Vectors'!A:A,0)&amp;":Z"&amp;MATCH($B$2,'Word Vectors'!A:A,0))))*SQRT(SUMPRODUCT(INDIRECT("'Word Vectors'!B232:Z232"),INDIRECT("'Word Vectors'!B232:Z232")))))</f>
        <v/>
      </c>
      <c r="IA2">
        <f>IF(OR($B$2="",ISNA(MATCH($B$2,'Word Vectors'!A:A,0)),'Word Vectors'!A233=$B$2),"",SUMPRODUCT(INDIRECT("'Word Vectors'!B"&amp;MATCH($B$2,'Word Vectors'!A:A,0)&amp;":Z"&amp;MATCH($B$2,'Word Vectors'!A:A,0)),INDIRECT("'Word Vectors'!B233:Z233"))/(SQRT(SUMPRODUCT(INDIRECT("'Word Vectors'!B"&amp;MATCH($B$2,'Word Vectors'!A:A,0)&amp;":Z"&amp;MATCH($B$2,'Word Vectors'!A:A,0)),INDIRECT("'Word Vectors'!B"&amp;MATCH($B$2,'Word Vectors'!A:A,0)&amp;":Z"&amp;MATCH($B$2,'Word Vectors'!A:A,0))))*SQRT(SUMPRODUCT(INDIRECT("'Word Vectors'!B233:Z233"),INDIRECT("'Word Vectors'!B233:Z233")))))</f>
        <v/>
      </c>
      <c r="IB2">
        <f>IF(OR($B$2="",ISNA(MATCH($B$2,'Word Vectors'!A:A,0)),'Word Vectors'!A234=$B$2),"",SUMPRODUCT(INDIRECT("'Word Vectors'!B"&amp;MATCH($B$2,'Word Vectors'!A:A,0)&amp;":Z"&amp;MATCH($B$2,'Word Vectors'!A:A,0)),INDIRECT("'Word Vectors'!B234:Z234"))/(SQRT(SUMPRODUCT(INDIRECT("'Word Vectors'!B"&amp;MATCH($B$2,'Word Vectors'!A:A,0)&amp;":Z"&amp;MATCH($B$2,'Word Vectors'!A:A,0)),INDIRECT("'Word Vectors'!B"&amp;MATCH($B$2,'Word Vectors'!A:A,0)&amp;":Z"&amp;MATCH($B$2,'Word Vectors'!A:A,0))))*SQRT(SUMPRODUCT(INDIRECT("'Word Vectors'!B234:Z234"),INDIRECT("'Word Vectors'!B234:Z234")))))</f>
        <v/>
      </c>
      <c r="IC2">
        <f>IF(OR($B$2="",ISNA(MATCH($B$2,'Word Vectors'!A:A,0)),'Word Vectors'!A235=$B$2),"",SUMPRODUCT(INDIRECT("'Word Vectors'!B"&amp;MATCH($B$2,'Word Vectors'!A:A,0)&amp;":Z"&amp;MATCH($B$2,'Word Vectors'!A:A,0)),INDIRECT("'Word Vectors'!B235:Z235"))/(SQRT(SUMPRODUCT(INDIRECT("'Word Vectors'!B"&amp;MATCH($B$2,'Word Vectors'!A:A,0)&amp;":Z"&amp;MATCH($B$2,'Word Vectors'!A:A,0)),INDIRECT("'Word Vectors'!B"&amp;MATCH($B$2,'Word Vectors'!A:A,0)&amp;":Z"&amp;MATCH($B$2,'Word Vectors'!A:A,0))))*SQRT(SUMPRODUCT(INDIRECT("'Word Vectors'!B235:Z235"),INDIRECT("'Word Vectors'!B235:Z235")))))</f>
        <v/>
      </c>
      <c r="ID2">
        <f>IF(OR($B$2="",ISNA(MATCH($B$2,'Word Vectors'!A:A,0)),'Word Vectors'!A236=$B$2),"",SUMPRODUCT(INDIRECT("'Word Vectors'!B"&amp;MATCH($B$2,'Word Vectors'!A:A,0)&amp;":Z"&amp;MATCH($B$2,'Word Vectors'!A:A,0)),INDIRECT("'Word Vectors'!B236:Z236"))/(SQRT(SUMPRODUCT(INDIRECT("'Word Vectors'!B"&amp;MATCH($B$2,'Word Vectors'!A:A,0)&amp;":Z"&amp;MATCH($B$2,'Word Vectors'!A:A,0)),INDIRECT("'Word Vectors'!B"&amp;MATCH($B$2,'Word Vectors'!A:A,0)&amp;":Z"&amp;MATCH($B$2,'Word Vectors'!A:A,0))))*SQRT(SUMPRODUCT(INDIRECT("'Word Vectors'!B236:Z236"),INDIRECT("'Word Vectors'!B236:Z236")))))</f>
        <v/>
      </c>
      <c r="IE2">
        <f>IF(OR($B$2="",ISNA(MATCH($B$2,'Word Vectors'!A:A,0)),'Word Vectors'!A237=$B$2),"",SUMPRODUCT(INDIRECT("'Word Vectors'!B"&amp;MATCH($B$2,'Word Vectors'!A:A,0)&amp;":Z"&amp;MATCH($B$2,'Word Vectors'!A:A,0)),INDIRECT("'Word Vectors'!B237:Z237"))/(SQRT(SUMPRODUCT(INDIRECT("'Word Vectors'!B"&amp;MATCH($B$2,'Word Vectors'!A:A,0)&amp;":Z"&amp;MATCH($B$2,'Word Vectors'!A:A,0)),INDIRECT("'Word Vectors'!B"&amp;MATCH($B$2,'Word Vectors'!A:A,0)&amp;":Z"&amp;MATCH($B$2,'Word Vectors'!A:A,0))))*SQRT(SUMPRODUCT(INDIRECT("'Word Vectors'!B237:Z237"),INDIRECT("'Word Vectors'!B237:Z237")))))</f>
        <v/>
      </c>
      <c r="IF2">
        <f>IF(OR($B$2="",ISNA(MATCH($B$2,'Word Vectors'!A:A,0)),'Word Vectors'!A238=$B$2),"",SUMPRODUCT(INDIRECT("'Word Vectors'!B"&amp;MATCH($B$2,'Word Vectors'!A:A,0)&amp;":Z"&amp;MATCH($B$2,'Word Vectors'!A:A,0)),INDIRECT("'Word Vectors'!B238:Z238"))/(SQRT(SUMPRODUCT(INDIRECT("'Word Vectors'!B"&amp;MATCH($B$2,'Word Vectors'!A:A,0)&amp;":Z"&amp;MATCH($B$2,'Word Vectors'!A:A,0)),INDIRECT("'Word Vectors'!B"&amp;MATCH($B$2,'Word Vectors'!A:A,0)&amp;":Z"&amp;MATCH($B$2,'Word Vectors'!A:A,0))))*SQRT(SUMPRODUCT(INDIRECT("'Word Vectors'!B238:Z238"),INDIRECT("'Word Vectors'!B238:Z238")))))</f>
        <v/>
      </c>
      <c r="IG2">
        <f>IF(OR($B$2="",ISNA(MATCH($B$2,'Word Vectors'!A:A,0)),'Word Vectors'!A239=$B$2),"",SUMPRODUCT(INDIRECT("'Word Vectors'!B"&amp;MATCH($B$2,'Word Vectors'!A:A,0)&amp;":Z"&amp;MATCH($B$2,'Word Vectors'!A:A,0)),INDIRECT("'Word Vectors'!B239:Z239"))/(SQRT(SUMPRODUCT(INDIRECT("'Word Vectors'!B"&amp;MATCH($B$2,'Word Vectors'!A:A,0)&amp;":Z"&amp;MATCH($B$2,'Word Vectors'!A:A,0)),INDIRECT("'Word Vectors'!B"&amp;MATCH($B$2,'Word Vectors'!A:A,0)&amp;":Z"&amp;MATCH($B$2,'Word Vectors'!A:A,0))))*SQRT(SUMPRODUCT(INDIRECT("'Word Vectors'!B239:Z239"),INDIRECT("'Word Vectors'!B239:Z239")))))</f>
        <v/>
      </c>
      <c r="IH2">
        <f>IF(OR($B$2="",ISNA(MATCH($B$2,'Word Vectors'!A:A,0)),'Word Vectors'!A240=$B$2),"",SUMPRODUCT(INDIRECT("'Word Vectors'!B"&amp;MATCH($B$2,'Word Vectors'!A:A,0)&amp;":Z"&amp;MATCH($B$2,'Word Vectors'!A:A,0)),INDIRECT("'Word Vectors'!B240:Z240"))/(SQRT(SUMPRODUCT(INDIRECT("'Word Vectors'!B"&amp;MATCH($B$2,'Word Vectors'!A:A,0)&amp;":Z"&amp;MATCH($B$2,'Word Vectors'!A:A,0)),INDIRECT("'Word Vectors'!B"&amp;MATCH($B$2,'Word Vectors'!A:A,0)&amp;":Z"&amp;MATCH($B$2,'Word Vectors'!A:A,0))))*SQRT(SUMPRODUCT(INDIRECT("'Word Vectors'!B240:Z240"),INDIRECT("'Word Vectors'!B240:Z240")))))</f>
        <v/>
      </c>
      <c r="II2">
        <f>IF(OR($B$2="",ISNA(MATCH($B$2,'Word Vectors'!A:A,0)),'Word Vectors'!A241=$B$2),"",SUMPRODUCT(INDIRECT("'Word Vectors'!B"&amp;MATCH($B$2,'Word Vectors'!A:A,0)&amp;":Z"&amp;MATCH($B$2,'Word Vectors'!A:A,0)),INDIRECT("'Word Vectors'!B241:Z241"))/(SQRT(SUMPRODUCT(INDIRECT("'Word Vectors'!B"&amp;MATCH($B$2,'Word Vectors'!A:A,0)&amp;":Z"&amp;MATCH($B$2,'Word Vectors'!A:A,0)),INDIRECT("'Word Vectors'!B"&amp;MATCH($B$2,'Word Vectors'!A:A,0)&amp;":Z"&amp;MATCH($B$2,'Word Vectors'!A:A,0))))*SQRT(SUMPRODUCT(INDIRECT("'Word Vectors'!B241:Z241"),INDIRECT("'Word Vectors'!B241:Z241")))))</f>
        <v/>
      </c>
      <c r="IJ2">
        <f>IF(OR($B$2="",ISNA(MATCH($B$2,'Word Vectors'!A:A,0)),'Word Vectors'!A242=$B$2),"",SUMPRODUCT(INDIRECT("'Word Vectors'!B"&amp;MATCH($B$2,'Word Vectors'!A:A,0)&amp;":Z"&amp;MATCH($B$2,'Word Vectors'!A:A,0)),INDIRECT("'Word Vectors'!B242:Z242"))/(SQRT(SUMPRODUCT(INDIRECT("'Word Vectors'!B"&amp;MATCH($B$2,'Word Vectors'!A:A,0)&amp;":Z"&amp;MATCH($B$2,'Word Vectors'!A:A,0)),INDIRECT("'Word Vectors'!B"&amp;MATCH($B$2,'Word Vectors'!A:A,0)&amp;":Z"&amp;MATCH($B$2,'Word Vectors'!A:A,0))))*SQRT(SUMPRODUCT(INDIRECT("'Word Vectors'!B242:Z242"),INDIRECT("'Word Vectors'!B242:Z242")))))</f>
        <v/>
      </c>
      <c r="IK2">
        <f>IF(OR($B$2="",ISNA(MATCH($B$2,'Word Vectors'!A:A,0)),'Word Vectors'!A243=$B$2),"",SUMPRODUCT(INDIRECT("'Word Vectors'!B"&amp;MATCH($B$2,'Word Vectors'!A:A,0)&amp;":Z"&amp;MATCH($B$2,'Word Vectors'!A:A,0)),INDIRECT("'Word Vectors'!B243:Z243"))/(SQRT(SUMPRODUCT(INDIRECT("'Word Vectors'!B"&amp;MATCH($B$2,'Word Vectors'!A:A,0)&amp;":Z"&amp;MATCH($B$2,'Word Vectors'!A:A,0)),INDIRECT("'Word Vectors'!B"&amp;MATCH($B$2,'Word Vectors'!A:A,0)&amp;":Z"&amp;MATCH($B$2,'Word Vectors'!A:A,0))))*SQRT(SUMPRODUCT(INDIRECT("'Word Vectors'!B243:Z243"),INDIRECT("'Word Vectors'!B243:Z243")))))</f>
        <v/>
      </c>
      <c r="IL2">
        <f>IF(OR($B$2="",ISNA(MATCH($B$2,'Word Vectors'!A:A,0)),'Word Vectors'!A244=$B$2),"",SUMPRODUCT(INDIRECT("'Word Vectors'!B"&amp;MATCH($B$2,'Word Vectors'!A:A,0)&amp;":Z"&amp;MATCH($B$2,'Word Vectors'!A:A,0)),INDIRECT("'Word Vectors'!B244:Z244"))/(SQRT(SUMPRODUCT(INDIRECT("'Word Vectors'!B"&amp;MATCH($B$2,'Word Vectors'!A:A,0)&amp;":Z"&amp;MATCH($B$2,'Word Vectors'!A:A,0)),INDIRECT("'Word Vectors'!B"&amp;MATCH($B$2,'Word Vectors'!A:A,0)&amp;":Z"&amp;MATCH($B$2,'Word Vectors'!A:A,0))))*SQRT(SUMPRODUCT(INDIRECT("'Word Vectors'!B244:Z244"),INDIRECT("'Word Vectors'!B244:Z244")))))</f>
        <v/>
      </c>
      <c r="IM2">
        <f>IF(OR($B$2="",ISNA(MATCH($B$2,'Word Vectors'!A:A,0)),'Word Vectors'!A245=$B$2),"",SUMPRODUCT(INDIRECT("'Word Vectors'!B"&amp;MATCH($B$2,'Word Vectors'!A:A,0)&amp;":Z"&amp;MATCH($B$2,'Word Vectors'!A:A,0)),INDIRECT("'Word Vectors'!B245:Z245"))/(SQRT(SUMPRODUCT(INDIRECT("'Word Vectors'!B"&amp;MATCH($B$2,'Word Vectors'!A:A,0)&amp;":Z"&amp;MATCH($B$2,'Word Vectors'!A:A,0)),INDIRECT("'Word Vectors'!B"&amp;MATCH($B$2,'Word Vectors'!A:A,0)&amp;":Z"&amp;MATCH($B$2,'Word Vectors'!A:A,0))))*SQRT(SUMPRODUCT(INDIRECT("'Word Vectors'!B245:Z245"),INDIRECT("'Word Vectors'!B245:Z245")))))</f>
        <v/>
      </c>
      <c r="IN2">
        <f>IF(OR($B$2="",ISNA(MATCH($B$2,'Word Vectors'!A:A,0)),'Word Vectors'!A246=$B$2),"",SUMPRODUCT(INDIRECT("'Word Vectors'!B"&amp;MATCH($B$2,'Word Vectors'!A:A,0)&amp;":Z"&amp;MATCH($B$2,'Word Vectors'!A:A,0)),INDIRECT("'Word Vectors'!B246:Z246"))/(SQRT(SUMPRODUCT(INDIRECT("'Word Vectors'!B"&amp;MATCH($B$2,'Word Vectors'!A:A,0)&amp;":Z"&amp;MATCH($B$2,'Word Vectors'!A:A,0)),INDIRECT("'Word Vectors'!B"&amp;MATCH($B$2,'Word Vectors'!A:A,0)&amp;":Z"&amp;MATCH($B$2,'Word Vectors'!A:A,0))))*SQRT(SUMPRODUCT(INDIRECT("'Word Vectors'!B246:Z246"),INDIRECT("'Word Vectors'!B246:Z246")))))</f>
        <v/>
      </c>
      <c r="IO2">
        <f>IF(OR($B$2="",ISNA(MATCH($B$2,'Word Vectors'!A:A,0)),'Word Vectors'!A247=$B$2),"",SUMPRODUCT(INDIRECT("'Word Vectors'!B"&amp;MATCH($B$2,'Word Vectors'!A:A,0)&amp;":Z"&amp;MATCH($B$2,'Word Vectors'!A:A,0)),INDIRECT("'Word Vectors'!B247:Z247"))/(SQRT(SUMPRODUCT(INDIRECT("'Word Vectors'!B"&amp;MATCH($B$2,'Word Vectors'!A:A,0)&amp;":Z"&amp;MATCH($B$2,'Word Vectors'!A:A,0)),INDIRECT("'Word Vectors'!B"&amp;MATCH($B$2,'Word Vectors'!A:A,0)&amp;":Z"&amp;MATCH($B$2,'Word Vectors'!A:A,0))))*SQRT(SUMPRODUCT(INDIRECT("'Word Vectors'!B247:Z247"),INDIRECT("'Word Vectors'!B247:Z247")))))</f>
        <v/>
      </c>
      <c r="IP2">
        <f>IF(OR($B$2="",ISNA(MATCH($B$2,'Word Vectors'!A:A,0)),'Word Vectors'!A248=$B$2),"",SUMPRODUCT(INDIRECT("'Word Vectors'!B"&amp;MATCH($B$2,'Word Vectors'!A:A,0)&amp;":Z"&amp;MATCH($B$2,'Word Vectors'!A:A,0)),INDIRECT("'Word Vectors'!B248:Z248"))/(SQRT(SUMPRODUCT(INDIRECT("'Word Vectors'!B"&amp;MATCH($B$2,'Word Vectors'!A:A,0)&amp;":Z"&amp;MATCH($B$2,'Word Vectors'!A:A,0)),INDIRECT("'Word Vectors'!B"&amp;MATCH($B$2,'Word Vectors'!A:A,0)&amp;":Z"&amp;MATCH($B$2,'Word Vectors'!A:A,0))))*SQRT(SUMPRODUCT(INDIRECT("'Word Vectors'!B248:Z248"),INDIRECT("'Word Vectors'!B248:Z248")))))</f>
        <v/>
      </c>
      <c r="IQ2">
        <f>IF(OR($B$2="",ISNA(MATCH($B$2,'Word Vectors'!A:A,0)),'Word Vectors'!A249=$B$2),"",SUMPRODUCT(INDIRECT("'Word Vectors'!B"&amp;MATCH($B$2,'Word Vectors'!A:A,0)&amp;":Z"&amp;MATCH($B$2,'Word Vectors'!A:A,0)),INDIRECT("'Word Vectors'!B249:Z249"))/(SQRT(SUMPRODUCT(INDIRECT("'Word Vectors'!B"&amp;MATCH($B$2,'Word Vectors'!A:A,0)&amp;":Z"&amp;MATCH($B$2,'Word Vectors'!A:A,0)),INDIRECT("'Word Vectors'!B"&amp;MATCH($B$2,'Word Vectors'!A:A,0)&amp;":Z"&amp;MATCH($B$2,'Word Vectors'!A:A,0))))*SQRT(SUMPRODUCT(INDIRECT("'Word Vectors'!B249:Z249"),INDIRECT("'Word Vectors'!B249:Z249")))))</f>
        <v/>
      </c>
      <c r="IR2">
        <f>IF(OR($B$2="",ISNA(MATCH($B$2,'Word Vectors'!A:A,0)),'Word Vectors'!A250=$B$2),"",SUMPRODUCT(INDIRECT("'Word Vectors'!B"&amp;MATCH($B$2,'Word Vectors'!A:A,0)&amp;":Z"&amp;MATCH($B$2,'Word Vectors'!A:A,0)),INDIRECT("'Word Vectors'!B250:Z250"))/(SQRT(SUMPRODUCT(INDIRECT("'Word Vectors'!B"&amp;MATCH($B$2,'Word Vectors'!A:A,0)&amp;":Z"&amp;MATCH($B$2,'Word Vectors'!A:A,0)),INDIRECT("'Word Vectors'!B"&amp;MATCH($B$2,'Word Vectors'!A:A,0)&amp;":Z"&amp;MATCH($B$2,'Word Vectors'!A:A,0))))*SQRT(SUMPRODUCT(INDIRECT("'Word Vectors'!B250:Z250"),INDIRECT("'Word Vectors'!B250:Z250")))))</f>
        <v/>
      </c>
      <c r="IS2">
        <f>IF(OR($B$2="",ISNA(MATCH($B$2,'Word Vectors'!A:A,0)),'Word Vectors'!A251=$B$2),"",SUMPRODUCT(INDIRECT("'Word Vectors'!B"&amp;MATCH($B$2,'Word Vectors'!A:A,0)&amp;":Z"&amp;MATCH($B$2,'Word Vectors'!A:A,0)),INDIRECT("'Word Vectors'!B251:Z251"))/(SQRT(SUMPRODUCT(INDIRECT("'Word Vectors'!B"&amp;MATCH($B$2,'Word Vectors'!A:A,0)&amp;":Z"&amp;MATCH($B$2,'Word Vectors'!A:A,0)),INDIRECT("'Word Vectors'!B"&amp;MATCH($B$2,'Word Vectors'!A:A,0)&amp;":Z"&amp;MATCH($B$2,'Word Vectors'!A:A,0))))*SQRT(SUMPRODUCT(INDIRECT("'Word Vectors'!B251:Z251"),INDIRECT("'Word Vectors'!B251:Z251")))))</f>
        <v/>
      </c>
      <c r="IT2">
        <f>IF(OR($B$2="",ISNA(MATCH($B$2,'Word Vectors'!A:A,0)),'Word Vectors'!A252=$B$2),"",SUMPRODUCT(INDIRECT("'Word Vectors'!B"&amp;MATCH($B$2,'Word Vectors'!A:A,0)&amp;":Z"&amp;MATCH($B$2,'Word Vectors'!A:A,0)),INDIRECT("'Word Vectors'!B252:Z252"))/(SQRT(SUMPRODUCT(INDIRECT("'Word Vectors'!B"&amp;MATCH($B$2,'Word Vectors'!A:A,0)&amp;":Z"&amp;MATCH($B$2,'Word Vectors'!A:A,0)),INDIRECT("'Word Vectors'!B"&amp;MATCH($B$2,'Word Vectors'!A:A,0)&amp;":Z"&amp;MATCH($B$2,'Word Vectors'!A:A,0))))*SQRT(SUMPRODUCT(INDIRECT("'Word Vectors'!B252:Z252"),INDIRECT("'Word Vectors'!B252:Z252")))))</f>
        <v/>
      </c>
      <c r="IU2">
        <f>IF(OR($B$2="",ISNA(MATCH($B$2,'Word Vectors'!A:A,0)),'Word Vectors'!A253=$B$2),"",SUMPRODUCT(INDIRECT("'Word Vectors'!B"&amp;MATCH($B$2,'Word Vectors'!A:A,0)&amp;":Z"&amp;MATCH($B$2,'Word Vectors'!A:A,0)),INDIRECT("'Word Vectors'!B253:Z253"))/(SQRT(SUMPRODUCT(INDIRECT("'Word Vectors'!B"&amp;MATCH($B$2,'Word Vectors'!A:A,0)&amp;":Z"&amp;MATCH($B$2,'Word Vectors'!A:A,0)),INDIRECT("'Word Vectors'!B"&amp;MATCH($B$2,'Word Vectors'!A:A,0)&amp;":Z"&amp;MATCH($B$2,'Word Vectors'!A:A,0))))*SQRT(SUMPRODUCT(INDIRECT("'Word Vectors'!B253:Z253"),INDIRECT("'Word Vectors'!B253:Z253")))))</f>
        <v/>
      </c>
      <c r="IV2">
        <f>IF(OR($B$2="",ISNA(MATCH($B$2,'Word Vectors'!A:A,0)),'Word Vectors'!A254=$B$2),"",SUMPRODUCT(INDIRECT("'Word Vectors'!B"&amp;MATCH($B$2,'Word Vectors'!A:A,0)&amp;":Z"&amp;MATCH($B$2,'Word Vectors'!A:A,0)),INDIRECT("'Word Vectors'!B254:Z254"))/(SQRT(SUMPRODUCT(INDIRECT("'Word Vectors'!B"&amp;MATCH($B$2,'Word Vectors'!A:A,0)&amp;":Z"&amp;MATCH($B$2,'Word Vectors'!A:A,0)),INDIRECT("'Word Vectors'!B"&amp;MATCH($B$2,'Word Vectors'!A:A,0)&amp;":Z"&amp;MATCH($B$2,'Word Vectors'!A:A,0))))*SQRT(SUMPRODUCT(INDIRECT("'Word Vectors'!B254:Z254"),INDIRECT("'Word Vectors'!B254:Z254")))))</f>
        <v/>
      </c>
      <c r="IW2">
        <f>IF(OR($B$2="",ISNA(MATCH($B$2,'Word Vectors'!A:A,0)),'Word Vectors'!A255=$B$2),"",SUMPRODUCT(INDIRECT("'Word Vectors'!B"&amp;MATCH($B$2,'Word Vectors'!A:A,0)&amp;":Z"&amp;MATCH($B$2,'Word Vectors'!A:A,0)),INDIRECT("'Word Vectors'!B255:Z255"))/(SQRT(SUMPRODUCT(INDIRECT("'Word Vectors'!B"&amp;MATCH($B$2,'Word Vectors'!A:A,0)&amp;":Z"&amp;MATCH($B$2,'Word Vectors'!A:A,0)),INDIRECT("'Word Vectors'!B"&amp;MATCH($B$2,'Word Vectors'!A:A,0)&amp;":Z"&amp;MATCH($B$2,'Word Vectors'!A:A,0))))*SQRT(SUMPRODUCT(INDIRECT("'Word Vectors'!B255:Z255"),INDIRECT("'Word Vectors'!B255:Z255")))))</f>
        <v/>
      </c>
      <c r="IX2">
        <f>IF(OR($B$2="",ISNA(MATCH($B$2,'Word Vectors'!A:A,0)),'Word Vectors'!A256=$B$2),"",SUMPRODUCT(INDIRECT("'Word Vectors'!B"&amp;MATCH($B$2,'Word Vectors'!A:A,0)&amp;":Z"&amp;MATCH($B$2,'Word Vectors'!A:A,0)),INDIRECT("'Word Vectors'!B256:Z256"))/(SQRT(SUMPRODUCT(INDIRECT("'Word Vectors'!B"&amp;MATCH($B$2,'Word Vectors'!A:A,0)&amp;":Z"&amp;MATCH($B$2,'Word Vectors'!A:A,0)),INDIRECT("'Word Vectors'!B"&amp;MATCH($B$2,'Word Vectors'!A:A,0)&amp;":Z"&amp;MATCH($B$2,'Word Vectors'!A:A,0))))*SQRT(SUMPRODUCT(INDIRECT("'Word Vectors'!B256:Z256"),INDIRECT("'Word Vectors'!B256:Z256")))))</f>
        <v/>
      </c>
      <c r="IY2">
        <f>IF(OR($B$2="",ISNA(MATCH($B$2,'Word Vectors'!A:A,0)),'Word Vectors'!A257=$B$2),"",SUMPRODUCT(INDIRECT("'Word Vectors'!B"&amp;MATCH($B$2,'Word Vectors'!A:A,0)&amp;":Z"&amp;MATCH($B$2,'Word Vectors'!A:A,0)),INDIRECT("'Word Vectors'!B257:Z257"))/(SQRT(SUMPRODUCT(INDIRECT("'Word Vectors'!B"&amp;MATCH($B$2,'Word Vectors'!A:A,0)&amp;":Z"&amp;MATCH($B$2,'Word Vectors'!A:A,0)),INDIRECT("'Word Vectors'!B"&amp;MATCH($B$2,'Word Vectors'!A:A,0)&amp;":Z"&amp;MATCH($B$2,'Word Vectors'!A:A,0))))*SQRT(SUMPRODUCT(INDIRECT("'Word Vectors'!B257:Z257"),INDIRECT("'Word Vectors'!B257:Z257")))))</f>
        <v/>
      </c>
      <c r="IZ2">
        <f>IF(OR($B$2="",ISNA(MATCH($B$2,'Word Vectors'!A:A,0)),'Word Vectors'!A258=$B$2),"",SUMPRODUCT(INDIRECT("'Word Vectors'!B"&amp;MATCH($B$2,'Word Vectors'!A:A,0)&amp;":Z"&amp;MATCH($B$2,'Word Vectors'!A:A,0)),INDIRECT("'Word Vectors'!B258:Z258"))/(SQRT(SUMPRODUCT(INDIRECT("'Word Vectors'!B"&amp;MATCH($B$2,'Word Vectors'!A:A,0)&amp;":Z"&amp;MATCH($B$2,'Word Vectors'!A:A,0)),INDIRECT("'Word Vectors'!B"&amp;MATCH($B$2,'Word Vectors'!A:A,0)&amp;":Z"&amp;MATCH($B$2,'Word Vectors'!A:A,0))))*SQRT(SUMPRODUCT(INDIRECT("'Word Vectors'!B258:Z258"),INDIRECT("'Word Vectors'!B258:Z258")))))</f>
        <v/>
      </c>
      <c r="JA2">
        <f>IF(OR($B$2="",ISNA(MATCH($B$2,'Word Vectors'!A:A,0)),'Word Vectors'!A259=$B$2),"",SUMPRODUCT(INDIRECT("'Word Vectors'!B"&amp;MATCH($B$2,'Word Vectors'!A:A,0)&amp;":Z"&amp;MATCH($B$2,'Word Vectors'!A:A,0)),INDIRECT("'Word Vectors'!B259:Z259"))/(SQRT(SUMPRODUCT(INDIRECT("'Word Vectors'!B"&amp;MATCH($B$2,'Word Vectors'!A:A,0)&amp;":Z"&amp;MATCH($B$2,'Word Vectors'!A:A,0)),INDIRECT("'Word Vectors'!B"&amp;MATCH($B$2,'Word Vectors'!A:A,0)&amp;":Z"&amp;MATCH($B$2,'Word Vectors'!A:A,0))))*SQRT(SUMPRODUCT(INDIRECT("'Word Vectors'!B259:Z259"),INDIRECT("'Word Vectors'!B259:Z259")))))</f>
        <v/>
      </c>
      <c r="JB2">
        <f>IF(OR($B$2="",ISNA(MATCH($B$2,'Word Vectors'!A:A,0)),'Word Vectors'!A260=$B$2),"",SUMPRODUCT(INDIRECT("'Word Vectors'!B"&amp;MATCH($B$2,'Word Vectors'!A:A,0)&amp;":Z"&amp;MATCH($B$2,'Word Vectors'!A:A,0)),INDIRECT("'Word Vectors'!B260:Z260"))/(SQRT(SUMPRODUCT(INDIRECT("'Word Vectors'!B"&amp;MATCH($B$2,'Word Vectors'!A:A,0)&amp;":Z"&amp;MATCH($B$2,'Word Vectors'!A:A,0)),INDIRECT("'Word Vectors'!B"&amp;MATCH($B$2,'Word Vectors'!A:A,0)&amp;":Z"&amp;MATCH($B$2,'Word Vectors'!A:A,0))))*SQRT(SUMPRODUCT(INDIRECT("'Word Vectors'!B260:Z260"),INDIRECT("'Word Vectors'!B260:Z260")))))</f>
        <v/>
      </c>
      <c r="JC2">
        <f>IF(OR($B$2="",ISNA(MATCH($B$2,'Word Vectors'!A:A,0)),'Word Vectors'!A261=$B$2),"",SUMPRODUCT(INDIRECT("'Word Vectors'!B"&amp;MATCH($B$2,'Word Vectors'!A:A,0)&amp;":Z"&amp;MATCH($B$2,'Word Vectors'!A:A,0)),INDIRECT("'Word Vectors'!B261:Z261"))/(SQRT(SUMPRODUCT(INDIRECT("'Word Vectors'!B"&amp;MATCH($B$2,'Word Vectors'!A:A,0)&amp;":Z"&amp;MATCH($B$2,'Word Vectors'!A:A,0)),INDIRECT("'Word Vectors'!B"&amp;MATCH($B$2,'Word Vectors'!A:A,0)&amp;":Z"&amp;MATCH($B$2,'Word Vectors'!A:A,0))))*SQRT(SUMPRODUCT(INDIRECT("'Word Vectors'!B261:Z261"),INDIRECT("'Word Vectors'!B261:Z261")))))</f>
        <v/>
      </c>
      <c r="JD2">
        <f>IF(OR($B$2="",ISNA(MATCH($B$2,'Word Vectors'!A:A,0)),'Word Vectors'!A262=$B$2),"",SUMPRODUCT(INDIRECT("'Word Vectors'!B"&amp;MATCH($B$2,'Word Vectors'!A:A,0)&amp;":Z"&amp;MATCH($B$2,'Word Vectors'!A:A,0)),INDIRECT("'Word Vectors'!B262:Z262"))/(SQRT(SUMPRODUCT(INDIRECT("'Word Vectors'!B"&amp;MATCH($B$2,'Word Vectors'!A:A,0)&amp;":Z"&amp;MATCH($B$2,'Word Vectors'!A:A,0)),INDIRECT("'Word Vectors'!B"&amp;MATCH($B$2,'Word Vectors'!A:A,0)&amp;":Z"&amp;MATCH($B$2,'Word Vectors'!A:A,0))))*SQRT(SUMPRODUCT(INDIRECT("'Word Vectors'!B262:Z262"),INDIRECT("'Word Vectors'!B262:Z262")))))</f>
        <v/>
      </c>
      <c r="JE2">
        <f>IF(OR($B$2="",ISNA(MATCH($B$2,'Word Vectors'!A:A,0)),'Word Vectors'!A263=$B$2),"",SUMPRODUCT(INDIRECT("'Word Vectors'!B"&amp;MATCH($B$2,'Word Vectors'!A:A,0)&amp;":Z"&amp;MATCH($B$2,'Word Vectors'!A:A,0)),INDIRECT("'Word Vectors'!B263:Z263"))/(SQRT(SUMPRODUCT(INDIRECT("'Word Vectors'!B"&amp;MATCH($B$2,'Word Vectors'!A:A,0)&amp;":Z"&amp;MATCH($B$2,'Word Vectors'!A:A,0)),INDIRECT("'Word Vectors'!B"&amp;MATCH($B$2,'Word Vectors'!A:A,0)&amp;":Z"&amp;MATCH($B$2,'Word Vectors'!A:A,0))))*SQRT(SUMPRODUCT(INDIRECT("'Word Vectors'!B263:Z263"),INDIRECT("'Word Vectors'!B263:Z263")))))</f>
        <v/>
      </c>
      <c r="JF2">
        <f>IF(OR($B$2="",ISNA(MATCH($B$2,'Word Vectors'!A:A,0)),'Word Vectors'!A264=$B$2),"",SUMPRODUCT(INDIRECT("'Word Vectors'!B"&amp;MATCH($B$2,'Word Vectors'!A:A,0)&amp;":Z"&amp;MATCH($B$2,'Word Vectors'!A:A,0)),INDIRECT("'Word Vectors'!B264:Z264"))/(SQRT(SUMPRODUCT(INDIRECT("'Word Vectors'!B"&amp;MATCH($B$2,'Word Vectors'!A:A,0)&amp;":Z"&amp;MATCH($B$2,'Word Vectors'!A:A,0)),INDIRECT("'Word Vectors'!B"&amp;MATCH($B$2,'Word Vectors'!A:A,0)&amp;":Z"&amp;MATCH($B$2,'Word Vectors'!A:A,0))))*SQRT(SUMPRODUCT(INDIRECT("'Word Vectors'!B264:Z264"),INDIRECT("'Word Vectors'!B264:Z264")))))</f>
        <v/>
      </c>
      <c r="JG2">
        <f>IF(OR($B$2="",ISNA(MATCH($B$2,'Word Vectors'!A:A,0)),'Word Vectors'!A265=$B$2),"",SUMPRODUCT(INDIRECT("'Word Vectors'!B"&amp;MATCH($B$2,'Word Vectors'!A:A,0)&amp;":Z"&amp;MATCH($B$2,'Word Vectors'!A:A,0)),INDIRECT("'Word Vectors'!B265:Z265"))/(SQRT(SUMPRODUCT(INDIRECT("'Word Vectors'!B"&amp;MATCH($B$2,'Word Vectors'!A:A,0)&amp;":Z"&amp;MATCH($B$2,'Word Vectors'!A:A,0)),INDIRECT("'Word Vectors'!B"&amp;MATCH($B$2,'Word Vectors'!A:A,0)&amp;":Z"&amp;MATCH($B$2,'Word Vectors'!A:A,0))))*SQRT(SUMPRODUCT(INDIRECT("'Word Vectors'!B265:Z265"),INDIRECT("'Word Vectors'!B265:Z265")))))</f>
        <v/>
      </c>
      <c r="JH2">
        <f>IF(OR($B$2="",ISNA(MATCH($B$2,'Word Vectors'!A:A,0)),'Word Vectors'!A266=$B$2),"",SUMPRODUCT(INDIRECT("'Word Vectors'!B"&amp;MATCH($B$2,'Word Vectors'!A:A,0)&amp;":Z"&amp;MATCH($B$2,'Word Vectors'!A:A,0)),INDIRECT("'Word Vectors'!B266:Z266"))/(SQRT(SUMPRODUCT(INDIRECT("'Word Vectors'!B"&amp;MATCH($B$2,'Word Vectors'!A:A,0)&amp;":Z"&amp;MATCH($B$2,'Word Vectors'!A:A,0)),INDIRECT("'Word Vectors'!B"&amp;MATCH($B$2,'Word Vectors'!A:A,0)&amp;":Z"&amp;MATCH($B$2,'Word Vectors'!A:A,0))))*SQRT(SUMPRODUCT(INDIRECT("'Word Vectors'!B266:Z266"),INDIRECT("'Word Vectors'!B266:Z266")))))</f>
        <v/>
      </c>
      <c r="JI2">
        <f>IF(OR($B$2="",ISNA(MATCH($B$2,'Word Vectors'!A:A,0)),'Word Vectors'!A267=$B$2),"",SUMPRODUCT(INDIRECT("'Word Vectors'!B"&amp;MATCH($B$2,'Word Vectors'!A:A,0)&amp;":Z"&amp;MATCH($B$2,'Word Vectors'!A:A,0)),INDIRECT("'Word Vectors'!B267:Z267"))/(SQRT(SUMPRODUCT(INDIRECT("'Word Vectors'!B"&amp;MATCH($B$2,'Word Vectors'!A:A,0)&amp;":Z"&amp;MATCH($B$2,'Word Vectors'!A:A,0)),INDIRECT("'Word Vectors'!B"&amp;MATCH($B$2,'Word Vectors'!A:A,0)&amp;":Z"&amp;MATCH($B$2,'Word Vectors'!A:A,0))))*SQRT(SUMPRODUCT(INDIRECT("'Word Vectors'!B267:Z267"),INDIRECT("'Word Vectors'!B267:Z267")))))</f>
        <v/>
      </c>
      <c r="JJ2">
        <f>IF(OR($B$2="",ISNA(MATCH($B$2,'Word Vectors'!A:A,0)),'Word Vectors'!A268=$B$2),"",SUMPRODUCT(INDIRECT("'Word Vectors'!B"&amp;MATCH($B$2,'Word Vectors'!A:A,0)&amp;":Z"&amp;MATCH($B$2,'Word Vectors'!A:A,0)),INDIRECT("'Word Vectors'!B268:Z268"))/(SQRT(SUMPRODUCT(INDIRECT("'Word Vectors'!B"&amp;MATCH($B$2,'Word Vectors'!A:A,0)&amp;":Z"&amp;MATCH($B$2,'Word Vectors'!A:A,0)),INDIRECT("'Word Vectors'!B"&amp;MATCH($B$2,'Word Vectors'!A:A,0)&amp;":Z"&amp;MATCH($B$2,'Word Vectors'!A:A,0))))*SQRT(SUMPRODUCT(INDIRECT("'Word Vectors'!B268:Z268"),INDIRECT("'Word Vectors'!B268:Z268")))))</f>
        <v/>
      </c>
      <c r="JK2">
        <f>IF(OR($B$2="",ISNA(MATCH($B$2,'Word Vectors'!A:A,0)),'Word Vectors'!A269=$B$2),"",SUMPRODUCT(INDIRECT("'Word Vectors'!B"&amp;MATCH($B$2,'Word Vectors'!A:A,0)&amp;":Z"&amp;MATCH($B$2,'Word Vectors'!A:A,0)),INDIRECT("'Word Vectors'!B269:Z269"))/(SQRT(SUMPRODUCT(INDIRECT("'Word Vectors'!B"&amp;MATCH($B$2,'Word Vectors'!A:A,0)&amp;":Z"&amp;MATCH($B$2,'Word Vectors'!A:A,0)),INDIRECT("'Word Vectors'!B"&amp;MATCH($B$2,'Word Vectors'!A:A,0)&amp;":Z"&amp;MATCH($B$2,'Word Vectors'!A:A,0))))*SQRT(SUMPRODUCT(INDIRECT("'Word Vectors'!B269:Z269"),INDIRECT("'Word Vectors'!B269:Z269")))))</f>
        <v/>
      </c>
      <c r="JL2">
        <f>IF(OR($B$2="",ISNA(MATCH($B$2,'Word Vectors'!A:A,0)),'Word Vectors'!A270=$B$2),"",SUMPRODUCT(INDIRECT("'Word Vectors'!B"&amp;MATCH($B$2,'Word Vectors'!A:A,0)&amp;":Z"&amp;MATCH($B$2,'Word Vectors'!A:A,0)),INDIRECT("'Word Vectors'!B270:Z270"))/(SQRT(SUMPRODUCT(INDIRECT("'Word Vectors'!B"&amp;MATCH($B$2,'Word Vectors'!A:A,0)&amp;":Z"&amp;MATCH($B$2,'Word Vectors'!A:A,0)),INDIRECT("'Word Vectors'!B"&amp;MATCH($B$2,'Word Vectors'!A:A,0)&amp;":Z"&amp;MATCH($B$2,'Word Vectors'!A:A,0))))*SQRT(SUMPRODUCT(INDIRECT("'Word Vectors'!B270:Z270"),INDIRECT("'Word Vectors'!B270:Z270")))))</f>
        <v/>
      </c>
      <c r="JM2">
        <f>IF(OR($B$2="",ISNA(MATCH($B$2,'Word Vectors'!A:A,0)),'Word Vectors'!A271=$B$2),"",SUMPRODUCT(INDIRECT("'Word Vectors'!B"&amp;MATCH($B$2,'Word Vectors'!A:A,0)&amp;":Z"&amp;MATCH($B$2,'Word Vectors'!A:A,0)),INDIRECT("'Word Vectors'!B271:Z271"))/(SQRT(SUMPRODUCT(INDIRECT("'Word Vectors'!B"&amp;MATCH($B$2,'Word Vectors'!A:A,0)&amp;":Z"&amp;MATCH($B$2,'Word Vectors'!A:A,0)),INDIRECT("'Word Vectors'!B"&amp;MATCH($B$2,'Word Vectors'!A:A,0)&amp;":Z"&amp;MATCH($B$2,'Word Vectors'!A:A,0))))*SQRT(SUMPRODUCT(INDIRECT("'Word Vectors'!B271:Z271"),INDIRECT("'Word Vectors'!B271:Z271")))))</f>
        <v/>
      </c>
      <c r="JN2">
        <f>IF(OR($B$2="",ISNA(MATCH($B$2,'Word Vectors'!A:A,0)),'Word Vectors'!A272=$B$2),"",SUMPRODUCT(INDIRECT("'Word Vectors'!B"&amp;MATCH($B$2,'Word Vectors'!A:A,0)&amp;":Z"&amp;MATCH($B$2,'Word Vectors'!A:A,0)),INDIRECT("'Word Vectors'!B272:Z272"))/(SQRT(SUMPRODUCT(INDIRECT("'Word Vectors'!B"&amp;MATCH($B$2,'Word Vectors'!A:A,0)&amp;":Z"&amp;MATCH($B$2,'Word Vectors'!A:A,0)),INDIRECT("'Word Vectors'!B"&amp;MATCH($B$2,'Word Vectors'!A:A,0)&amp;":Z"&amp;MATCH($B$2,'Word Vectors'!A:A,0))))*SQRT(SUMPRODUCT(INDIRECT("'Word Vectors'!B272:Z272"),INDIRECT("'Word Vectors'!B272:Z272")))))</f>
        <v/>
      </c>
      <c r="JO2">
        <f>IF(OR($B$2="",ISNA(MATCH($B$2,'Word Vectors'!A:A,0)),'Word Vectors'!A273=$B$2),"",SUMPRODUCT(INDIRECT("'Word Vectors'!B"&amp;MATCH($B$2,'Word Vectors'!A:A,0)&amp;":Z"&amp;MATCH($B$2,'Word Vectors'!A:A,0)),INDIRECT("'Word Vectors'!B273:Z273"))/(SQRT(SUMPRODUCT(INDIRECT("'Word Vectors'!B"&amp;MATCH($B$2,'Word Vectors'!A:A,0)&amp;":Z"&amp;MATCH($B$2,'Word Vectors'!A:A,0)),INDIRECT("'Word Vectors'!B"&amp;MATCH($B$2,'Word Vectors'!A:A,0)&amp;":Z"&amp;MATCH($B$2,'Word Vectors'!A:A,0))))*SQRT(SUMPRODUCT(INDIRECT("'Word Vectors'!B273:Z273"),INDIRECT("'Word Vectors'!B273:Z273")))))</f>
        <v/>
      </c>
      <c r="JP2">
        <f>IF(OR($B$2="",ISNA(MATCH($B$2,'Word Vectors'!A:A,0)),'Word Vectors'!A274=$B$2),"",SUMPRODUCT(INDIRECT("'Word Vectors'!B"&amp;MATCH($B$2,'Word Vectors'!A:A,0)&amp;":Z"&amp;MATCH($B$2,'Word Vectors'!A:A,0)),INDIRECT("'Word Vectors'!B274:Z274"))/(SQRT(SUMPRODUCT(INDIRECT("'Word Vectors'!B"&amp;MATCH($B$2,'Word Vectors'!A:A,0)&amp;":Z"&amp;MATCH($B$2,'Word Vectors'!A:A,0)),INDIRECT("'Word Vectors'!B"&amp;MATCH($B$2,'Word Vectors'!A:A,0)&amp;":Z"&amp;MATCH($B$2,'Word Vectors'!A:A,0))))*SQRT(SUMPRODUCT(INDIRECT("'Word Vectors'!B274:Z274"),INDIRECT("'Word Vectors'!B274:Z274")))))</f>
        <v/>
      </c>
      <c r="JQ2">
        <f>IF(OR($B$2="",ISNA(MATCH($B$2,'Word Vectors'!A:A,0)),'Word Vectors'!A275=$B$2),"",SUMPRODUCT(INDIRECT("'Word Vectors'!B"&amp;MATCH($B$2,'Word Vectors'!A:A,0)&amp;":Z"&amp;MATCH($B$2,'Word Vectors'!A:A,0)),INDIRECT("'Word Vectors'!B275:Z275"))/(SQRT(SUMPRODUCT(INDIRECT("'Word Vectors'!B"&amp;MATCH($B$2,'Word Vectors'!A:A,0)&amp;":Z"&amp;MATCH($B$2,'Word Vectors'!A:A,0)),INDIRECT("'Word Vectors'!B"&amp;MATCH($B$2,'Word Vectors'!A:A,0)&amp;":Z"&amp;MATCH($B$2,'Word Vectors'!A:A,0))))*SQRT(SUMPRODUCT(INDIRECT("'Word Vectors'!B275:Z275"),INDIRECT("'Word Vectors'!B275:Z275")))))</f>
        <v/>
      </c>
      <c r="JR2">
        <f>IF(OR($B$2="",ISNA(MATCH($B$2,'Word Vectors'!A:A,0)),'Word Vectors'!A276=$B$2),"",SUMPRODUCT(INDIRECT("'Word Vectors'!B"&amp;MATCH($B$2,'Word Vectors'!A:A,0)&amp;":Z"&amp;MATCH($B$2,'Word Vectors'!A:A,0)),INDIRECT("'Word Vectors'!B276:Z276"))/(SQRT(SUMPRODUCT(INDIRECT("'Word Vectors'!B"&amp;MATCH($B$2,'Word Vectors'!A:A,0)&amp;":Z"&amp;MATCH($B$2,'Word Vectors'!A:A,0)),INDIRECT("'Word Vectors'!B"&amp;MATCH($B$2,'Word Vectors'!A:A,0)&amp;":Z"&amp;MATCH($B$2,'Word Vectors'!A:A,0))))*SQRT(SUMPRODUCT(INDIRECT("'Word Vectors'!B276:Z276"),INDIRECT("'Word Vectors'!B276:Z276")))))</f>
        <v/>
      </c>
      <c r="JS2">
        <f>IF(OR($B$2="",ISNA(MATCH($B$2,'Word Vectors'!A:A,0)),'Word Vectors'!A277=$B$2),"",SUMPRODUCT(INDIRECT("'Word Vectors'!B"&amp;MATCH($B$2,'Word Vectors'!A:A,0)&amp;":Z"&amp;MATCH($B$2,'Word Vectors'!A:A,0)),INDIRECT("'Word Vectors'!B277:Z277"))/(SQRT(SUMPRODUCT(INDIRECT("'Word Vectors'!B"&amp;MATCH($B$2,'Word Vectors'!A:A,0)&amp;":Z"&amp;MATCH($B$2,'Word Vectors'!A:A,0)),INDIRECT("'Word Vectors'!B"&amp;MATCH($B$2,'Word Vectors'!A:A,0)&amp;":Z"&amp;MATCH($B$2,'Word Vectors'!A:A,0))))*SQRT(SUMPRODUCT(INDIRECT("'Word Vectors'!B277:Z277"),INDIRECT("'Word Vectors'!B277:Z277")))))</f>
        <v/>
      </c>
      <c r="JT2">
        <f>IF(OR($B$2="",ISNA(MATCH($B$2,'Word Vectors'!A:A,0)),'Word Vectors'!A278=$B$2),"",SUMPRODUCT(INDIRECT("'Word Vectors'!B"&amp;MATCH($B$2,'Word Vectors'!A:A,0)&amp;":Z"&amp;MATCH($B$2,'Word Vectors'!A:A,0)),INDIRECT("'Word Vectors'!B278:Z278"))/(SQRT(SUMPRODUCT(INDIRECT("'Word Vectors'!B"&amp;MATCH($B$2,'Word Vectors'!A:A,0)&amp;":Z"&amp;MATCH($B$2,'Word Vectors'!A:A,0)),INDIRECT("'Word Vectors'!B"&amp;MATCH($B$2,'Word Vectors'!A:A,0)&amp;":Z"&amp;MATCH($B$2,'Word Vectors'!A:A,0))))*SQRT(SUMPRODUCT(INDIRECT("'Word Vectors'!B278:Z278"),INDIRECT("'Word Vectors'!B278:Z278")))))</f>
        <v/>
      </c>
      <c r="JU2">
        <f>IF(OR($B$2="",ISNA(MATCH($B$2,'Word Vectors'!A:A,0)),'Word Vectors'!A279=$B$2),"",SUMPRODUCT(INDIRECT("'Word Vectors'!B"&amp;MATCH($B$2,'Word Vectors'!A:A,0)&amp;":Z"&amp;MATCH($B$2,'Word Vectors'!A:A,0)),INDIRECT("'Word Vectors'!B279:Z279"))/(SQRT(SUMPRODUCT(INDIRECT("'Word Vectors'!B"&amp;MATCH($B$2,'Word Vectors'!A:A,0)&amp;":Z"&amp;MATCH($B$2,'Word Vectors'!A:A,0)),INDIRECT("'Word Vectors'!B"&amp;MATCH($B$2,'Word Vectors'!A:A,0)&amp;":Z"&amp;MATCH($B$2,'Word Vectors'!A:A,0))))*SQRT(SUMPRODUCT(INDIRECT("'Word Vectors'!B279:Z279"),INDIRECT("'Word Vectors'!B279:Z279")))))</f>
        <v/>
      </c>
      <c r="JV2">
        <f>IF(OR($B$2="",ISNA(MATCH($B$2,'Word Vectors'!A:A,0)),'Word Vectors'!A280=$B$2),"",SUMPRODUCT(INDIRECT("'Word Vectors'!B"&amp;MATCH($B$2,'Word Vectors'!A:A,0)&amp;":Z"&amp;MATCH($B$2,'Word Vectors'!A:A,0)),INDIRECT("'Word Vectors'!B280:Z280"))/(SQRT(SUMPRODUCT(INDIRECT("'Word Vectors'!B"&amp;MATCH($B$2,'Word Vectors'!A:A,0)&amp;":Z"&amp;MATCH($B$2,'Word Vectors'!A:A,0)),INDIRECT("'Word Vectors'!B"&amp;MATCH($B$2,'Word Vectors'!A:A,0)&amp;":Z"&amp;MATCH($B$2,'Word Vectors'!A:A,0))))*SQRT(SUMPRODUCT(INDIRECT("'Word Vectors'!B280:Z280"),INDIRECT("'Word Vectors'!B280:Z280")))))</f>
        <v/>
      </c>
      <c r="JW2">
        <f>IF(OR($B$2="",ISNA(MATCH($B$2,'Word Vectors'!A:A,0)),'Word Vectors'!A281=$B$2),"",SUMPRODUCT(INDIRECT("'Word Vectors'!B"&amp;MATCH($B$2,'Word Vectors'!A:A,0)&amp;":Z"&amp;MATCH($B$2,'Word Vectors'!A:A,0)),INDIRECT("'Word Vectors'!B281:Z281"))/(SQRT(SUMPRODUCT(INDIRECT("'Word Vectors'!B"&amp;MATCH($B$2,'Word Vectors'!A:A,0)&amp;":Z"&amp;MATCH($B$2,'Word Vectors'!A:A,0)),INDIRECT("'Word Vectors'!B"&amp;MATCH($B$2,'Word Vectors'!A:A,0)&amp;":Z"&amp;MATCH($B$2,'Word Vectors'!A:A,0))))*SQRT(SUMPRODUCT(INDIRECT("'Word Vectors'!B281:Z281"),INDIRECT("'Word Vectors'!B281:Z281")))))</f>
        <v/>
      </c>
      <c r="JX2">
        <f>IF(OR($B$2="",ISNA(MATCH($B$2,'Word Vectors'!A:A,0)),'Word Vectors'!A282=$B$2),"",SUMPRODUCT(INDIRECT("'Word Vectors'!B"&amp;MATCH($B$2,'Word Vectors'!A:A,0)&amp;":Z"&amp;MATCH($B$2,'Word Vectors'!A:A,0)),INDIRECT("'Word Vectors'!B282:Z282"))/(SQRT(SUMPRODUCT(INDIRECT("'Word Vectors'!B"&amp;MATCH($B$2,'Word Vectors'!A:A,0)&amp;":Z"&amp;MATCH($B$2,'Word Vectors'!A:A,0)),INDIRECT("'Word Vectors'!B"&amp;MATCH($B$2,'Word Vectors'!A:A,0)&amp;":Z"&amp;MATCH($B$2,'Word Vectors'!A:A,0))))*SQRT(SUMPRODUCT(INDIRECT("'Word Vectors'!B282:Z282"),INDIRECT("'Word Vectors'!B282:Z282")))))</f>
        <v/>
      </c>
      <c r="JY2">
        <f>IF(OR($B$2="",ISNA(MATCH($B$2,'Word Vectors'!A:A,0)),'Word Vectors'!A283=$B$2),"",SUMPRODUCT(INDIRECT("'Word Vectors'!B"&amp;MATCH($B$2,'Word Vectors'!A:A,0)&amp;":Z"&amp;MATCH($B$2,'Word Vectors'!A:A,0)),INDIRECT("'Word Vectors'!B283:Z283"))/(SQRT(SUMPRODUCT(INDIRECT("'Word Vectors'!B"&amp;MATCH($B$2,'Word Vectors'!A:A,0)&amp;":Z"&amp;MATCH($B$2,'Word Vectors'!A:A,0)),INDIRECT("'Word Vectors'!B"&amp;MATCH($B$2,'Word Vectors'!A:A,0)&amp;":Z"&amp;MATCH($B$2,'Word Vectors'!A:A,0))))*SQRT(SUMPRODUCT(INDIRECT("'Word Vectors'!B283:Z283"),INDIRECT("'Word Vectors'!B283:Z283")))))</f>
        <v/>
      </c>
      <c r="JZ2">
        <f>IF(OR($B$2="",ISNA(MATCH($B$2,'Word Vectors'!A:A,0)),'Word Vectors'!A284=$B$2),"",SUMPRODUCT(INDIRECT("'Word Vectors'!B"&amp;MATCH($B$2,'Word Vectors'!A:A,0)&amp;":Z"&amp;MATCH($B$2,'Word Vectors'!A:A,0)),INDIRECT("'Word Vectors'!B284:Z284"))/(SQRT(SUMPRODUCT(INDIRECT("'Word Vectors'!B"&amp;MATCH($B$2,'Word Vectors'!A:A,0)&amp;":Z"&amp;MATCH($B$2,'Word Vectors'!A:A,0)),INDIRECT("'Word Vectors'!B"&amp;MATCH($B$2,'Word Vectors'!A:A,0)&amp;":Z"&amp;MATCH($B$2,'Word Vectors'!A:A,0))))*SQRT(SUMPRODUCT(INDIRECT("'Word Vectors'!B284:Z284"),INDIRECT("'Word Vectors'!B284:Z284")))))</f>
        <v/>
      </c>
      <c r="KA2">
        <f>IF(OR($B$2="",ISNA(MATCH($B$2,'Word Vectors'!A:A,0)),'Word Vectors'!A285=$B$2),"",SUMPRODUCT(INDIRECT("'Word Vectors'!B"&amp;MATCH($B$2,'Word Vectors'!A:A,0)&amp;":Z"&amp;MATCH($B$2,'Word Vectors'!A:A,0)),INDIRECT("'Word Vectors'!B285:Z285"))/(SQRT(SUMPRODUCT(INDIRECT("'Word Vectors'!B"&amp;MATCH($B$2,'Word Vectors'!A:A,0)&amp;":Z"&amp;MATCH($B$2,'Word Vectors'!A:A,0)),INDIRECT("'Word Vectors'!B"&amp;MATCH($B$2,'Word Vectors'!A:A,0)&amp;":Z"&amp;MATCH($B$2,'Word Vectors'!A:A,0))))*SQRT(SUMPRODUCT(INDIRECT("'Word Vectors'!B285:Z285"),INDIRECT("'Word Vectors'!B285:Z285")))))</f>
        <v/>
      </c>
      <c r="KB2">
        <f>IF(OR($B$2="",ISNA(MATCH($B$2,'Word Vectors'!A:A,0)),'Word Vectors'!A286=$B$2),"",SUMPRODUCT(INDIRECT("'Word Vectors'!B"&amp;MATCH($B$2,'Word Vectors'!A:A,0)&amp;":Z"&amp;MATCH($B$2,'Word Vectors'!A:A,0)),INDIRECT("'Word Vectors'!B286:Z286"))/(SQRT(SUMPRODUCT(INDIRECT("'Word Vectors'!B"&amp;MATCH($B$2,'Word Vectors'!A:A,0)&amp;":Z"&amp;MATCH($B$2,'Word Vectors'!A:A,0)),INDIRECT("'Word Vectors'!B"&amp;MATCH($B$2,'Word Vectors'!A:A,0)&amp;":Z"&amp;MATCH($B$2,'Word Vectors'!A:A,0))))*SQRT(SUMPRODUCT(INDIRECT("'Word Vectors'!B286:Z286"),INDIRECT("'Word Vectors'!B286:Z286")))))</f>
        <v/>
      </c>
      <c r="KC2">
        <f>IF(OR($B$2="",ISNA(MATCH($B$2,'Word Vectors'!A:A,0)),'Word Vectors'!A287=$B$2),"",SUMPRODUCT(INDIRECT("'Word Vectors'!B"&amp;MATCH($B$2,'Word Vectors'!A:A,0)&amp;":Z"&amp;MATCH($B$2,'Word Vectors'!A:A,0)),INDIRECT("'Word Vectors'!B287:Z287"))/(SQRT(SUMPRODUCT(INDIRECT("'Word Vectors'!B"&amp;MATCH($B$2,'Word Vectors'!A:A,0)&amp;":Z"&amp;MATCH($B$2,'Word Vectors'!A:A,0)),INDIRECT("'Word Vectors'!B"&amp;MATCH($B$2,'Word Vectors'!A:A,0)&amp;":Z"&amp;MATCH($B$2,'Word Vectors'!A:A,0))))*SQRT(SUMPRODUCT(INDIRECT("'Word Vectors'!B287:Z287"),INDIRECT("'Word Vectors'!B287:Z287")))))</f>
        <v/>
      </c>
      <c r="KD2">
        <f>IF(OR($B$2="",ISNA(MATCH($B$2,'Word Vectors'!A:A,0)),'Word Vectors'!A288=$B$2),"",SUMPRODUCT(INDIRECT("'Word Vectors'!B"&amp;MATCH($B$2,'Word Vectors'!A:A,0)&amp;":Z"&amp;MATCH($B$2,'Word Vectors'!A:A,0)),INDIRECT("'Word Vectors'!B288:Z288"))/(SQRT(SUMPRODUCT(INDIRECT("'Word Vectors'!B"&amp;MATCH($B$2,'Word Vectors'!A:A,0)&amp;":Z"&amp;MATCH($B$2,'Word Vectors'!A:A,0)),INDIRECT("'Word Vectors'!B"&amp;MATCH($B$2,'Word Vectors'!A:A,0)&amp;":Z"&amp;MATCH($B$2,'Word Vectors'!A:A,0))))*SQRT(SUMPRODUCT(INDIRECT("'Word Vectors'!B288:Z288"),INDIRECT("'Word Vectors'!B288:Z288")))))</f>
        <v/>
      </c>
      <c r="KE2">
        <f>IF(OR($B$2="",ISNA(MATCH($B$2,'Word Vectors'!A:A,0)),'Word Vectors'!A289=$B$2),"",SUMPRODUCT(INDIRECT("'Word Vectors'!B"&amp;MATCH($B$2,'Word Vectors'!A:A,0)&amp;":Z"&amp;MATCH($B$2,'Word Vectors'!A:A,0)),INDIRECT("'Word Vectors'!B289:Z289"))/(SQRT(SUMPRODUCT(INDIRECT("'Word Vectors'!B"&amp;MATCH($B$2,'Word Vectors'!A:A,0)&amp;":Z"&amp;MATCH($B$2,'Word Vectors'!A:A,0)),INDIRECT("'Word Vectors'!B"&amp;MATCH($B$2,'Word Vectors'!A:A,0)&amp;":Z"&amp;MATCH($B$2,'Word Vectors'!A:A,0))))*SQRT(SUMPRODUCT(INDIRECT("'Word Vectors'!B289:Z289"),INDIRECT("'Word Vectors'!B289:Z289")))))</f>
        <v/>
      </c>
      <c r="KF2">
        <f>IF(OR($B$2="",ISNA(MATCH($B$2,'Word Vectors'!A:A,0)),'Word Vectors'!A290=$B$2),"",SUMPRODUCT(INDIRECT("'Word Vectors'!B"&amp;MATCH($B$2,'Word Vectors'!A:A,0)&amp;":Z"&amp;MATCH($B$2,'Word Vectors'!A:A,0)),INDIRECT("'Word Vectors'!B290:Z290"))/(SQRT(SUMPRODUCT(INDIRECT("'Word Vectors'!B"&amp;MATCH($B$2,'Word Vectors'!A:A,0)&amp;":Z"&amp;MATCH($B$2,'Word Vectors'!A:A,0)),INDIRECT("'Word Vectors'!B"&amp;MATCH($B$2,'Word Vectors'!A:A,0)&amp;":Z"&amp;MATCH($B$2,'Word Vectors'!A:A,0))))*SQRT(SUMPRODUCT(INDIRECT("'Word Vectors'!B290:Z290"),INDIRECT("'Word Vectors'!B290:Z290")))))</f>
        <v/>
      </c>
      <c r="KG2">
        <f>IF(OR($B$2="",ISNA(MATCH($B$2,'Word Vectors'!A:A,0)),'Word Vectors'!A291=$B$2),"",SUMPRODUCT(INDIRECT("'Word Vectors'!B"&amp;MATCH($B$2,'Word Vectors'!A:A,0)&amp;":Z"&amp;MATCH($B$2,'Word Vectors'!A:A,0)),INDIRECT("'Word Vectors'!B291:Z291"))/(SQRT(SUMPRODUCT(INDIRECT("'Word Vectors'!B"&amp;MATCH($B$2,'Word Vectors'!A:A,0)&amp;":Z"&amp;MATCH($B$2,'Word Vectors'!A:A,0)),INDIRECT("'Word Vectors'!B"&amp;MATCH($B$2,'Word Vectors'!A:A,0)&amp;":Z"&amp;MATCH($B$2,'Word Vectors'!A:A,0))))*SQRT(SUMPRODUCT(INDIRECT("'Word Vectors'!B291:Z291"),INDIRECT("'Word Vectors'!B291:Z291")))))</f>
        <v/>
      </c>
      <c r="KH2">
        <f>IF(OR($B$2="",ISNA(MATCH($B$2,'Word Vectors'!A:A,0)),'Word Vectors'!A292=$B$2),"",SUMPRODUCT(INDIRECT("'Word Vectors'!B"&amp;MATCH($B$2,'Word Vectors'!A:A,0)&amp;":Z"&amp;MATCH($B$2,'Word Vectors'!A:A,0)),INDIRECT("'Word Vectors'!B292:Z292"))/(SQRT(SUMPRODUCT(INDIRECT("'Word Vectors'!B"&amp;MATCH($B$2,'Word Vectors'!A:A,0)&amp;":Z"&amp;MATCH($B$2,'Word Vectors'!A:A,0)),INDIRECT("'Word Vectors'!B"&amp;MATCH($B$2,'Word Vectors'!A:A,0)&amp;":Z"&amp;MATCH($B$2,'Word Vectors'!A:A,0))))*SQRT(SUMPRODUCT(INDIRECT("'Word Vectors'!B292:Z292"),INDIRECT("'Word Vectors'!B292:Z292")))))</f>
        <v/>
      </c>
      <c r="KI2">
        <f>IF(OR($B$2="",ISNA(MATCH($B$2,'Word Vectors'!A:A,0)),'Word Vectors'!A293=$B$2),"",SUMPRODUCT(INDIRECT("'Word Vectors'!B"&amp;MATCH($B$2,'Word Vectors'!A:A,0)&amp;":Z"&amp;MATCH($B$2,'Word Vectors'!A:A,0)),INDIRECT("'Word Vectors'!B293:Z293"))/(SQRT(SUMPRODUCT(INDIRECT("'Word Vectors'!B"&amp;MATCH($B$2,'Word Vectors'!A:A,0)&amp;":Z"&amp;MATCH($B$2,'Word Vectors'!A:A,0)),INDIRECT("'Word Vectors'!B"&amp;MATCH($B$2,'Word Vectors'!A:A,0)&amp;":Z"&amp;MATCH($B$2,'Word Vectors'!A:A,0))))*SQRT(SUMPRODUCT(INDIRECT("'Word Vectors'!B293:Z293"),INDIRECT("'Word Vectors'!B293:Z293")))))</f>
        <v/>
      </c>
      <c r="KJ2">
        <f>IF(OR($B$2="",ISNA(MATCH($B$2,'Word Vectors'!A:A,0)),'Word Vectors'!A294=$B$2),"",SUMPRODUCT(INDIRECT("'Word Vectors'!B"&amp;MATCH($B$2,'Word Vectors'!A:A,0)&amp;":Z"&amp;MATCH($B$2,'Word Vectors'!A:A,0)),INDIRECT("'Word Vectors'!B294:Z294"))/(SQRT(SUMPRODUCT(INDIRECT("'Word Vectors'!B"&amp;MATCH($B$2,'Word Vectors'!A:A,0)&amp;":Z"&amp;MATCH($B$2,'Word Vectors'!A:A,0)),INDIRECT("'Word Vectors'!B"&amp;MATCH($B$2,'Word Vectors'!A:A,0)&amp;":Z"&amp;MATCH($B$2,'Word Vectors'!A:A,0))))*SQRT(SUMPRODUCT(INDIRECT("'Word Vectors'!B294:Z294"),INDIRECT("'Word Vectors'!B294:Z294")))))</f>
        <v/>
      </c>
      <c r="KK2">
        <f>IF(OR($B$2="",ISNA(MATCH($B$2,'Word Vectors'!A:A,0)),'Word Vectors'!A295=$B$2),"",SUMPRODUCT(INDIRECT("'Word Vectors'!B"&amp;MATCH($B$2,'Word Vectors'!A:A,0)&amp;":Z"&amp;MATCH($B$2,'Word Vectors'!A:A,0)),INDIRECT("'Word Vectors'!B295:Z295"))/(SQRT(SUMPRODUCT(INDIRECT("'Word Vectors'!B"&amp;MATCH($B$2,'Word Vectors'!A:A,0)&amp;":Z"&amp;MATCH($B$2,'Word Vectors'!A:A,0)),INDIRECT("'Word Vectors'!B"&amp;MATCH($B$2,'Word Vectors'!A:A,0)&amp;":Z"&amp;MATCH($B$2,'Word Vectors'!A:A,0))))*SQRT(SUMPRODUCT(INDIRECT("'Word Vectors'!B295:Z295"),INDIRECT("'Word Vectors'!B295:Z295")))))</f>
        <v/>
      </c>
      <c r="KL2">
        <f>IF(OR($B$2="",ISNA(MATCH($B$2,'Word Vectors'!A:A,0)),'Word Vectors'!A296=$B$2),"",SUMPRODUCT(INDIRECT("'Word Vectors'!B"&amp;MATCH($B$2,'Word Vectors'!A:A,0)&amp;":Z"&amp;MATCH($B$2,'Word Vectors'!A:A,0)),INDIRECT("'Word Vectors'!B296:Z296"))/(SQRT(SUMPRODUCT(INDIRECT("'Word Vectors'!B"&amp;MATCH($B$2,'Word Vectors'!A:A,0)&amp;":Z"&amp;MATCH($B$2,'Word Vectors'!A:A,0)),INDIRECT("'Word Vectors'!B"&amp;MATCH($B$2,'Word Vectors'!A:A,0)&amp;":Z"&amp;MATCH($B$2,'Word Vectors'!A:A,0))))*SQRT(SUMPRODUCT(INDIRECT("'Word Vectors'!B296:Z296"),INDIRECT("'Word Vectors'!B296:Z296")))))</f>
        <v/>
      </c>
      <c r="KM2">
        <f>IF(OR($B$2="",ISNA(MATCH($B$2,'Word Vectors'!A:A,0)),'Word Vectors'!A297=$B$2),"",SUMPRODUCT(INDIRECT("'Word Vectors'!B"&amp;MATCH($B$2,'Word Vectors'!A:A,0)&amp;":Z"&amp;MATCH($B$2,'Word Vectors'!A:A,0)),INDIRECT("'Word Vectors'!B297:Z297"))/(SQRT(SUMPRODUCT(INDIRECT("'Word Vectors'!B"&amp;MATCH($B$2,'Word Vectors'!A:A,0)&amp;":Z"&amp;MATCH($B$2,'Word Vectors'!A:A,0)),INDIRECT("'Word Vectors'!B"&amp;MATCH($B$2,'Word Vectors'!A:A,0)&amp;":Z"&amp;MATCH($B$2,'Word Vectors'!A:A,0))))*SQRT(SUMPRODUCT(INDIRECT("'Word Vectors'!B297:Z297"),INDIRECT("'Word Vectors'!B297:Z297")))))</f>
        <v/>
      </c>
      <c r="KN2">
        <f>IF(OR($B$2="",ISNA(MATCH($B$2,'Word Vectors'!A:A,0)),'Word Vectors'!A298=$B$2),"",SUMPRODUCT(INDIRECT("'Word Vectors'!B"&amp;MATCH($B$2,'Word Vectors'!A:A,0)&amp;":Z"&amp;MATCH($B$2,'Word Vectors'!A:A,0)),INDIRECT("'Word Vectors'!B298:Z298"))/(SQRT(SUMPRODUCT(INDIRECT("'Word Vectors'!B"&amp;MATCH($B$2,'Word Vectors'!A:A,0)&amp;":Z"&amp;MATCH($B$2,'Word Vectors'!A:A,0)),INDIRECT("'Word Vectors'!B"&amp;MATCH($B$2,'Word Vectors'!A:A,0)&amp;":Z"&amp;MATCH($B$2,'Word Vectors'!A:A,0))))*SQRT(SUMPRODUCT(INDIRECT("'Word Vectors'!B298:Z298"),INDIRECT("'Word Vectors'!B298:Z298")))))</f>
        <v/>
      </c>
      <c r="KO2">
        <f>IF(OR($B$2="",ISNA(MATCH($B$2,'Word Vectors'!A:A,0)),'Word Vectors'!A299=$B$2),"",SUMPRODUCT(INDIRECT("'Word Vectors'!B"&amp;MATCH($B$2,'Word Vectors'!A:A,0)&amp;":Z"&amp;MATCH($B$2,'Word Vectors'!A:A,0)),INDIRECT("'Word Vectors'!B299:Z299"))/(SQRT(SUMPRODUCT(INDIRECT("'Word Vectors'!B"&amp;MATCH($B$2,'Word Vectors'!A:A,0)&amp;":Z"&amp;MATCH($B$2,'Word Vectors'!A:A,0)),INDIRECT("'Word Vectors'!B"&amp;MATCH($B$2,'Word Vectors'!A:A,0)&amp;":Z"&amp;MATCH($B$2,'Word Vectors'!A:A,0))))*SQRT(SUMPRODUCT(INDIRECT("'Word Vectors'!B299:Z299"),INDIRECT("'Word Vectors'!B299:Z299")))))</f>
        <v/>
      </c>
      <c r="KP2">
        <f>IF(OR($B$2="",ISNA(MATCH($B$2,'Word Vectors'!A:A,0)),'Word Vectors'!A300=$B$2),"",SUMPRODUCT(INDIRECT("'Word Vectors'!B"&amp;MATCH($B$2,'Word Vectors'!A:A,0)&amp;":Z"&amp;MATCH($B$2,'Word Vectors'!A:A,0)),INDIRECT("'Word Vectors'!B300:Z300"))/(SQRT(SUMPRODUCT(INDIRECT("'Word Vectors'!B"&amp;MATCH($B$2,'Word Vectors'!A:A,0)&amp;":Z"&amp;MATCH($B$2,'Word Vectors'!A:A,0)),INDIRECT("'Word Vectors'!B"&amp;MATCH($B$2,'Word Vectors'!A:A,0)&amp;":Z"&amp;MATCH($B$2,'Word Vectors'!A:A,0))))*SQRT(SUMPRODUCT(INDIRECT("'Word Vectors'!B300:Z300"),INDIRECT("'Word Vectors'!B300:Z300")))))</f>
        <v/>
      </c>
      <c r="KQ2">
        <f>IF(OR($B$2="",ISNA(MATCH($B$2,'Word Vectors'!A:A,0)),'Word Vectors'!A301=$B$2),"",SUMPRODUCT(INDIRECT("'Word Vectors'!B"&amp;MATCH($B$2,'Word Vectors'!A:A,0)&amp;":Z"&amp;MATCH($B$2,'Word Vectors'!A:A,0)),INDIRECT("'Word Vectors'!B301:Z301"))/(SQRT(SUMPRODUCT(INDIRECT("'Word Vectors'!B"&amp;MATCH($B$2,'Word Vectors'!A:A,0)&amp;":Z"&amp;MATCH($B$2,'Word Vectors'!A:A,0)),INDIRECT("'Word Vectors'!B"&amp;MATCH($B$2,'Word Vectors'!A:A,0)&amp;":Z"&amp;MATCH($B$2,'Word Vectors'!A:A,0))))*SQRT(SUMPRODUCT(INDIRECT("'Word Vectors'!B301:Z301"),INDIRECT("'Word Vectors'!B301:Z301")))))</f>
        <v/>
      </c>
      <c r="KR2">
        <f>IF(OR($B$2="",ISNA(MATCH($B$2,'Word Vectors'!A:A,0)),'Word Vectors'!A302=$B$2),"",SUMPRODUCT(INDIRECT("'Word Vectors'!B"&amp;MATCH($B$2,'Word Vectors'!A:A,0)&amp;":Z"&amp;MATCH($B$2,'Word Vectors'!A:A,0)),INDIRECT("'Word Vectors'!B302:Z302"))/(SQRT(SUMPRODUCT(INDIRECT("'Word Vectors'!B"&amp;MATCH($B$2,'Word Vectors'!A:A,0)&amp;":Z"&amp;MATCH($B$2,'Word Vectors'!A:A,0)),INDIRECT("'Word Vectors'!B"&amp;MATCH($B$2,'Word Vectors'!A:A,0)&amp;":Z"&amp;MATCH($B$2,'Word Vectors'!A:A,0))))*SQRT(SUMPRODUCT(INDIRECT("'Word Vectors'!B302:Z302"),INDIRECT("'Word Vectors'!B302:Z302")))))</f>
        <v/>
      </c>
      <c r="KS2">
        <f>IF(OR($B$2="",ISNA(MATCH($B$2,'Word Vectors'!A:A,0)),'Word Vectors'!A303=$B$2),"",SUMPRODUCT(INDIRECT("'Word Vectors'!B"&amp;MATCH($B$2,'Word Vectors'!A:A,0)&amp;":Z"&amp;MATCH($B$2,'Word Vectors'!A:A,0)),INDIRECT("'Word Vectors'!B303:Z303"))/(SQRT(SUMPRODUCT(INDIRECT("'Word Vectors'!B"&amp;MATCH($B$2,'Word Vectors'!A:A,0)&amp;":Z"&amp;MATCH($B$2,'Word Vectors'!A:A,0)),INDIRECT("'Word Vectors'!B"&amp;MATCH($B$2,'Word Vectors'!A:A,0)&amp;":Z"&amp;MATCH($B$2,'Word Vectors'!A:A,0))))*SQRT(SUMPRODUCT(INDIRECT("'Word Vectors'!B303:Z303"),INDIRECT("'Word Vectors'!B303:Z303")))))</f>
        <v/>
      </c>
      <c r="KT2">
        <f>IF(OR($B$2="",ISNA(MATCH($B$2,'Word Vectors'!A:A,0)),'Word Vectors'!A304=$B$2),"",SUMPRODUCT(INDIRECT("'Word Vectors'!B"&amp;MATCH($B$2,'Word Vectors'!A:A,0)&amp;":Z"&amp;MATCH($B$2,'Word Vectors'!A:A,0)),INDIRECT("'Word Vectors'!B304:Z304"))/(SQRT(SUMPRODUCT(INDIRECT("'Word Vectors'!B"&amp;MATCH($B$2,'Word Vectors'!A:A,0)&amp;":Z"&amp;MATCH($B$2,'Word Vectors'!A:A,0)),INDIRECT("'Word Vectors'!B"&amp;MATCH($B$2,'Word Vectors'!A:A,0)&amp;":Z"&amp;MATCH($B$2,'Word Vectors'!A:A,0))))*SQRT(SUMPRODUCT(INDIRECT("'Word Vectors'!B304:Z304"),INDIRECT("'Word Vectors'!B304:Z304")))))</f>
        <v/>
      </c>
      <c r="KU2">
        <f>IF(OR($B$2="",ISNA(MATCH($B$2,'Word Vectors'!A:A,0)),'Word Vectors'!A305=$B$2),"",SUMPRODUCT(INDIRECT("'Word Vectors'!B"&amp;MATCH($B$2,'Word Vectors'!A:A,0)&amp;":Z"&amp;MATCH($B$2,'Word Vectors'!A:A,0)),INDIRECT("'Word Vectors'!B305:Z305"))/(SQRT(SUMPRODUCT(INDIRECT("'Word Vectors'!B"&amp;MATCH($B$2,'Word Vectors'!A:A,0)&amp;":Z"&amp;MATCH($B$2,'Word Vectors'!A:A,0)),INDIRECT("'Word Vectors'!B"&amp;MATCH($B$2,'Word Vectors'!A:A,0)&amp;":Z"&amp;MATCH($B$2,'Word Vectors'!A:A,0))))*SQRT(SUMPRODUCT(INDIRECT("'Word Vectors'!B305:Z305"),INDIRECT("'Word Vectors'!B305:Z305")))))</f>
        <v/>
      </c>
      <c r="KV2">
        <f>IF(OR($B$2="",ISNA(MATCH($B$2,'Word Vectors'!A:A,0)),'Word Vectors'!A306=$B$2),"",SUMPRODUCT(INDIRECT("'Word Vectors'!B"&amp;MATCH($B$2,'Word Vectors'!A:A,0)&amp;":Z"&amp;MATCH($B$2,'Word Vectors'!A:A,0)),INDIRECT("'Word Vectors'!B306:Z306"))/(SQRT(SUMPRODUCT(INDIRECT("'Word Vectors'!B"&amp;MATCH($B$2,'Word Vectors'!A:A,0)&amp;":Z"&amp;MATCH($B$2,'Word Vectors'!A:A,0)),INDIRECT("'Word Vectors'!B"&amp;MATCH($B$2,'Word Vectors'!A:A,0)&amp;":Z"&amp;MATCH($B$2,'Word Vectors'!A:A,0))))*SQRT(SUMPRODUCT(INDIRECT("'Word Vectors'!B306:Z306"),INDIRECT("'Word Vectors'!B306:Z306")))))</f>
        <v/>
      </c>
      <c r="KW2">
        <f>IF(OR($B$2="",ISNA(MATCH($B$2,'Word Vectors'!A:A,0)),'Word Vectors'!A307=$B$2),"",SUMPRODUCT(INDIRECT("'Word Vectors'!B"&amp;MATCH($B$2,'Word Vectors'!A:A,0)&amp;":Z"&amp;MATCH($B$2,'Word Vectors'!A:A,0)),INDIRECT("'Word Vectors'!B307:Z307"))/(SQRT(SUMPRODUCT(INDIRECT("'Word Vectors'!B"&amp;MATCH($B$2,'Word Vectors'!A:A,0)&amp;":Z"&amp;MATCH($B$2,'Word Vectors'!A:A,0)),INDIRECT("'Word Vectors'!B"&amp;MATCH($B$2,'Word Vectors'!A:A,0)&amp;":Z"&amp;MATCH($B$2,'Word Vectors'!A:A,0))))*SQRT(SUMPRODUCT(INDIRECT("'Word Vectors'!B307:Z307"),INDIRECT("'Word Vectors'!B307:Z307")))))</f>
        <v/>
      </c>
      <c r="KX2">
        <f>IF(OR($B$2="",ISNA(MATCH($B$2,'Word Vectors'!A:A,0)),'Word Vectors'!A308=$B$2),"",SUMPRODUCT(INDIRECT("'Word Vectors'!B"&amp;MATCH($B$2,'Word Vectors'!A:A,0)&amp;":Z"&amp;MATCH($B$2,'Word Vectors'!A:A,0)),INDIRECT("'Word Vectors'!B308:Z308"))/(SQRT(SUMPRODUCT(INDIRECT("'Word Vectors'!B"&amp;MATCH($B$2,'Word Vectors'!A:A,0)&amp;":Z"&amp;MATCH($B$2,'Word Vectors'!A:A,0)),INDIRECT("'Word Vectors'!B"&amp;MATCH($B$2,'Word Vectors'!A:A,0)&amp;":Z"&amp;MATCH($B$2,'Word Vectors'!A:A,0))))*SQRT(SUMPRODUCT(INDIRECT("'Word Vectors'!B308:Z308"),INDIRECT("'Word Vectors'!B308:Z308")))))</f>
        <v/>
      </c>
      <c r="KY2">
        <f>IF(OR($B$2="",ISNA(MATCH($B$2,'Word Vectors'!A:A,0)),'Word Vectors'!A309=$B$2),"",SUMPRODUCT(INDIRECT("'Word Vectors'!B"&amp;MATCH($B$2,'Word Vectors'!A:A,0)&amp;":Z"&amp;MATCH($B$2,'Word Vectors'!A:A,0)),INDIRECT("'Word Vectors'!B309:Z309"))/(SQRT(SUMPRODUCT(INDIRECT("'Word Vectors'!B"&amp;MATCH($B$2,'Word Vectors'!A:A,0)&amp;":Z"&amp;MATCH($B$2,'Word Vectors'!A:A,0)),INDIRECT("'Word Vectors'!B"&amp;MATCH($B$2,'Word Vectors'!A:A,0)&amp;":Z"&amp;MATCH($B$2,'Word Vectors'!A:A,0))))*SQRT(SUMPRODUCT(INDIRECT("'Word Vectors'!B309:Z309"),INDIRECT("'Word Vectors'!B309:Z309")))))</f>
        <v/>
      </c>
      <c r="KZ2">
        <f>IF(OR($B$2="",ISNA(MATCH($B$2,'Word Vectors'!A:A,0)),'Word Vectors'!A310=$B$2),"",SUMPRODUCT(INDIRECT("'Word Vectors'!B"&amp;MATCH($B$2,'Word Vectors'!A:A,0)&amp;":Z"&amp;MATCH($B$2,'Word Vectors'!A:A,0)),INDIRECT("'Word Vectors'!B310:Z310"))/(SQRT(SUMPRODUCT(INDIRECT("'Word Vectors'!B"&amp;MATCH($B$2,'Word Vectors'!A:A,0)&amp;":Z"&amp;MATCH($B$2,'Word Vectors'!A:A,0)),INDIRECT("'Word Vectors'!B"&amp;MATCH($B$2,'Word Vectors'!A:A,0)&amp;":Z"&amp;MATCH($B$2,'Word Vectors'!A:A,0))))*SQRT(SUMPRODUCT(INDIRECT("'Word Vectors'!B310:Z310"),INDIRECT("'Word Vectors'!B310:Z310")))))</f>
        <v/>
      </c>
      <c r="LA2">
        <f>IF(OR($B$2="",ISNA(MATCH($B$2,'Word Vectors'!A:A,0)),'Word Vectors'!A311=$B$2),"",SUMPRODUCT(INDIRECT("'Word Vectors'!B"&amp;MATCH($B$2,'Word Vectors'!A:A,0)&amp;":Z"&amp;MATCH($B$2,'Word Vectors'!A:A,0)),INDIRECT("'Word Vectors'!B311:Z311"))/(SQRT(SUMPRODUCT(INDIRECT("'Word Vectors'!B"&amp;MATCH($B$2,'Word Vectors'!A:A,0)&amp;":Z"&amp;MATCH($B$2,'Word Vectors'!A:A,0)),INDIRECT("'Word Vectors'!B"&amp;MATCH($B$2,'Word Vectors'!A:A,0)&amp;":Z"&amp;MATCH($B$2,'Word Vectors'!A:A,0))))*SQRT(SUMPRODUCT(INDIRECT("'Word Vectors'!B311:Z311"),INDIRECT("'Word Vectors'!B311:Z311")))))</f>
        <v/>
      </c>
      <c r="LB2">
        <f>IF(OR($B$2="",ISNA(MATCH($B$2,'Word Vectors'!A:A,0)),'Word Vectors'!A312=$B$2),"",SUMPRODUCT(INDIRECT("'Word Vectors'!B"&amp;MATCH($B$2,'Word Vectors'!A:A,0)&amp;":Z"&amp;MATCH($B$2,'Word Vectors'!A:A,0)),INDIRECT("'Word Vectors'!B312:Z312"))/(SQRT(SUMPRODUCT(INDIRECT("'Word Vectors'!B"&amp;MATCH($B$2,'Word Vectors'!A:A,0)&amp;":Z"&amp;MATCH($B$2,'Word Vectors'!A:A,0)),INDIRECT("'Word Vectors'!B"&amp;MATCH($B$2,'Word Vectors'!A:A,0)&amp;":Z"&amp;MATCH($B$2,'Word Vectors'!A:A,0))))*SQRT(SUMPRODUCT(INDIRECT("'Word Vectors'!B312:Z312"),INDIRECT("'Word Vectors'!B312:Z312")))))</f>
        <v/>
      </c>
      <c r="LC2">
        <f>IF(OR($B$2="",ISNA(MATCH($B$2,'Word Vectors'!A:A,0)),'Word Vectors'!A313=$B$2),"",SUMPRODUCT(INDIRECT("'Word Vectors'!B"&amp;MATCH($B$2,'Word Vectors'!A:A,0)&amp;":Z"&amp;MATCH($B$2,'Word Vectors'!A:A,0)),INDIRECT("'Word Vectors'!B313:Z313"))/(SQRT(SUMPRODUCT(INDIRECT("'Word Vectors'!B"&amp;MATCH($B$2,'Word Vectors'!A:A,0)&amp;":Z"&amp;MATCH($B$2,'Word Vectors'!A:A,0)),INDIRECT("'Word Vectors'!B"&amp;MATCH($B$2,'Word Vectors'!A:A,0)&amp;":Z"&amp;MATCH($B$2,'Word Vectors'!A:A,0))))*SQRT(SUMPRODUCT(INDIRECT("'Word Vectors'!B313:Z313"),INDIRECT("'Word Vectors'!B313:Z313")))))</f>
        <v/>
      </c>
      <c r="LD2">
        <f>IF(OR($B$2="",ISNA(MATCH($B$2,'Word Vectors'!A:A,0)),'Word Vectors'!A314=$B$2),"",SUMPRODUCT(INDIRECT("'Word Vectors'!B"&amp;MATCH($B$2,'Word Vectors'!A:A,0)&amp;":Z"&amp;MATCH($B$2,'Word Vectors'!A:A,0)),INDIRECT("'Word Vectors'!B314:Z314"))/(SQRT(SUMPRODUCT(INDIRECT("'Word Vectors'!B"&amp;MATCH($B$2,'Word Vectors'!A:A,0)&amp;":Z"&amp;MATCH($B$2,'Word Vectors'!A:A,0)),INDIRECT("'Word Vectors'!B"&amp;MATCH($B$2,'Word Vectors'!A:A,0)&amp;":Z"&amp;MATCH($B$2,'Word Vectors'!A:A,0))))*SQRT(SUMPRODUCT(INDIRECT("'Word Vectors'!B314:Z314"),INDIRECT("'Word Vectors'!B314:Z314")))))</f>
        <v/>
      </c>
      <c r="LE2">
        <f>IF(OR($B$2="",ISNA(MATCH($B$2,'Word Vectors'!A:A,0)),'Word Vectors'!A315=$B$2),"",SUMPRODUCT(INDIRECT("'Word Vectors'!B"&amp;MATCH($B$2,'Word Vectors'!A:A,0)&amp;":Z"&amp;MATCH($B$2,'Word Vectors'!A:A,0)),INDIRECT("'Word Vectors'!B315:Z315"))/(SQRT(SUMPRODUCT(INDIRECT("'Word Vectors'!B"&amp;MATCH($B$2,'Word Vectors'!A:A,0)&amp;":Z"&amp;MATCH($B$2,'Word Vectors'!A:A,0)),INDIRECT("'Word Vectors'!B"&amp;MATCH($B$2,'Word Vectors'!A:A,0)&amp;":Z"&amp;MATCH($B$2,'Word Vectors'!A:A,0))))*SQRT(SUMPRODUCT(INDIRECT("'Word Vectors'!B315:Z315"),INDIRECT("'Word Vectors'!B315:Z315")))))</f>
        <v/>
      </c>
      <c r="LF2">
        <f>IF(OR($B$2="",ISNA(MATCH($B$2,'Word Vectors'!A:A,0)),'Word Vectors'!A316=$B$2),"",SUMPRODUCT(INDIRECT("'Word Vectors'!B"&amp;MATCH($B$2,'Word Vectors'!A:A,0)&amp;":Z"&amp;MATCH($B$2,'Word Vectors'!A:A,0)),INDIRECT("'Word Vectors'!B316:Z316"))/(SQRT(SUMPRODUCT(INDIRECT("'Word Vectors'!B"&amp;MATCH($B$2,'Word Vectors'!A:A,0)&amp;":Z"&amp;MATCH($B$2,'Word Vectors'!A:A,0)),INDIRECT("'Word Vectors'!B"&amp;MATCH($B$2,'Word Vectors'!A:A,0)&amp;":Z"&amp;MATCH($B$2,'Word Vectors'!A:A,0))))*SQRT(SUMPRODUCT(INDIRECT("'Word Vectors'!B316:Z316"),INDIRECT("'Word Vectors'!B316:Z316")))))</f>
        <v/>
      </c>
      <c r="LG2">
        <f>IF(OR($B$2="",ISNA(MATCH($B$2,'Word Vectors'!A:A,0)),'Word Vectors'!A317=$B$2),"",SUMPRODUCT(INDIRECT("'Word Vectors'!B"&amp;MATCH($B$2,'Word Vectors'!A:A,0)&amp;":Z"&amp;MATCH($B$2,'Word Vectors'!A:A,0)),INDIRECT("'Word Vectors'!B317:Z317"))/(SQRT(SUMPRODUCT(INDIRECT("'Word Vectors'!B"&amp;MATCH($B$2,'Word Vectors'!A:A,0)&amp;":Z"&amp;MATCH($B$2,'Word Vectors'!A:A,0)),INDIRECT("'Word Vectors'!B"&amp;MATCH($B$2,'Word Vectors'!A:A,0)&amp;":Z"&amp;MATCH($B$2,'Word Vectors'!A:A,0))))*SQRT(SUMPRODUCT(INDIRECT("'Word Vectors'!B317:Z317"),INDIRECT("'Word Vectors'!B317:Z317")))))</f>
        <v/>
      </c>
      <c r="LH2">
        <f>IF(OR($B$2="",ISNA(MATCH($B$2,'Word Vectors'!A:A,0)),'Word Vectors'!A318=$B$2),"",SUMPRODUCT(INDIRECT("'Word Vectors'!B"&amp;MATCH($B$2,'Word Vectors'!A:A,0)&amp;":Z"&amp;MATCH($B$2,'Word Vectors'!A:A,0)),INDIRECT("'Word Vectors'!B318:Z318"))/(SQRT(SUMPRODUCT(INDIRECT("'Word Vectors'!B"&amp;MATCH($B$2,'Word Vectors'!A:A,0)&amp;":Z"&amp;MATCH($B$2,'Word Vectors'!A:A,0)),INDIRECT("'Word Vectors'!B"&amp;MATCH($B$2,'Word Vectors'!A:A,0)&amp;":Z"&amp;MATCH($B$2,'Word Vectors'!A:A,0))))*SQRT(SUMPRODUCT(INDIRECT("'Word Vectors'!B318:Z318"),INDIRECT("'Word Vectors'!B318:Z318")))))</f>
        <v/>
      </c>
      <c r="LI2">
        <f>IF(OR($B$2="",ISNA(MATCH($B$2,'Word Vectors'!A:A,0)),'Word Vectors'!A319=$B$2),"",SUMPRODUCT(INDIRECT("'Word Vectors'!B"&amp;MATCH($B$2,'Word Vectors'!A:A,0)&amp;":Z"&amp;MATCH($B$2,'Word Vectors'!A:A,0)),INDIRECT("'Word Vectors'!B319:Z319"))/(SQRT(SUMPRODUCT(INDIRECT("'Word Vectors'!B"&amp;MATCH($B$2,'Word Vectors'!A:A,0)&amp;":Z"&amp;MATCH($B$2,'Word Vectors'!A:A,0)),INDIRECT("'Word Vectors'!B"&amp;MATCH($B$2,'Word Vectors'!A:A,0)&amp;":Z"&amp;MATCH($B$2,'Word Vectors'!A:A,0))))*SQRT(SUMPRODUCT(INDIRECT("'Word Vectors'!B319:Z319"),INDIRECT("'Word Vectors'!B319:Z319")))))</f>
        <v/>
      </c>
      <c r="LJ2">
        <f>IF(OR($B$2="",ISNA(MATCH($B$2,'Word Vectors'!A:A,0)),'Word Vectors'!A320=$B$2),"",SUMPRODUCT(INDIRECT("'Word Vectors'!B"&amp;MATCH($B$2,'Word Vectors'!A:A,0)&amp;":Z"&amp;MATCH($B$2,'Word Vectors'!A:A,0)),INDIRECT("'Word Vectors'!B320:Z320"))/(SQRT(SUMPRODUCT(INDIRECT("'Word Vectors'!B"&amp;MATCH($B$2,'Word Vectors'!A:A,0)&amp;":Z"&amp;MATCH($B$2,'Word Vectors'!A:A,0)),INDIRECT("'Word Vectors'!B"&amp;MATCH($B$2,'Word Vectors'!A:A,0)&amp;":Z"&amp;MATCH($B$2,'Word Vectors'!A:A,0))))*SQRT(SUMPRODUCT(INDIRECT("'Word Vectors'!B320:Z320"),INDIRECT("'Word Vectors'!B320:Z320")))))</f>
        <v/>
      </c>
      <c r="LK2">
        <f>IF(OR($B$2="",ISNA(MATCH($B$2,'Word Vectors'!A:A,0)),'Word Vectors'!A321=$B$2),"",SUMPRODUCT(INDIRECT("'Word Vectors'!B"&amp;MATCH($B$2,'Word Vectors'!A:A,0)&amp;":Z"&amp;MATCH($B$2,'Word Vectors'!A:A,0)),INDIRECT("'Word Vectors'!B321:Z321"))/(SQRT(SUMPRODUCT(INDIRECT("'Word Vectors'!B"&amp;MATCH($B$2,'Word Vectors'!A:A,0)&amp;":Z"&amp;MATCH($B$2,'Word Vectors'!A:A,0)),INDIRECT("'Word Vectors'!B"&amp;MATCH($B$2,'Word Vectors'!A:A,0)&amp;":Z"&amp;MATCH($B$2,'Word Vectors'!A:A,0))))*SQRT(SUMPRODUCT(INDIRECT("'Word Vectors'!B321:Z321"),INDIRECT("'Word Vectors'!B321:Z321")))))</f>
        <v/>
      </c>
      <c r="LL2">
        <f>IF(OR($B$2="",ISNA(MATCH($B$2,'Word Vectors'!A:A,0)),'Word Vectors'!A322=$B$2),"",SUMPRODUCT(INDIRECT("'Word Vectors'!B"&amp;MATCH($B$2,'Word Vectors'!A:A,0)&amp;":Z"&amp;MATCH($B$2,'Word Vectors'!A:A,0)),INDIRECT("'Word Vectors'!B322:Z322"))/(SQRT(SUMPRODUCT(INDIRECT("'Word Vectors'!B"&amp;MATCH($B$2,'Word Vectors'!A:A,0)&amp;":Z"&amp;MATCH($B$2,'Word Vectors'!A:A,0)),INDIRECT("'Word Vectors'!B"&amp;MATCH($B$2,'Word Vectors'!A:A,0)&amp;":Z"&amp;MATCH($B$2,'Word Vectors'!A:A,0))))*SQRT(SUMPRODUCT(INDIRECT("'Word Vectors'!B322:Z322"),INDIRECT("'Word Vectors'!B322:Z322")))))</f>
        <v/>
      </c>
      <c r="LM2">
        <f>IF(OR($B$2="",ISNA(MATCH($B$2,'Word Vectors'!A:A,0)),'Word Vectors'!A323=$B$2),"",SUMPRODUCT(INDIRECT("'Word Vectors'!B"&amp;MATCH($B$2,'Word Vectors'!A:A,0)&amp;":Z"&amp;MATCH($B$2,'Word Vectors'!A:A,0)),INDIRECT("'Word Vectors'!B323:Z323"))/(SQRT(SUMPRODUCT(INDIRECT("'Word Vectors'!B"&amp;MATCH($B$2,'Word Vectors'!A:A,0)&amp;":Z"&amp;MATCH($B$2,'Word Vectors'!A:A,0)),INDIRECT("'Word Vectors'!B"&amp;MATCH($B$2,'Word Vectors'!A:A,0)&amp;":Z"&amp;MATCH($B$2,'Word Vectors'!A:A,0))))*SQRT(SUMPRODUCT(INDIRECT("'Word Vectors'!B323:Z323"),INDIRECT("'Word Vectors'!B323:Z323")))))</f>
        <v/>
      </c>
      <c r="LN2">
        <f>IF(OR($B$2="",ISNA(MATCH($B$2,'Word Vectors'!A:A,0)),'Word Vectors'!A324=$B$2),"",SUMPRODUCT(INDIRECT("'Word Vectors'!B"&amp;MATCH($B$2,'Word Vectors'!A:A,0)&amp;":Z"&amp;MATCH($B$2,'Word Vectors'!A:A,0)),INDIRECT("'Word Vectors'!B324:Z324"))/(SQRT(SUMPRODUCT(INDIRECT("'Word Vectors'!B"&amp;MATCH($B$2,'Word Vectors'!A:A,0)&amp;":Z"&amp;MATCH($B$2,'Word Vectors'!A:A,0)),INDIRECT("'Word Vectors'!B"&amp;MATCH($B$2,'Word Vectors'!A:A,0)&amp;":Z"&amp;MATCH($B$2,'Word Vectors'!A:A,0))))*SQRT(SUMPRODUCT(INDIRECT("'Word Vectors'!B324:Z324"),INDIRECT("'Word Vectors'!B324:Z324")))))</f>
        <v/>
      </c>
      <c r="LO2">
        <f>IF(OR($B$2="",ISNA(MATCH($B$2,'Word Vectors'!A:A,0)),'Word Vectors'!A325=$B$2),"",SUMPRODUCT(INDIRECT("'Word Vectors'!B"&amp;MATCH($B$2,'Word Vectors'!A:A,0)&amp;":Z"&amp;MATCH($B$2,'Word Vectors'!A:A,0)),INDIRECT("'Word Vectors'!B325:Z325"))/(SQRT(SUMPRODUCT(INDIRECT("'Word Vectors'!B"&amp;MATCH($B$2,'Word Vectors'!A:A,0)&amp;":Z"&amp;MATCH($B$2,'Word Vectors'!A:A,0)),INDIRECT("'Word Vectors'!B"&amp;MATCH($B$2,'Word Vectors'!A:A,0)&amp;":Z"&amp;MATCH($B$2,'Word Vectors'!A:A,0))))*SQRT(SUMPRODUCT(INDIRECT("'Word Vectors'!B325:Z325"),INDIRECT("'Word Vectors'!B325:Z325")))))</f>
        <v/>
      </c>
      <c r="LP2">
        <f>IF(OR($B$2="",ISNA(MATCH($B$2,'Word Vectors'!A:A,0)),'Word Vectors'!A326=$B$2),"",SUMPRODUCT(INDIRECT("'Word Vectors'!B"&amp;MATCH($B$2,'Word Vectors'!A:A,0)&amp;":Z"&amp;MATCH($B$2,'Word Vectors'!A:A,0)),INDIRECT("'Word Vectors'!B326:Z326"))/(SQRT(SUMPRODUCT(INDIRECT("'Word Vectors'!B"&amp;MATCH($B$2,'Word Vectors'!A:A,0)&amp;":Z"&amp;MATCH($B$2,'Word Vectors'!A:A,0)),INDIRECT("'Word Vectors'!B"&amp;MATCH($B$2,'Word Vectors'!A:A,0)&amp;":Z"&amp;MATCH($B$2,'Word Vectors'!A:A,0))))*SQRT(SUMPRODUCT(INDIRECT("'Word Vectors'!B326:Z326"),INDIRECT("'Word Vectors'!B326:Z326")))))</f>
        <v/>
      </c>
      <c r="LQ2">
        <f>IF(OR($B$2="",ISNA(MATCH($B$2,'Word Vectors'!A:A,0)),'Word Vectors'!A327=$B$2),"",SUMPRODUCT(INDIRECT("'Word Vectors'!B"&amp;MATCH($B$2,'Word Vectors'!A:A,0)&amp;":Z"&amp;MATCH($B$2,'Word Vectors'!A:A,0)),INDIRECT("'Word Vectors'!B327:Z327"))/(SQRT(SUMPRODUCT(INDIRECT("'Word Vectors'!B"&amp;MATCH($B$2,'Word Vectors'!A:A,0)&amp;":Z"&amp;MATCH($B$2,'Word Vectors'!A:A,0)),INDIRECT("'Word Vectors'!B"&amp;MATCH($B$2,'Word Vectors'!A:A,0)&amp;":Z"&amp;MATCH($B$2,'Word Vectors'!A:A,0))))*SQRT(SUMPRODUCT(INDIRECT("'Word Vectors'!B327:Z327"),INDIRECT("'Word Vectors'!B327:Z327")))))</f>
        <v/>
      </c>
      <c r="LR2">
        <f>IF(OR($B$2="",ISNA(MATCH($B$2,'Word Vectors'!A:A,0)),'Word Vectors'!A328=$B$2),"",SUMPRODUCT(INDIRECT("'Word Vectors'!B"&amp;MATCH($B$2,'Word Vectors'!A:A,0)&amp;":Z"&amp;MATCH($B$2,'Word Vectors'!A:A,0)),INDIRECT("'Word Vectors'!B328:Z328"))/(SQRT(SUMPRODUCT(INDIRECT("'Word Vectors'!B"&amp;MATCH($B$2,'Word Vectors'!A:A,0)&amp;":Z"&amp;MATCH($B$2,'Word Vectors'!A:A,0)),INDIRECT("'Word Vectors'!B"&amp;MATCH($B$2,'Word Vectors'!A:A,0)&amp;":Z"&amp;MATCH($B$2,'Word Vectors'!A:A,0))))*SQRT(SUMPRODUCT(INDIRECT("'Word Vectors'!B328:Z328"),INDIRECT("'Word Vectors'!B328:Z328")))))</f>
        <v/>
      </c>
      <c r="LS2">
        <f>IF(OR($B$2="",ISNA(MATCH($B$2,'Word Vectors'!A:A,0)),'Word Vectors'!A329=$B$2),"",SUMPRODUCT(INDIRECT("'Word Vectors'!B"&amp;MATCH($B$2,'Word Vectors'!A:A,0)&amp;":Z"&amp;MATCH($B$2,'Word Vectors'!A:A,0)),INDIRECT("'Word Vectors'!B329:Z329"))/(SQRT(SUMPRODUCT(INDIRECT("'Word Vectors'!B"&amp;MATCH($B$2,'Word Vectors'!A:A,0)&amp;":Z"&amp;MATCH($B$2,'Word Vectors'!A:A,0)),INDIRECT("'Word Vectors'!B"&amp;MATCH($B$2,'Word Vectors'!A:A,0)&amp;":Z"&amp;MATCH($B$2,'Word Vectors'!A:A,0))))*SQRT(SUMPRODUCT(INDIRECT("'Word Vectors'!B329:Z329"),INDIRECT("'Word Vectors'!B329:Z329")))))</f>
        <v/>
      </c>
      <c r="LT2">
        <f>IF(OR($B$2="",ISNA(MATCH($B$2,'Word Vectors'!A:A,0)),'Word Vectors'!A330=$B$2),"",SUMPRODUCT(INDIRECT("'Word Vectors'!B"&amp;MATCH($B$2,'Word Vectors'!A:A,0)&amp;":Z"&amp;MATCH($B$2,'Word Vectors'!A:A,0)),INDIRECT("'Word Vectors'!B330:Z330"))/(SQRT(SUMPRODUCT(INDIRECT("'Word Vectors'!B"&amp;MATCH($B$2,'Word Vectors'!A:A,0)&amp;":Z"&amp;MATCH($B$2,'Word Vectors'!A:A,0)),INDIRECT("'Word Vectors'!B"&amp;MATCH($B$2,'Word Vectors'!A:A,0)&amp;":Z"&amp;MATCH($B$2,'Word Vectors'!A:A,0))))*SQRT(SUMPRODUCT(INDIRECT("'Word Vectors'!B330:Z330"),INDIRECT("'Word Vectors'!B330:Z330")))))</f>
        <v/>
      </c>
      <c r="LU2">
        <f>IF(OR($B$2="",ISNA(MATCH($B$2,'Word Vectors'!A:A,0)),'Word Vectors'!A331=$B$2),"",SUMPRODUCT(INDIRECT("'Word Vectors'!B"&amp;MATCH($B$2,'Word Vectors'!A:A,0)&amp;":Z"&amp;MATCH($B$2,'Word Vectors'!A:A,0)),INDIRECT("'Word Vectors'!B331:Z331"))/(SQRT(SUMPRODUCT(INDIRECT("'Word Vectors'!B"&amp;MATCH($B$2,'Word Vectors'!A:A,0)&amp;":Z"&amp;MATCH($B$2,'Word Vectors'!A:A,0)),INDIRECT("'Word Vectors'!B"&amp;MATCH($B$2,'Word Vectors'!A:A,0)&amp;":Z"&amp;MATCH($B$2,'Word Vectors'!A:A,0))))*SQRT(SUMPRODUCT(INDIRECT("'Word Vectors'!B331:Z331"),INDIRECT("'Word Vectors'!B331:Z331")))))</f>
        <v/>
      </c>
      <c r="LV2">
        <f>IF(OR($B$2="",ISNA(MATCH($B$2,'Word Vectors'!A:A,0)),'Word Vectors'!A332=$B$2),"",SUMPRODUCT(INDIRECT("'Word Vectors'!B"&amp;MATCH($B$2,'Word Vectors'!A:A,0)&amp;":Z"&amp;MATCH($B$2,'Word Vectors'!A:A,0)),INDIRECT("'Word Vectors'!B332:Z332"))/(SQRT(SUMPRODUCT(INDIRECT("'Word Vectors'!B"&amp;MATCH($B$2,'Word Vectors'!A:A,0)&amp;":Z"&amp;MATCH($B$2,'Word Vectors'!A:A,0)),INDIRECT("'Word Vectors'!B"&amp;MATCH($B$2,'Word Vectors'!A:A,0)&amp;":Z"&amp;MATCH($B$2,'Word Vectors'!A:A,0))))*SQRT(SUMPRODUCT(INDIRECT("'Word Vectors'!B332:Z332"),INDIRECT("'Word Vectors'!B332:Z332")))))</f>
        <v/>
      </c>
      <c r="LW2">
        <f>IF(OR($B$2="",ISNA(MATCH($B$2,'Word Vectors'!A:A,0)),'Word Vectors'!A333=$B$2),"",SUMPRODUCT(INDIRECT("'Word Vectors'!B"&amp;MATCH($B$2,'Word Vectors'!A:A,0)&amp;":Z"&amp;MATCH($B$2,'Word Vectors'!A:A,0)),INDIRECT("'Word Vectors'!B333:Z333"))/(SQRT(SUMPRODUCT(INDIRECT("'Word Vectors'!B"&amp;MATCH($B$2,'Word Vectors'!A:A,0)&amp;":Z"&amp;MATCH($B$2,'Word Vectors'!A:A,0)),INDIRECT("'Word Vectors'!B"&amp;MATCH($B$2,'Word Vectors'!A:A,0)&amp;":Z"&amp;MATCH($B$2,'Word Vectors'!A:A,0))))*SQRT(SUMPRODUCT(INDIRECT("'Word Vectors'!B333:Z333"),INDIRECT("'Word Vectors'!B333:Z333")))))</f>
        <v/>
      </c>
      <c r="LX2">
        <f>IF(OR($B$2="",ISNA(MATCH($B$2,'Word Vectors'!A:A,0)),'Word Vectors'!A334=$B$2),"",SUMPRODUCT(INDIRECT("'Word Vectors'!B"&amp;MATCH($B$2,'Word Vectors'!A:A,0)&amp;":Z"&amp;MATCH($B$2,'Word Vectors'!A:A,0)),INDIRECT("'Word Vectors'!B334:Z334"))/(SQRT(SUMPRODUCT(INDIRECT("'Word Vectors'!B"&amp;MATCH($B$2,'Word Vectors'!A:A,0)&amp;":Z"&amp;MATCH($B$2,'Word Vectors'!A:A,0)),INDIRECT("'Word Vectors'!B"&amp;MATCH($B$2,'Word Vectors'!A:A,0)&amp;":Z"&amp;MATCH($B$2,'Word Vectors'!A:A,0))))*SQRT(SUMPRODUCT(INDIRECT("'Word Vectors'!B334:Z334"),INDIRECT("'Word Vectors'!B334:Z334")))))</f>
        <v/>
      </c>
      <c r="LY2">
        <f>IF(OR($B$2="",ISNA(MATCH($B$2,'Word Vectors'!A:A,0)),'Word Vectors'!A335=$B$2),"",SUMPRODUCT(INDIRECT("'Word Vectors'!B"&amp;MATCH($B$2,'Word Vectors'!A:A,0)&amp;":Z"&amp;MATCH($B$2,'Word Vectors'!A:A,0)),INDIRECT("'Word Vectors'!B335:Z335"))/(SQRT(SUMPRODUCT(INDIRECT("'Word Vectors'!B"&amp;MATCH($B$2,'Word Vectors'!A:A,0)&amp;":Z"&amp;MATCH($B$2,'Word Vectors'!A:A,0)),INDIRECT("'Word Vectors'!B"&amp;MATCH($B$2,'Word Vectors'!A:A,0)&amp;":Z"&amp;MATCH($B$2,'Word Vectors'!A:A,0))))*SQRT(SUMPRODUCT(INDIRECT("'Word Vectors'!B335:Z335"),INDIRECT("'Word Vectors'!B335:Z335")))))</f>
        <v/>
      </c>
      <c r="LZ2">
        <f>IF(OR($B$2="",ISNA(MATCH($B$2,'Word Vectors'!A:A,0)),'Word Vectors'!A336=$B$2),"",SUMPRODUCT(INDIRECT("'Word Vectors'!B"&amp;MATCH($B$2,'Word Vectors'!A:A,0)&amp;":Z"&amp;MATCH($B$2,'Word Vectors'!A:A,0)),INDIRECT("'Word Vectors'!B336:Z336"))/(SQRT(SUMPRODUCT(INDIRECT("'Word Vectors'!B"&amp;MATCH($B$2,'Word Vectors'!A:A,0)&amp;":Z"&amp;MATCH($B$2,'Word Vectors'!A:A,0)),INDIRECT("'Word Vectors'!B"&amp;MATCH($B$2,'Word Vectors'!A:A,0)&amp;":Z"&amp;MATCH($B$2,'Word Vectors'!A:A,0))))*SQRT(SUMPRODUCT(INDIRECT("'Word Vectors'!B336:Z336"),INDIRECT("'Word Vectors'!B336:Z336")))))</f>
        <v/>
      </c>
      <c r="MA2">
        <f>IF(OR($B$2="",ISNA(MATCH($B$2,'Word Vectors'!A:A,0)),'Word Vectors'!A337=$B$2),"",SUMPRODUCT(INDIRECT("'Word Vectors'!B"&amp;MATCH($B$2,'Word Vectors'!A:A,0)&amp;":Z"&amp;MATCH($B$2,'Word Vectors'!A:A,0)),INDIRECT("'Word Vectors'!B337:Z337"))/(SQRT(SUMPRODUCT(INDIRECT("'Word Vectors'!B"&amp;MATCH($B$2,'Word Vectors'!A:A,0)&amp;":Z"&amp;MATCH($B$2,'Word Vectors'!A:A,0)),INDIRECT("'Word Vectors'!B"&amp;MATCH($B$2,'Word Vectors'!A:A,0)&amp;":Z"&amp;MATCH($B$2,'Word Vectors'!A:A,0))))*SQRT(SUMPRODUCT(INDIRECT("'Word Vectors'!B337:Z337"),INDIRECT("'Word Vectors'!B337:Z337")))))</f>
        <v/>
      </c>
      <c r="MB2">
        <f>IF(OR($B$2="",ISNA(MATCH($B$2,'Word Vectors'!A:A,0)),'Word Vectors'!A338=$B$2),"",SUMPRODUCT(INDIRECT("'Word Vectors'!B"&amp;MATCH($B$2,'Word Vectors'!A:A,0)&amp;":Z"&amp;MATCH($B$2,'Word Vectors'!A:A,0)),INDIRECT("'Word Vectors'!B338:Z338"))/(SQRT(SUMPRODUCT(INDIRECT("'Word Vectors'!B"&amp;MATCH($B$2,'Word Vectors'!A:A,0)&amp;":Z"&amp;MATCH($B$2,'Word Vectors'!A:A,0)),INDIRECT("'Word Vectors'!B"&amp;MATCH($B$2,'Word Vectors'!A:A,0)&amp;":Z"&amp;MATCH($B$2,'Word Vectors'!A:A,0))))*SQRT(SUMPRODUCT(INDIRECT("'Word Vectors'!B338:Z338"),INDIRECT("'Word Vectors'!B338:Z338")))))</f>
        <v/>
      </c>
      <c r="MC2">
        <f>IF(OR($B$2="",ISNA(MATCH($B$2,'Word Vectors'!A:A,0)),'Word Vectors'!A339=$B$2),"",SUMPRODUCT(INDIRECT("'Word Vectors'!B"&amp;MATCH($B$2,'Word Vectors'!A:A,0)&amp;":Z"&amp;MATCH($B$2,'Word Vectors'!A:A,0)),INDIRECT("'Word Vectors'!B339:Z339"))/(SQRT(SUMPRODUCT(INDIRECT("'Word Vectors'!B"&amp;MATCH($B$2,'Word Vectors'!A:A,0)&amp;":Z"&amp;MATCH($B$2,'Word Vectors'!A:A,0)),INDIRECT("'Word Vectors'!B"&amp;MATCH($B$2,'Word Vectors'!A:A,0)&amp;":Z"&amp;MATCH($B$2,'Word Vectors'!A:A,0))))*SQRT(SUMPRODUCT(INDIRECT("'Word Vectors'!B339:Z339"),INDIRECT("'Word Vectors'!B339:Z339")))))</f>
        <v/>
      </c>
      <c r="MD2">
        <f>IF(OR($B$2="",ISNA(MATCH($B$2,'Word Vectors'!A:A,0)),'Word Vectors'!A340=$B$2),"",SUMPRODUCT(INDIRECT("'Word Vectors'!B"&amp;MATCH($B$2,'Word Vectors'!A:A,0)&amp;":Z"&amp;MATCH($B$2,'Word Vectors'!A:A,0)),INDIRECT("'Word Vectors'!B340:Z340"))/(SQRT(SUMPRODUCT(INDIRECT("'Word Vectors'!B"&amp;MATCH($B$2,'Word Vectors'!A:A,0)&amp;":Z"&amp;MATCH($B$2,'Word Vectors'!A:A,0)),INDIRECT("'Word Vectors'!B"&amp;MATCH($B$2,'Word Vectors'!A:A,0)&amp;":Z"&amp;MATCH($B$2,'Word Vectors'!A:A,0))))*SQRT(SUMPRODUCT(INDIRECT("'Word Vectors'!B340:Z340"),INDIRECT("'Word Vectors'!B340:Z340")))))</f>
        <v/>
      </c>
      <c r="ME2">
        <f>IF(OR($B$2="",ISNA(MATCH($B$2,'Word Vectors'!A:A,0)),'Word Vectors'!A341=$B$2),"",SUMPRODUCT(INDIRECT("'Word Vectors'!B"&amp;MATCH($B$2,'Word Vectors'!A:A,0)&amp;":Z"&amp;MATCH($B$2,'Word Vectors'!A:A,0)),INDIRECT("'Word Vectors'!B341:Z341"))/(SQRT(SUMPRODUCT(INDIRECT("'Word Vectors'!B"&amp;MATCH($B$2,'Word Vectors'!A:A,0)&amp;":Z"&amp;MATCH($B$2,'Word Vectors'!A:A,0)),INDIRECT("'Word Vectors'!B"&amp;MATCH($B$2,'Word Vectors'!A:A,0)&amp;":Z"&amp;MATCH($B$2,'Word Vectors'!A:A,0))))*SQRT(SUMPRODUCT(INDIRECT("'Word Vectors'!B341:Z341"),INDIRECT("'Word Vectors'!B341:Z341")))))</f>
        <v/>
      </c>
      <c r="MF2">
        <f>IF(OR($B$2="",ISNA(MATCH($B$2,'Word Vectors'!A:A,0)),'Word Vectors'!A342=$B$2),"",SUMPRODUCT(INDIRECT("'Word Vectors'!B"&amp;MATCH($B$2,'Word Vectors'!A:A,0)&amp;":Z"&amp;MATCH($B$2,'Word Vectors'!A:A,0)),INDIRECT("'Word Vectors'!B342:Z342"))/(SQRT(SUMPRODUCT(INDIRECT("'Word Vectors'!B"&amp;MATCH($B$2,'Word Vectors'!A:A,0)&amp;":Z"&amp;MATCH($B$2,'Word Vectors'!A:A,0)),INDIRECT("'Word Vectors'!B"&amp;MATCH($B$2,'Word Vectors'!A:A,0)&amp;":Z"&amp;MATCH($B$2,'Word Vectors'!A:A,0))))*SQRT(SUMPRODUCT(INDIRECT("'Word Vectors'!B342:Z342"),INDIRECT("'Word Vectors'!B342:Z342")))))</f>
        <v/>
      </c>
      <c r="MG2">
        <f>IF(OR($B$2="",ISNA(MATCH($B$2,'Word Vectors'!A:A,0)),'Word Vectors'!A343=$B$2),"",SUMPRODUCT(INDIRECT("'Word Vectors'!B"&amp;MATCH($B$2,'Word Vectors'!A:A,0)&amp;":Z"&amp;MATCH($B$2,'Word Vectors'!A:A,0)),INDIRECT("'Word Vectors'!B343:Z343"))/(SQRT(SUMPRODUCT(INDIRECT("'Word Vectors'!B"&amp;MATCH($B$2,'Word Vectors'!A:A,0)&amp;":Z"&amp;MATCH($B$2,'Word Vectors'!A:A,0)),INDIRECT("'Word Vectors'!B"&amp;MATCH($B$2,'Word Vectors'!A:A,0)&amp;":Z"&amp;MATCH($B$2,'Word Vectors'!A:A,0))))*SQRT(SUMPRODUCT(INDIRECT("'Word Vectors'!B343:Z343"),INDIRECT("'Word Vectors'!B343:Z343")))))</f>
        <v/>
      </c>
      <c r="MH2">
        <f>IF(OR($B$2="",ISNA(MATCH($B$2,'Word Vectors'!A:A,0)),'Word Vectors'!A344=$B$2),"",SUMPRODUCT(INDIRECT("'Word Vectors'!B"&amp;MATCH($B$2,'Word Vectors'!A:A,0)&amp;":Z"&amp;MATCH($B$2,'Word Vectors'!A:A,0)),INDIRECT("'Word Vectors'!B344:Z344"))/(SQRT(SUMPRODUCT(INDIRECT("'Word Vectors'!B"&amp;MATCH($B$2,'Word Vectors'!A:A,0)&amp;":Z"&amp;MATCH($B$2,'Word Vectors'!A:A,0)),INDIRECT("'Word Vectors'!B"&amp;MATCH($B$2,'Word Vectors'!A:A,0)&amp;":Z"&amp;MATCH($B$2,'Word Vectors'!A:A,0))))*SQRT(SUMPRODUCT(INDIRECT("'Word Vectors'!B344:Z344"),INDIRECT("'Word Vectors'!B344:Z344")))))</f>
        <v/>
      </c>
      <c r="MI2">
        <f>IF(OR($B$2="",ISNA(MATCH($B$2,'Word Vectors'!A:A,0)),'Word Vectors'!A345=$B$2),"",SUMPRODUCT(INDIRECT("'Word Vectors'!B"&amp;MATCH($B$2,'Word Vectors'!A:A,0)&amp;":Z"&amp;MATCH($B$2,'Word Vectors'!A:A,0)),INDIRECT("'Word Vectors'!B345:Z345"))/(SQRT(SUMPRODUCT(INDIRECT("'Word Vectors'!B"&amp;MATCH($B$2,'Word Vectors'!A:A,0)&amp;":Z"&amp;MATCH($B$2,'Word Vectors'!A:A,0)),INDIRECT("'Word Vectors'!B"&amp;MATCH($B$2,'Word Vectors'!A:A,0)&amp;":Z"&amp;MATCH($B$2,'Word Vectors'!A:A,0))))*SQRT(SUMPRODUCT(INDIRECT("'Word Vectors'!B345:Z345"),INDIRECT("'Word Vectors'!B345:Z345")))))</f>
        <v/>
      </c>
      <c r="MJ2">
        <f>IF(OR($B$2="",ISNA(MATCH($B$2,'Word Vectors'!A:A,0)),'Word Vectors'!A346=$B$2),"",SUMPRODUCT(INDIRECT("'Word Vectors'!B"&amp;MATCH($B$2,'Word Vectors'!A:A,0)&amp;":Z"&amp;MATCH($B$2,'Word Vectors'!A:A,0)),INDIRECT("'Word Vectors'!B346:Z346"))/(SQRT(SUMPRODUCT(INDIRECT("'Word Vectors'!B"&amp;MATCH($B$2,'Word Vectors'!A:A,0)&amp;":Z"&amp;MATCH($B$2,'Word Vectors'!A:A,0)),INDIRECT("'Word Vectors'!B"&amp;MATCH($B$2,'Word Vectors'!A:A,0)&amp;":Z"&amp;MATCH($B$2,'Word Vectors'!A:A,0))))*SQRT(SUMPRODUCT(INDIRECT("'Word Vectors'!B346:Z346"),INDIRECT("'Word Vectors'!B346:Z346")))))</f>
        <v/>
      </c>
      <c r="MK2">
        <f>IF(OR($B$2="",ISNA(MATCH($B$2,'Word Vectors'!A:A,0)),'Word Vectors'!A347=$B$2),"",SUMPRODUCT(INDIRECT("'Word Vectors'!B"&amp;MATCH($B$2,'Word Vectors'!A:A,0)&amp;":Z"&amp;MATCH($B$2,'Word Vectors'!A:A,0)),INDIRECT("'Word Vectors'!B347:Z347"))/(SQRT(SUMPRODUCT(INDIRECT("'Word Vectors'!B"&amp;MATCH($B$2,'Word Vectors'!A:A,0)&amp;":Z"&amp;MATCH($B$2,'Word Vectors'!A:A,0)),INDIRECT("'Word Vectors'!B"&amp;MATCH($B$2,'Word Vectors'!A:A,0)&amp;":Z"&amp;MATCH($B$2,'Word Vectors'!A:A,0))))*SQRT(SUMPRODUCT(INDIRECT("'Word Vectors'!B347:Z347"),INDIRECT("'Word Vectors'!B347:Z347")))))</f>
        <v/>
      </c>
      <c r="ML2">
        <f>IF(OR($B$2="",ISNA(MATCH($B$2,'Word Vectors'!A:A,0)),'Word Vectors'!A348=$B$2),"",SUMPRODUCT(INDIRECT("'Word Vectors'!B"&amp;MATCH($B$2,'Word Vectors'!A:A,0)&amp;":Z"&amp;MATCH($B$2,'Word Vectors'!A:A,0)),INDIRECT("'Word Vectors'!B348:Z348"))/(SQRT(SUMPRODUCT(INDIRECT("'Word Vectors'!B"&amp;MATCH($B$2,'Word Vectors'!A:A,0)&amp;":Z"&amp;MATCH($B$2,'Word Vectors'!A:A,0)),INDIRECT("'Word Vectors'!B"&amp;MATCH($B$2,'Word Vectors'!A:A,0)&amp;":Z"&amp;MATCH($B$2,'Word Vectors'!A:A,0))))*SQRT(SUMPRODUCT(INDIRECT("'Word Vectors'!B348:Z348"),INDIRECT("'Word Vectors'!B348:Z348")))))</f>
        <v/>
      </c>
      <c r="MM2">
        <f>IF(OR($B$2="",ISNA(MATCH($B$2,'Word Vectors'!A:A,0)),'Word Vectors'!A349=$B$2),"",SUMPRODUCT(INDIRECT("'Word Vectors'!B"&amp;MATCH($B$2,'Word Vectors'!A:A,0)&amp;":Z"&amp;MATCH($B$2,'Word Vectors'!A:A,0)),INDIRECT("'Word Vectors'!B349:Z349"))/(SQRT(SUMPRODUCT(INDIRECT("'Word Vectors'!B"&amp;MATCH($B$2,'Word Vectors'!A:A,0)&amp;":Z"&amp;MATCH($B$2,'Word Vectors'!A:A,0)),INDIRECT("'Word Vectors'!B"&amp;MATCH($B$2,'Word Vectors'!A:A,0)&amp;":Z"&amp;MATCH($B$2,'Word Vectors'!A:A,0))))*SQRT(SUMPRODUCT(INDIRECT("'Word Vectors'!B349:Z349"),INDIRECT("'Word Vectors'!B349:Z349")))))</f>
        <v/>
      </c>
      <c r="MN2">
        <f>IF(OR($B$2="",ISNA(MATCH($B$2,'Word Vectors'!A:A,0)),'Word Vectors'!A350=$B$2),"",SUMPRODUCT(INDIRECT("'Word Vectors'!B"&amp;MATCH($B$2,'Word Vectors'!A:A,0)&amp;":Z"&amp;MATCH($B$2,'Word Vectors'!A:A,0)),INDIRECT("'Word Vectors'!B350:Z350"))/(SQRT(SUMPRODUCT(INDIRECT("'Word Vectors'!B"&amp;MATCH($B$2,'Word Vectors'!A:A,0)&amp;":Z"&amp;MATCH($B$2,'Word Vectors'!A:A,0)),INDIRECT("'Word Vectors'!B"&amp;MATCH($B$2,'Word Vectors'!A:A,0)&amp;":Z"&amp;MATCH($B$2,'Word Vectors'!A:A,0))))*SQRT(SUMPRODUCT(INDIRECT("'Word Vectors'!B350:Z350"),INDIRECT("'Word Vectors'!B350:Z350")))))</f>
        <v/>
      </c>
      <c r="MO2">
        <f>IF(OR($B$2="",ISNA(MATCH($B$2,'Word Vectors'!A:A,0)),'Word Vectors'!A351=$B$2),"",SUMPRODUCT(INDIRECT("'Word Vectors'!B"&amp;MATCH($B$2,'Word Vectors'!A:A,0)&amp;":Z"&amp;MATCH($B$2,'Word Vectors'!A:A,0)),INDIRECT("'Word Vectors'!B351:Z351"))/(SQRT(SUMPRODUCT(INDIRECT("'Word Vectors'!B"&amp;MATCH($B$2,'Word Vectors'!A:A,0)&amp;":Z"&amp;MATCH($B$2,'Word Vectors'!A:A,0)),INDIRECT("'Word Vectors'!B"&amp;MATCH($B$2,'Word Vectors'!A:A,0)&amp;":Z"&amp;MATCH($B$2,'Word Vectors'!A:A,0))))*SQRT(SUMPRODUCT(INDIRECT("'Word Vectors'!B351:Z351"),INDIRECT("'Word Vectors'!B351:Z351")))))</f>
        <v/>
      </c>
      <c r="MP2">
        <f>IF(OR($B$2="",ISNA(MATCH($B$2,'Word Vectors'!A:A,0)),'Word Vectors'!A352=$B$2),"",SUMPRODUCT(INDIRECT("'Word Vectors'!B"&amp;MATCH($B$2,'Word Vectors'!A:A,0)&amp;":Z"&amp;MATCH($B$2,'Word Vectors'!A:A,0)),INDIRECT("'Word Vectors'!B352:Z352"))/(SQRT(SUMPRODUCT(INDIRECT("'Word Vectors'!B"&amp;MATCH($B$2,'Word Vectors'!A:A,0)&amp;":Z"&amp;MATCH($B$2,'Word Vectors'!A:A,0)),INDIRECT("'Word Vectors'!B"&amp;MATCH($B$2,'Word Vectors'!A:A,0)&amp;":Z"&amp;MATCH($B$2,'Word Vectors'!A:A,0))))*SQRT(SUMPRODUCT(INDIRECT("'Word Vectors'!B352:Z352"),INDIRECT("'Word Vectors'!B352:Z352")))))</f>
        <v/>
      </c>
      <c r="MQ2">
        <f>IF(OR($B$2="",ISNA(MATCH($B$2,'Word Vectors'!A:A,0)),'Word Vectors'!A353=$B$2),"",SUMPRODUCT(INDIRECT("'Word Vectors'!B"&amp;MATCH($B$2,'Word Vectors'!A:A,0)&amp;":Z"&amp;MATCH($B$2,'Word Vectors'!A:A,0)),INDIRECT("'Word Vectors'!B353:Z353"))/(SQRT(SUMPRODUCT(INDIRECT("'Word Vectors'!B"&amp;MATCH($B$2,'Word Vectors'!A:A,0)&amp;":Z"&amp;MATCH($B$2,'Word Vectors'!A:A,0)),INDIRECT("'Word Vectors'!B"&amp;MATCH($B$2,'Word Vectors'!A:A,0)&amp;":Z"&amp;MATCH($B$2,'Word Vectors'!A:A,0))))*SQRT(SUMPRODUCT(INDIRECT("'Word Vectors'!B353:Z353"),INDIRECT("'Word Vectors'!B353:Z353")))))</f>
        <v/>
      </c>
      <c r="MR2">
        <f>IF(OR($B$2="",ISNA(MATCH($B$2,'Word Vectors'!A:A,0)),'Word Vectors'!A354=$B$2),"",SUMPRODUCT(INDIRECT("'Word Vectors'!B"&amp;MATCH($B$2,'Word Vectors'!A:A,0)&amp;":Z"&amp;MATCH($B$2,'Word Vectors'!A:A,0)),INDIRECT("'Word Vectors'!B354:Z354"))/(SQRT(SUMPRODUCT(INDIRECT("'Word Vectors'!B"&amp;MATCH($B$2,'Word Vectors'!A:A,0)&amp;":Z"&amp;MATCH($B$2,'Word Vectors'!A:A,0)),INDIRECT("'Word Vectors'!B"&amp;MATCH($B$2,'Word Vectors'!A:A,0)&amp;":Z"&amp;MATCH($B$2,'Word Vectors'!A:A,0))))*SQRT(SUMPRODUCT(INDIRECT("'Word Vectors'!B354:Z354"),INDIRECT("'Word Vectors'!B354:Z354")))))</f>
        <v/>
      </c>
      <c r="MS2">
        <f>IF(OR($B$2="",ISNA(MATCH($B$2,'Word Vectors'!A:A,0)),'Word Vectors'!A355=$B$2),"",SUMPRODUCT(INDIRECT("'Word Vectors'!B"&amp;MATCH($B$2,'Word Vectors'!A:A,0)&amp;":Z"&amp;MATCH($B$2,'Word Vectors'!A:A,0)),INDIRECT("'Word Vectors'!B355:Z355"))/(SQRT(SUMPRODUCT(INDIRECT("'Word Vectors'!B"&amp;MATCH($B$2,'Word Vectors'!A:A,0)&amp;":Z"&amp;MATCH($B$2,'Word Vectors'!A:A,0)),INDIRECT("'Word Vectors'!B"&amp;MATCH($B$2,'Word Vectors'!A:A,0)&amp;":Z"&amp;MATCH($B$2,'Word Vectors'!A:A,0))))*SQRT(SUMPRODUCT(INDIRECT("'Word Vectors'!B355:Z355"),INDIRECT("'Word Vectors'!B355:Z355")))))</f>
        <v/>
      </c>
      <c r="MT2">
        <f>IF(OR($B$2="",ISNA(MATCH($B$2,'Word Vectors'!A:A,0)),'Word Vectors'!A356=$B$2),"",SUMPRODUCT(INDIRECT("'Word Vectors'!B"&amp;MATCH($B$2,'Word Vectors'!A:A,0)&amp;":Z"&amp;MATCH($B$2,'Word Vectors'!A:A,0)),INDIRECT("'Word Vectors'!B356:Z356"))/(SQRT(SUMPRODUCT(INDIRECT("'Word Vectors'!B"&amp;MATCH($B$2,'Word Vectors'!A:A,0)&amp;":Z"&amp;MATCH($B$2,'Word Vectors'!A:A,0)),INDIRECT("'Word Vectors'!B"&amp;MATCH($B$2,'Word Vectors'!A:A,0)&amp;":Z"&amp;MATCH($B$2,'Word Vectors'!A:A,0))))*SQRT(SUMPRODUCT(INDIRECT("'Word Vectors'!B356:Z356"),INDIRECT("'Word Vectors'!B356:Z356")))))</f>
        <v/>
      </c>
      <c r="MU2">
        <f>IF(OR($B$2="",ISNA(MATCH($B$2,'Word Vectors'!A:A,0)),'Word Vectors'!A357=$B$2),"",SUMPRODUCT(INDIRECT("'Word Vectors'!B"&amp;MATCH($B$2,'Word Vectors'!A:A,0)&amp;":Z"&amp;MATCH($B$2,'Word Vectors'!A:A,0)),INDIRECT("'Word Vectors'!B357:Z357"))/(SQRT(SUMPRODUCT(INDIRECT("'Word Vectors'!B"&amp;MATCH($B$2,'Word Vectors'!A:A,0)&amp;":Z"&amp;MATCH($B$2,'Word Vectors'!A:A,0)),INDIRECT("'Word Vectors'!B"&amp;MATCH($B$2,'Word Vectors'!A:A,0)&amp;":Z"&amp;MATCH($B$2,'Word Vectors'!A:A,0))))*SQRT(SUMPRODUCT(INDIRECT("'Word Vectors'!B357:Z357"),INDIRECT("'Word Vectors'!B357:Z357")))))</f>
        <v/>
      </c>
      <c r="MV2">
        <f>IF(OR($B$2="",ISNA(MATCH($B$2,'Word Vectors'!A:A,0)),'Word Vectors'!A358=$B$2),"",SUMPRODUCT(INDIRECT("'Word Vectors'!B"&amp;MATCH($B$2,'Word Vectors'!A:A,0)&amp;":Z"&amp;MATCH($B$2,'Word Vectors'!A:A,0)),INDIRECT("'Word Vectors'!B358:Z358"))/(SQRT(SUMPRODUCT(INDIRECT("'Word Vectors'!B"&amp;MATCH($B$2,'Word Vectors'!A:A,0)&amp;":Z"&amp;MATCH($B$2,'Word Vectors'!A:A,0)),INDIRECT("'Word Vectors'!B"&amp;MATCH($B$2,'Word Vectors'!A:A,0)&amp;":Z"&amp;MATCH($B$2,'Word Vectors'!A:A,0))))*SQRT(SUMPRODUCT(INDIRECT("'Word Vectors'!B358:Z358"),INDIRECT("'Word Vectors'!B358:Z358")))))</f>
        <v/>
      </c>
      <c r="MW2">
        <f>IF(OR($B$2="",ISNA(MATCH($B$2,'Word Vectors'!A:A,0)),'Word Vectors'!A359=$B$2),"",SUMPRODUCT(INDIRECT("'Word Vectors'!B"&amp;MATCH($B$2,'Word Vectors'!A:A,0)&amp;":Z"&amp;MATCH($B$2,'Word Vectors'!A:A,0)),INDIRECT("'Word Vectors'!B359:Z359"))/(SQRT(SUMPRODUCT(INDIRECT("'Word Vectors'!B"&amp;MATCH($B$2,'Word Vectors'!A:A,0)&amp;":Z"&amp;MATCH($B$2,'Word Vectors'!A:A,0)),INDIRECT("'Word Vectors'!B"&amp;MATCH($B$2,'Word Vectors'!A:A,0)&amp;":Z"&amp;MATCH($B$2,'Word Vectors'!A:A,0))))*SQRT(SUMPRODUCT(INDIRECT("'Word Vectors'!B359:Z359"),INDIRECT("'Word Vectors'!B359:Z359")))))</f>
        <v/>
      </c>
      <c r="MX2">
        <f>IF(OR($B$2="",ISNA(MATCH($B$2,'Word Vectors'!A:A,0)),'Word Vectors'!A360=$B$2),"",SUMPRODUCT(INDIRECT("'Word Vectors'!B"&amp;MATCH($B$2,'Word Vectors'!A:A,0)&amp;":Z"&amp;MATCH($B$2,'Word Vectors'!A:A,0)),INDIRECT("'Word Vectors'!B360:Z360"))/(SQRT(SUMPRODUCT(INDIRECT("'Word Vectors'!B"&amp;MATCH($B$2,'Word Vectors'!A:A,0)&amp;":Z"&amp;MATCH($B$2,'Word Vectors'!A:A,0)),INDIRECT("'Word Vectors'!B"&amp;MATCH($B$2,'Word Vectors'!A:A,0)&amp;":Z"&amp;MATCH($B$2,'Word Vectors'!A:A,0))))*SQRT(SUMPRODUCT(INDIRECT("'Word Vectors'!B360:Z360"),INDIRECT("'Word Vectors'!B360:Z360")))))</f>
        <v/>
      </c>
      <c r="MY2">
        <f>IF(OR($B$2="",ISNA(MATCH($B$2,'Word Vectors'!A:A,0)),'Word Vectors'!A361=$B$2),"",SUMPRODUCT(INDIRECT("'Word Vectors'!B"&amp;MATCH($B$2,'Word Vectors'!A:A,0)&amp;":Z"&amp;MATCH($B$2,'Word Vectors'!A:A,0)),INDIRECT("'Word Vectors'!B361:Z361"))/(SQRT(SUMPRODUCT(INDIRECT("'Word Vectors'!B"&amp;MATCH($B$2,'Word Vectors'!A:A,0)&amp;":Z"&amp;MATCH($B$2,'Word Vectors'!A:A,0)),INDIRECT("'Word Vectors'!B"&amp;MATCH($B$2,'Word Vectors'!A:A,0)&amp;":Z"&amp;MATCH($B$2,'Word Vectors'!A:A,0))))*SQRT(SUMPRODUCT(INDIRECT("'Word Vectors'!B361:Z361"),INDIRECT("'Word Vectors'!B361:Z361")))))</f>
        <v/>
      </c>
      <c r="MZ2">
        <f>IF(OR($B$2="",ISNA(MATCH($B$2,'Word Vectors'!A:A,0)),'Word Vectors'!A362=$B$2),"",SUMPRODUCT(INDIRECT("'Word Vectors'!B"&amp;MATCH($B$2,'Word Vectors'!A:A,0)&amp;":Z"&amp;MATCH($B$2,'Word Vectors'!A:A,0)),INDIRECT("'Word Vectors'!B362:Z362"))/(SQRT(SUMPRODUCT(INDIRECT("'Word Vectors'!B"&amp;MATCH($B$2,'Word Vectors'!A:A,0)&amp;":Z"&amp;MATCH($B$2,'Word Vectors'!A:A,0)),INDIRECT("'Word Vectors'!B"&amp;MATCH($B$2,'Word Vectors'!A:A,0)&amp;":Z"&amp;MATCH($B$2,'Word Vectors'!A:A,0))))*SQRT(SUMPRODUCT(INDIRECT("'Word Vectors'!B362:Z362"),INDIRECT("'Word Vectors'!B362:Z362")))))</f>
        <v/>
      </c>
      <c r="NA2">
        <f>IF(OR($B$2="",ISNA(MATCH($B$2,'Word Vectors'!A:A,0)),'Word Vectors'!A363=$B$2),"",SUMPRODUCT(INDIRECT("'Word Vectors'!B"&amp;MATCH($B$2,'Word Vectors'!A:A,0)&amp;":Z"&amp;MATCH($B$2,'Word Vectors'!A:A,0)),INDIRECT("'Word Vectors'!B363:Z363"))/(SQRT(SUMPRODUCT(INDIRECT("'Word Vectors'!B"&amp;MATCH($B$2,'Word Vectors'!A:A,0)&amp;":Z"&amp;MATCH($B$2,'Word Vectors'!A:A,0)),INDIRECT("'Word Vectors'!B"&amp;MATCH($B$2,'Word Vectors'!A:A,0)&amp;":Z"&amp;MATCH($B$2,'Word Vectors'!A:A,0))))*SQRT(SUMPRODUCT(INDIRECT("'Word Vectors'!B363:Z363"),INDIRECT("'Word Vectors'!B363:Z363")))))</f>
        <v/>
      </c>
      <c r="NB2">
        <f>IF(OR($B$2="",ISNA(MATCH($B$2,'Word Vectors'!A:A,0)),'Word Vectors'!A364=$B$2),"",SUMPRODUCT(INDIRECT("'Word Vectors'!B"&amp;MATCH($B$2,'Word Vectors'!A:A,0)&amp;":Z"&amp;MATCH($B$2,'Word Vectors'!A:A,0)),INDIRECT("'Word Vectors'!B364:Z364"))/(SQRT(SUMPRODUCT(INDIRECT("'Word Vectors'!B"&amp;MATCH($B$2,'Word Vectors'!A:A,0)&amp;":Z"&amp;MATCH($B$2,'Word Vectors'!A:A,0)),INDIRECT("'Word Vectors'!B"&amp;MATCH($B$2,'Word Vectors'!A:A,0)&amp;":Z"&amp;MATCH($B$2,'Word Vectors'!A:A,0))))*SQRT(SUMPRODUCT(INDIRECT("'Word Vectors'!B364:Z364"),INDIRECT("'Word Vectors'!B364:Z364")))))</f>
        <v/>
      </c>
      <c r="NC2">
        <f>IF(OR($B$2="",ISNA(MATCH($B$2,'Word Vectors'!A:A,0)),'Word Vectors'!A365=$B$2),"",SUMPRODUCT(INDIRECT("'Word Vectors'!B"&amp;MATCH($B$2,'Word Vectors'!A:A,0)&amp;":Z"&amp;MATCH($B$2,'Word Vectors'!A:A,0)),INDIRECT("'Word Vectors'!B365:Z365"))/(SQRT(SUMPRODUCT(INDIRECT("'Word Vectors'!B"&amp;MATCH($B$2,'Word Vectors'!A:A,0)&amp;":Z"&amp;MATCH($B$2,'Word Vectors'!A:A,0)),INDIRECT("'Word Vectors'!B"&amp;MATCH($B$2,'Word Vectors'!A:A,0)&amp;":Z"&amp;MATCH($B$2,'Word Vectors'!A:A,0))))*SQRT(SUMPRODUCT(INDIRECT("'Word Vectors'!B365:Z365"),INDIRECT("'Word Vectors'!B365:Z365")))))</f>
        <v/>
      </c>
      <c r="ND2">
        <f>IF(OR($B$2="",ISNA(MATCH($B$2,'Word Vectors'!A:A,0)),'Word Vectors'!A366=$B$2),"",SUMPRODUCT(INDIRECT("'Word Vectors'!B"&amp;MATCH($B$2,'Word Vectors'!A:A,0)&amp;":Z"&amp;MATCH($B$2,'Word Vectors'!A:A,0)),INDIRECT("'Word Vectors'!B366:Z366"))/(SQRT(SUMPRODUCT(INDIRECT("'Word Vectors'!B"&amp;MATCH($B$2,'Word Vectors'!A:A,0)&amp;":Z"&amp;MATCH($B$2,'Word Vectors'!A:A,0)),INDIRECT("'Word Vectors'!B"&amp;MATCH($B$2,'Word Vectors'!A:A,0)&amp;":Z"&amp;MATCH($B$2,'Word Vectors'!A:A,0))))*SQRT(SUMPRODUCT(INDIRECT("'Word Vectors'!B366:Z366"),INDIRECT("'Word Vectors'!B366:Z366")))))</f>
        <v/>
      </c>
      <c r="NE2">
        <f>IF(OR($B$2="",ISNA(MATCH($B$2,'Word Vectors'!A:A,0)),'Word Vectors'!A367=$B$2),"",SUMPRODUCT(INDIRECT("'Word Vectors'!B"&amp;MATCH($B$2,'Word Vectors'!A:A,0)&amp;":Z"&amp;MATCH($B$2,'Word Vectors'!A:A,0)),INDIRECT("'Word Vectors'!B367:Z367"))/(SQRT(SUMPRODUCT(INDIRECT("'Word Vectors'!B"&amp;MATCH($B$2,'Word Vectors'!A:A,0)&amp;":Z"&amp;MATCH($B$2,'Word Vectors'!A:A,0)),INDIRECT("'Word Vectors'!B"&amp;MATCH($B$2,'Word Vectors'!A:A,0)&amp;":Z"&amp;MATCH($B$2,'Word Vectors'!A:A,0))))*SQRT(SUMPRODUCT(INDIRECT("'Word Vectors'!B367:Z367"),INDIRECT("'Word Vectors'!B367:Z367")))))</f>
        <v/>
      </c>
      <c r="NF2">
        <f>IF(OR($B$2="",ISNA(MATCH($B$2,'Word Vectors'!A:A,0)),'Word Vectors'!A368=$B$2),"",SUMPRODUCT(INDIRECT("'Word Vectors'!B"&amp;MATCH($B$2,'Word Vectors'!A:A,0)&amp;":Z"&amp;MATCH($B$2,'Word Vectors'!A:A,0)),INDIRECT("'Word Vectors'!B368:Z368"))/(SQRT(SUMPRODUCT(INDIRECT("'Word Vectors'!B"&amp;MATCH($B$2,'Word Vectors'!A:A,0)&amp;":Z"&amp;MATCH($B$2,'Word Vectors'!A:A,0)),INDIRECT("'Word Vectors'!B"&amp;MATCH($B$2,'Word Vectors'!A:A,0)&amp;":Z"&amp;MATCH($B$2,'Word Vectors'!A:A,0))))*SQRT(SUMPRODUCT(INDIRECT("'Word Vectors'!B368:Z368"),INDIRECT("'Word Vectors'!B368:Z368")))))</f>
        <v/>
      </c>
      <c r="NG2">
        <f>IF(OR($B$2="",ISNA(MATCH($B$2,'Word Vectors'!A:A,0)),'Word Vectors'!A369=$B$2),"",SUMPRODUCT(INDIRECT("'Word Vectors'!B"&amp;MATCH($B$2,'Word Vectors'!A:A,0)&amp;":Z"&amp;MATCH($B$2,'Word Vectors'!A:A,0)),INDIRECT("'Word Vectors'!B369:Z369"))/(SQRT(SUMPRODUCT(INDIRECT("'Word Vectors'!B"&amp;MATCH($B$2,'Word Vectors'!A:A,0)&amp;":Z"&amp;MATCH($B$2,'Word Vectors'!A:A,0)),INDIRECT("'Word Vectors'!B"&amp;MATCH($B$2,'Word Vectors'!A:A,0)&amp;":Z"&amp;MATCH($B$2,'Word Vectors'!A:A,0))))*SQRT(SUMPRODUCT(INDIRECT("'Word Vectors'!B369:Z369"),INDIRECT("'Word Vectors'!B369:Z369")))))</f>
        <v/>
      </c>
      <c r="NH2">
        <f>IF(OR($B$2="",ISNA(MATCH($B$2,'Word Vectors'!A:A,0)),'Word Vectors'!A370=$B$2),"",SUMPRODUCT(INDIRECT("'Word Vectors'!B"&amp;MATCH($B$2,'Word Vectors'!A:A,0)&amp;":Z"&amp;MATCH($B$2,'Word Vectors'!A:A,0)),INDIRECT("'Word Vectors'!B370:Z370"))/(SQRT(SUMPRODUCT(INDIRECT("'Word Vectors'!B"&amp;MATCH($B$2,'Word Vectors'!A:A,0)&amp;":Z"&amp;MATCH($B$2,'Word Vectors'!A:A,0)),INDIRECT("'Word Vectors'!B"&amp;MATCH($B$2,'Word Vectors'!A:A,0)&amp;":Z"&amp;MATCH($B$2,'Word Vectors'!A:A,0))))*SQRT(SUMPRODUCT(INDIRECT("'Word Vectors'!B370:Z370"),INDIRECT("'Word Vectors'!B370:Z370")))))</f>
        <v/>
      </c>
      <c r="NI2">
        <f>IF(OR($B$2="",ISNA(MATCH($B$2,'Word Vectors'!A:A,0)),'Word Vectors'!A371=$B$2),"",SUMPRODUCT(INDIRECT("'Word Vectors'!B"&amp;MATCH($B$2,'Word Vectors'!A:A,0)&amp;":Z"&amp;MATCH($B$2,'Word Vectors'!A:A,0)),INDIRECT("'Word Vectors'!B371:Z371"))/(SQRT(SUMPRODUCT(INDIRECT("'Word Vectors'!B"&amp;MATCH($B$2,'Word Vectors'!A:A,0)&amp;":Z"&amp;MATCH($B$2,'Word Vectors'!A:A,0)),INDIRECT("'Word Vectors'!B"&amp;MATCH($B$2,'Word Vectors'!A:A,0)&amp;":Z"&amp;MATCH($B$2,'Word Vectors'!A:A,0))))*SQRT(SUMPRODUCT(INDIRECT("'Word Vectors'!B371:Z371"),INDIRECT("'Word Vectors'!B371:Z371")))))</f>
        <v/>
      </c>
      <c r="NJ2">
        <f>IF(OR($B$2="",ISNA(MATCH($B$2,'Word Vectors'!A:A,0)),'Word Vectors'!A372=$B$2),"",SUMPRODUCT(INDIRECT("'Word Vectors'!B"&amp;MATCH($B$2,'Word Vectors'!A:A,0)&amp;":Z"&amp;MATCH($B$2,'Word Vectors'!A:A,0)),INDIRECT("'Word Vectors'!B372:Z372"))/(SQRT(SUMPRODUCT(INDIRECT("'Word Vectors'!B"&amp;MATCH($B$2,'Word Vectors'!A:A,0)&amp;":Z"&amp;MATCH($B$2,'Word Vectors'!A:A,0)),INDIRECT("'Word Vectors'!B"&amp;MATCH($B$2,'Word Vectors'!A:A,0)&amp;":Z"&amp;MATCH($B$2,'Word Vectors'!A:A,0))))*SQRT(SUMPRODUCT(INDIRECT("'Word Vectors'!B372:Z372"),INDIRECT("'Word Vectors'!B372:Z372")))))</f>
        <v/>
      </c>
      <c r="NK2">
        <f>IF(OR($B$2="",ISNA(MATCH($B$2,'Word Vectors'!A:A,0)),'Word Vectors'!A373=$B$2),"",SUMPRODUCT(INDIRECT("'Word Vectors'!B"&amp;MATCH($B$2,'Word Vectors'!A:A,0)&amp;":Z"&amp;MATCH($B$2,'Word Vectors'!A:A,0)),INDIRECT("'Word Vectors'!B373:Z373"))/(SQRT(SUMPRODUCT(INDIRECT("'Word Vectors'!B"&amp;MATCH($B$2,'Word Vectors'!A:A,0)&amp;":Z"&amp;MATCH($B$2,'Word Vectors'!A:A,0)),INDIRECT("'Word Vectors'!B"&amp;MATCH($B$2,'Word Vectors'!A:A,0)&amp;":Z"&amp;MATCH($B$2,'Word Vectors'!A:A,0))))*SQRT(SUMPRODUCT(INDIRECT("'Word Vectors'!B373:Z373"),INDIRECT("'Word Vectors'!B373:Z373")))))</f>
        <v/>
      </c>
      <c r="NL2">
        <f>IF(OR($B$2="",ISNA(MATCH($B$2,'Word Vectors'!A:A,0)),'Word Vectors'!A374=$B$2),"",SUMPRODUCT(INDIRECT("'Word Vectors'!B"&amp;MATCH($B$2,'Word Vectors'!A:A,0)&amp;":Z"&amp;MATCH($B$2,'Word Vectors'!A:A,0)),INDIRECT("'Word Vectors'!B374:Z374"))/(SQRT(SUMPRODUCT(INDIRECT("'Word Vectors'!B"&amp;MATCH($B$2,'Word Vectors'!A:A,0)&amp;":Z"&amp;MATCH($B$2,'Word Vectors'!A:A,0)),INDIRECT("'Word Vectors'!B"&amp;MATCH($B$2,'Word Vectors'!A:A,0)&amp;":Z"&amp;MATCH($B$2,'Word Vectors'!A:A,0))))*SQRT(SUMPRODUCT(INDIRECT("'Word Vectors'!B374:Z374"),INDIRECT("'Word Vectors'!B374:Z374")))))</f>
        <v/>
      </c>
      <c r="NM2">
        <f>IF(OR($B$2="",ISNA(MATCH($B$2,'Word Vectors'!A:A,0)),'Word Vectors'!A375=$B$2),"",SUMPRODUCT(INDIRECT("'Word Vectors'!B"&amp;MATCH($B$2,'Word Vectors'!A:A,0)&amp;":Z"&amp;MATCH($B$2,'Word Vectors'!A:A,0)),INDIRECT("'Word Vectors'!B375:Z375"))/(SQRT(SUMPRODUCT(INDIRECT("'Word Vectors'!B"&amp;MATCH($B$2,'Word Vectors'!A:A,0)&amp;":Z"&amp;MATCH($B$2,'Word Vectors'!A:A,0)),INDIRECT("'Word Vectors'!B"&amp;MATCH($B$2,'Word Vectors'!A:A,0)&amp;":Z"&amp;MATCH($B$2,'Word Vectors'!A:A,0))))*SQRT(SUMPRODUCT(INDIRECT("'Word Vectors'!B375:Z375"),INDIRECT("'Word Vectors'!B375:Z375")))))</f>
        <v/>
      </c>
      <c r="NN2">
        <f>IF(OR($B$2="",ISNA(MATCH($B$2,'Word Vectors'!A:A,0)),'Word Vectors'!A376=$B$2),"",SUMPRODUCT(INDIRECT("'Word Vectors'!B"&amp;MATCH($B$2,'Word Vectors'!A:A,0)&amp;":Z"&amp;MATCH($B$2,'Word Vectors'!A:A,0)),INDIRECT("'Word Vectors'!B376:Z376"))/(SQRT(SUMPRODUCT(INDIRECT("'Word Vectors'!B"&amp;MATCH($B$2,'Word Vectors'!A:A,0)&amp;":Z"&amp;MATCH($B$2,'Word Vectors'!A:A,0)),INDIRECT("'Word Vectors'!B"&amp;MATCH($B$2,'Word Vectors'!A:A,0)&amp;":Z"&amp;MATCH($B$2,'Word Vectors'!A:A,0))))*SQRT(SUMPRODUCT(INDIRECT("'Word Vectors'!B376:Z376"),INDIRECT("'Word Vectors'!B376:Z376")))))</f>
        <v/>
      </c>
      <c r="NO2">
        <f>IF(OR($B$2="",ISNA(MATCH($B$2,'Word Vectors'!A:A,0)),'Word Vectors'!A377=$B$2),"",SUMPRODUCT(INDIRECT("'Word Vectors'!B"&amp;MATCH($B$2,'Word Vectors'!A:A,0)&amp;":Z"&amp;MATCH($B$2,'Word Vectors'!A:A,0)),INDIRECT("'Word Vectors'!B377:Z377"))/(SQRT(SUMPRODUCT(INDIRECT("'Word Vectors'!B"&amp;MATCH($B$2,'Word Vectors'!A:A,0)&amp;":Z"&amp;MATCH($B$2,'Word Vectors'!A:A,0)),INDIRECT("'Word Vectors'!B"&amp;MATCH($B$2,'Word Vectors'!A:A,0)&amp;":Z"&amp;MATCH($B$2,'Word Vectors'!A:A,0))))*SQRT(SUMPRODUCT(INDIRECT("'Word Vectors'!B377:Z377"),INDIRECT("'Word Vectors'!B377:Z377")))))</f>
        <v/>
      </c>
      <c r="NP2">
        <f>IF(OR($B$2="",ISNA(MATCH($B$2,'Word Vectors'!A:A,0)),'Word Vectors'!A378=$B$2),"",SUMPRODUCT(INDIRECT("'Word Vectors'!B"&amp;MATCH($B$2,'Word Vectors'!A:A,0)&amp;":Z"&amp;MATCH($B$2,'Word Vectors'!A:A,0)),INDIRECT("'Word Vectors'!B378:Z378"))/(SQRT(SUMPRODUCT(INDIRECT("'Word Vectors'!B"&amp;MATCH($B$2,'Word Vectors'!A:A,0)&amp;":Z"&amp;MATCH($B$2,'Word Vectors'!A:A,0)),INDIRECT("'Word Vectors'!B"&amp;MATCH($B$2,'Word Vectors'!A:A,0)&amp;":Z"&amp;MATCH($B$2,'Word Vectors'!A:A,0))))*SQRT(SUMPRODUCT(INDIRECT("'Word Vectors'!B378:Z378"),INDIRECT("'Word Vectors'!B378:Z378")))))</f>
        <v/>
      </c>
      <c r="NQ2">
        <f>IF(OR($B$2="",ISNA(MATCH($B$2,'Word Vectors'!A:A,0)),'Word Vectors'!A379=$B$2),"",SUMPRODUCT(INDIRECT("'Word Vectors'!B"&amp;MATCH($B$2,'Word Vectors'!A:A,0)&amp;":Z"&amp;MATCH($B$2,'Word Vectors'!A:A,0)),INDIRECT("'Word Vectors'!B379:Z379"))/(SQRT(SUMPRODUCT(INDIRECT("'Word Vectors'!B"&amp;MATCH($B$2,'Word Vectors'!A:A,0)&amp;":Z"&amp;MATCH($B$2,'Word Vectors'!A:A,0)),INDIRECT("'Word Vectors'!B"&amp;MATCH($B$2,'Word Vectors'!A:A,0)&amp;":Z"&amp;MATCH($B$2,'Word Vectors'!A:A,0))))*SQRT(SUMPRODUCT(INDIRECT("'Word Vectors'!B379:Z379"),INDIRECT("'Word Vectors'!B379:Z379")))))</f>
        <v/>
      </c>
      <c r="NR2">
        <f>IF(OR($B$2="",ISNA(MATCH($B$2,'Word Vectors'!A:A,0)),'Word Vectors'!A380=$B$2),"",SUMPRODUCT(INDIRECT("'Word Vectors'!B"&amp;MATCH($B$2,'Word Vectors'!A:A,0)&amp;":Z"&amp;MATCH($B$2,'Word Vectors'!A:A,0)),INDIRECT("'Word Vectors'!B380:Z380"))/(SQRT(SUMPRODUCT(INDIRECT("'Word Vectors'!B"&amp;MATCH($B$2,'Word Vectors'!A:A,0)&amp;":Z"&amp;MATCH($B$2,'Word Vectors'!A:A,0)),INDIRECT("'Word Vectors'!B"&amp;MATCH($B$2,'Word Vectors'!A:A,0)&amp;":Z"&amp;MATCH($B$2,'Word Vectors'!A:A,0))))*SQRT(SUMPRODUCT(INDIRECT("'Word Vectors'!B380:Z380"),INDIRECT("'Word Vectors'!B380:Z380")))))</f>
        <v/>
      </c>
      <c r="NS2">
        <f>IF(OR($B$2="",ISNA(MATCH($B$2,'Word Vectors'!A:A,0)),'Word Vectors'!A381=$B$2),"",SUMPRODUCT(INDIRECT("'Word Vectors'!B"&amp;MATCH($B$2,'Word Vectors'!A:A,0)&amp;":Z"&amp;MATCH($B$2,'Word Vectors'!A:A,0)),INDIRECT("'Word Vectors'!B381:Z381"))/(SQRT(SUMPRODUCT(INDIRECT("'Word Vectors'!B"&amp;MATCH($B$2,'Word Vectors'!A:A,0)&amp;":Z"&amp;MATCH($B$2,'Word Vectors'!A:A,0)),INDIRECT("'Word Vectors'!B"&amp;MATCH($B$2,'Word Vectors'!A:A,0)&amp;":Z"&amp;MATCH($B$2,'Word Vectors'!A:A,0))))*SQRT(SUMPRODUCT(INDIRECT("'Word Vectors'!B381:Z381"),INDIRECT("'Word Vectors'!B381:Z381")))))</f>
        <v/>
      </c>
      <c r="NT2">
        <f>IF(OR($B$2="",ISNA(MATCH($B$2,'Word Vectors'!A:A,0)),'Word Vectors'!A382=$B$2),"",SUMPRODUCT(INDIRECT("'Word Vectors'!B"&amp;MATCH($B$2,'Word Vectors'!A:A,0)&amp;":Z"&amp;MATCH($B$2,'Word Vectors'!A:A,0)),INDIRECT("'Word Vectors'!B382:Z382"))/(SQRT(SUMPRODUCT(INDIRECT("'Word Vectors'!B"&amp;MATCH($B$2,'Word Vectors'!A:A,0)&amp;":Z"&amp;MATCH($B$2,'Word Vectors'!A:A,0)),INDIRECT("'Word Vectors'!B"&amp;MATCH($B$2,'Word Vectors'!A:A,0)&amp;":Z"&amp;MATCH($B$2,'Word Vectors'!A:A,0))))*SQRT(SUMPRODUCT(INDIRECT("'Word Vectors'!B382:Z382"),INDIRECT("'Word Vectors'!B382:Z382")))))</f>
        <v/>
      </c>
      <c r="NU2">
        <f>IF(OR($B$2="",ISNA(MATCH($B$2,'Word Vectors'!A:A,0)),'Word Vectors'!A383=$B$2),"",SUMPRODUCT(INDIRECT("'Word Vectors'!B"&amp;MATCH($B$2,'Word Vectors'!A:A,0)&amp;":Z"&amp;MATCH($B$2,'Word Vectors'!A:A,0)),INDIRECT("'Word Vectors'!B383:Z383"))/(SQRT(SUMPRODUCT(INDIRECT("'Word Vectors'!B"&amp;MATCH($B$2,'Word Vectors'!A:A,0)&amp;":Z"&amp;MATCH($B$2,'Word Vectors'!A:A,0)),INDIRECT("'Word Vectors'!B"&amp;MATCH($B$2,'Word Vectors'!A:A,0)&amp;":Z"&amp;MATCH($B$2,'Word Vectors'!A:A,0))))*SQRT(SUMPRODUCT(INDIRECT("'Word Vectors'!B383:Z383"),INDIRECT("'Word Vectors'!B383:Z383")))))</f>
        <v/>
      </c>
      <c r="NV2">
        <f>IF(OR($B$2="",ISNA(MATCH($B$2,'Word Vectors'!A:A,0)),'Word Vectors'!A384=$B$2),"",SUMPRODUCT(INDIRECT("'Word Vectors'!B"&amp;MATCH($B$2,'Word Vectors'!A:A,0)&amp;":Z"&amp;MATCH($B$2,'Word Vectors'!A:A,0)),INDIRECT("'Word Vectors'!B384:Z384"))/(SQRT(SUMPRODUCT(INDIRECT("'Word Vectors'!B"&amp;MATCH($B$2,'Word Vectors'!A:A,0)&amp;":Z"&amp;MATCH($B$2,'Word Vectors'!A:A,0)),INDIRECT("'Word Vectors'!B"&amp;MATCH($B$2,'Word Vectors'!A:A,0)&amp;":Z"&amp;MATCH($B$2,'Word Vectors'!A:A,0))))*SQRT(SUMPRODUCT(INDIRECT("'Word Vectors'!B384:Z384"),INDIRECT("'Word Vectors'!B384:Z384")))))</f>
        <v/>
      </c>
      <c r="NW2">
        <f>IF(OR($B$2="",ISNA(MATCH($B$2,'Word Vectors'!A:A,0)),'Word Vectors'!A385=$B$2),"",SUMPRODUCT(INDIRECT("'Word Vectors'!B"&amp;MATCH($B$2,'Word Vectors'!A:A,0)&amp;":Z"&amp;MATCH($B$2,'Word Vectors'!A:A,0)),INDIRECT("'Word Vectors'!B385:Z385"))/(SQRT(SUMPRODUCT(INDIRECT("'Word Vectors'!B"&amp;MATCH($B$2,'Word Vectors'!A:A,0)&amp;":Z"&amp;MATCH($B$2,'Word Vectors'!A:A,0)),INDIRECT("'Word Vectors'!B"&amp;MATCH($B$2,'Word Vectors'!A:A,0)&amp;":Z"&amp;MATCH($B$2,'Word Vectors'!A:A,0))))*SQRT(SUMPRODUCT(INDIRECT("'Word Vectors'!B385:Z385"),INDIRECT("'Word Vectors'!B385:Z385")))))</f>
        <v/>
      </c>
      <c r="NX2">
        <f>IF(OR($B$2="",ISNA(MATCH($B$2,'Word Vectors'!A:A,0)),'Word Vectors'!A386=$B$2),"",SUMPRODUCT(INDIRECT("'Word Vectors'!B"&amp;MATCH($B$2,'Word Vectors'!A:A,0)&amp;":Z"&amp;MATCH($B$2,'Word Vectors'!A:A,0)),INDIRECT("'Word Vectors'!B386:Z386"))/(SQRT(SUMPRODUCT(INDIRECT("'Word Vectors'!B"&amp;MATCH($B$2,'Word Vectors'!A:A,0)&amp;":Z"&amp;MATCH($B$2,'Word Vectors'!A:A,0)),INDIRECT("'Word Vectors'!B"&amp;MATCH($B$2,'Word Vectors'!A:A,0)&amp;":Z"&amp;MATCH($B$2,'Word Vectors'!A:A,0))))*SQRT(SUMPRODUCT(INDIRECT("'Word Vectors'!B386:Z386"),INDIRECT("'Word Vectors'!B386:Z386")))))</f>
        <v/>
      </c>
      <c r="NY2">
        <f>IF(OR($B$2="",ISNA(MATCH($B$2,'Word Vectors'!A:A,0)),'Word Vectors'!A387=$B$2),"",SUMPRODUCT(INDIRECT("'Word Vectors'!B"&amp;MATCH($B$2,'Word Vectors'!A:A,0)&amp;":Z"&amp;MATCH($B$2,'Word Vectors'!A:A,0)),INDIRECT("'Word Vectors'!B387:Z387"))/(SQRT(SUMPRODUCT(INDIRECT("'Word Vectors'!B"&amp;MATCH($B$2,'Word Vectors'!A:A,0)&amp;":Z"&amp;MATCH($B$2,'Word Vectors'!A:A,0)),INDIRECT("'Word Vectors'!B"&amp;MATCH($B$2,'Word Vectors'!A:A,0)&amp;":Z"&amp;MATCH($B$2,'Word Vectors'!A:A,0))))*SQRT(SUMPRODUCT(INDIRECT("'Word Vectors'!B387:Z387"),INDIRECT("'Word Vectors'!B387:Z387")))))</f>
        <v/>
      </c>
      <c r="NZ2">
        <f>IF(OR($B$2="",ISNA(MATCH($B$2,'Word Vectors'!A:A,0)),'Word Vectors'!A388=$B$2),"",SUMPRODUCT(INDIRECT("'Word Vectors'!B"&amp;MATCH($B$2,'Word Vectors'!A:A,0)&amp;":Z"&amp;MATCH($B$2,'Word Vectors'!A:A,0)),INDIRECT("'Word Vectors'!B388:Z388"))/(SQRT(SUMPRODUCT(INDIRECT("'Word Vectors'!B"&amp;MATCH($B$2,'Word Vectors'!A:A,0)&amp;":Z"&amp;MATCH($B$2,'Word Vectors'!A:A,0)),INDIRECT("'Word Vectors'!B"&amp;MATCH($B$2,'Word Vectors'!A:A,0)&amp;":Z"&amp;MATCH($B$2,'Word Vectors'!A:A,0))))*SQRT(SUMPRODUCT(INDIRECT("'Word Vectors'!B388:Z388"),INDIRECT("'Word Vectors'!B388:Z388")))))</f>
        <v/>
      </c>
      <c r="OA2">
        <f>IF(OR($B$2="",ISNA(MATCH($B$2,'Word Vectors'!A:A,0)),'Word Vectors'!A389=$B$2),"",SUMPRODUCT(INDIRECT("'Word Vectors'!B"&amp;MATCH($B$2,'Word Vectors'!A:A,0)&amp;":Z"&amp;MATCH($B$2,'Word Vectors'!A:A,0)),INDIRECT("'Word Vectors'!B389:Z389"))/(SQRT(SUMPRODUCT(INDIRECT("'Word Vectors'!B"&amp;MATCH($B$2,'Word Vectors'!A:A,0)&amp;":Z"&amp;MATCH($B$2,'Word Vectors'!A:A,0)),INDIRECT("'Word Vectors'!B"&amp;MATCH($B$2,'Word Vectors'!A:A,0)&amp;":Z"&amp;MATCH($B$2,'Word Vectors'!A:A,0))))*SQRT(SUMPRODUCT(INDIRECT("'Word Vectors'!B389:Z389"),INDIRECT("'Word Vectors'!B389:Z389")))))</f>
        <v/>
      </c>
      <c r="OB2">
        <f>IF(OR($B$2="",ISNA(MATCH($B$2,'Word Vectors'!A:A,0)),'Word Vectors'!A390=$B$2),"",SUMPRODUCT(INDIRECT("'Word Vectors'!B"&amp;MATCH($B$2,'Word Vectors'!A:A,0)&amp;":Z"&amp;MATCH($B$2,'Word Vectors'!A:A,0)),INDIRECT("'Word Vectors'!B390:Z390"))/(SQRT(SUMPRODUCT(INDIRECT("'Word Vectors'!B"&amp;MATCH($B$2,'Word Vectors'!A:A,0)&amp;":Z"&amp;MATCH($B$2,'Word Vectors'!A:A,0)),INDIRECT("'Word Vectors'!B"&amp;MATCH($B$2,'Word Vectors'!A:A,0)&amp;":Z"&amp;MATCH($B$2,'Word Vectors'!A:A,0))))*SQRT(SUMPRODUCT(INDIRECT("'Word Vectors'!B390:Z390"),INDIRECT("'Word Vectors'!B390:Z390")))))</f>
        <v/>
      </c>
      <c r="OC2">
        <f>IF(OR($B$2="",ISNA(MATCH($B$2,'Word Vectors'!A:A,0)),'Word Vectors'!A391=$B$2),"",SUMPRODUCT(INDIRECT("'Word Vectors'!B"&amp;MATCH($B$2,'Word Vectors'!A:A,0)&amp;":Z"&amp;MATCH($B$2,'Word Vectors'!A:A,0)),INDIRECT("'Word Vectors'!B391:Z391"))/(SQRT(SUMPRODUCT(INDIRECT("'Word Vectors'!B"&amp;MATCH($B$2,'Word Vectors'!A:A,0)&amp;":Z"&amp;MATCH($B$2,'Word Vectors'!A:A,0)),INDIRECT("'Word Vectors'!B"&amp;MATCH($B$2,'Word Vectors'!A:A,0)&amp;":Z"&amp;MATCH($B$2,'Word Vectors'!A:A,0))))*SQRT(SUMPRODUCT(INDIRECT("'Word Vectors'!B391:Z391"),INDIRECT("'Word Vectors'!B391:Z391")))))</f>
        <v/>
      </c>
      <c r="OD2">
        <f>IF(OR($B$2="",ISNA(MATCH($B$2,'Word Vectors'!A:A,0)),'Word Vectors'!A392=$B$2),"",SUMPRODUCT(INDIRECT("'Word Vectors'!B"&amp;MATCH($B$2,'Word Vectors'!A:A,0)&amp;":Z"&amp;MATCH($B$2,'Word Vectors'!A:A,0)),INDIRECT("'Word Vectors'!B392:Z392"))/(SQRT(SUMPRODUCT(INDIRECT("'Word Vectors'!B"&amp;MATCH($B$2,'Word Vectors'!A:A,0)&amp;":Z"&amp;MATCH($B$2,'Word Vectors'!A:A,0)),INDIRECT("'Word Vectors'!B"&amp;MATCH($B$2,'Word Vectors'!A:A,0)&amp;":Z"&amp;MATCH($B$2,'Word Vectors'!A:A,0))))*SQRT(SUMPRODUCT(INDIRECT("'Word Vectors'!B392:Z392"),INDIRECT("'Word Vectors'!B392:Z392")))))</f>
        <v/>
      </c>
      <c r="OE2">
        <f>IF(OR($B$2="",ISNA(MATCH($B$2,'Word Vectors'!A:A,0)),'Word Vectors'!A393=$B$2),"",SUMPRODUCT(INDIRECT("'Word Vectors'!B"&amp;MATCH($B$2,'Word Vectors'!A:A,0)&amp;":Z"&amp;MATCH($B$2,'Word Vectors'!A:A,0)),INDIRECT("'Word Vectors'!B393:Z393"))/(SQRT(SUMPRODUCT(INDIRECT("'Word Vectors'!B"&amp;MATCH($B$2,'Word Vectors'!A:A,0)&amp;":Z"&amp;MATCH($B$2,'Word Vectors'!A:A,0)),INDIRECT("'Word Vectors'!B"&amp;MATCH($B$2,'Word Vectors'!A:A,0)&amp;":Z"&amp;MATCH($B$2,'Word Vectors'!A:A,0))))*SQRT(SUMPRODUCT(INDIRECT("'Word Vectors'!B393:Z393"),INDIRECT("'Word Vectors'!B393:Z393")))))</f>
        <v/>
      </c>
      <c r="OF2">
        <f>IF(OR($B$2="",ISNA(MATCH($B$2,'Word Vectors'!A:A,0)),'Word Vectors'!A394=$B$2),"",SUMPRODUCT(INDIRECT("'Word Vectors'!B"&amp;MATCH($B$2,'Word Vectors'!A:A,0)&amp;":Z"&amp;MATCH($B$2,'Word Vectors'!A:A,0)),INDIRECT("'Word Vectors'!B394:Z394"))/(SQRT(SUMPRODUCT(INDIRECT("'Word Vectors'!B"&amp;MATCH($B$2,'Word Vectors'!A:A,0)&amp;":Z"&amp;MATCH($B$2,'Word Vectors'!A:A,0)),INDIRECT("'Word Vectors'!B"&amp;MATCH($B$2,'Word Vectors'!A:A,0)&amp;":Z"&amp;MATCH($B$2,'Word Vectors'!A:A,0))))*SQRT(SUMPRODUCT(INDIRECT("'Word Vectors'!B394:Z394"),INDIRECT("'Word Vectors'!B394:Z394")))))</f>
        <v/>
      </c>
      <c r="OG2">
        <f>IF(OR($B$2="",ISNA(MATCH($B$2,'Word Vectors'!A:A,0)),'Word Vectors'!A395=$B$2),"",SUMPRODUCT(INDIRECT("'Word Vectors'!B"&amp;MATCH($B$2,'Word Vectors'!A:A,0)&amp;":Z"&amp;MATCH($B$2,'Word Vectors'!A:A,0)),INDIRECT("'Word Vectors'!B395:Z395"))/(SQRT(SUMPRODUCT(INDIRECT("'Word Vectors'!B"&amp;MATCH($B$2,'Word Vectors'!A:A,0)&amp;":Z"&amp;MATCH($B$2,'Word Vectors'!A:A,0)),INDIRECT("'Word Vectors'!B"&amp;MATCH($B$2,'Word Vectors'!A:A,0)&amp;":Z"&amp;MATCH($B$2,'Word Vectors'!A:A,0))))*SQRT(SUMPRODUCT(INDIRECT("'Word Vectors'!B395:Z395"),INDIRECT("'Word Vectors'!B395:Z395")))))</f>
        <v/>
      </c>
      <c r="OH2">
        <f>IF(OR($B$2="",ISNA(MATCH($B$2,'Word Vectors'!A:A,0)),'Word Vectors'!A396=$B$2),"",SUMPRODUCT(INDIRECT("'Word Vectors'!B"&amp;MATCH($B$2,'Word Vectors'!A:A,0)&amp;":Z"&amp;MATCH($B$2,'Word Vectors'!A:A,0)),INDIRECT("'Word Vectors'!B396:Z396"))/(SQRT(SUMPRODUCT(INDIRECT("'Word Vectors'!B"&amp;MATCH($B$2,'Word Vectors'!A:A,0)&amp;":Z"&amp;MATCH($B$2,'Word Vectors'!A:A,0)),INDIRECT("'Word Vectors'!B"&amp;MATCH($B$2,'Word Vectors'!A:A,0)&amp;":Z"&amp;MATCH($B$2,'Word Vectors'!A:A,0))))*SQRT(SUMPRODUCT(INDIRECT("'Word Vectors'!B396:Z396"),INDIRECT("'Word Vectors'!B396:Z396")))))</f>
        <v/>
      </c>
      <c r="OI2">
        <f>IF(OR($B$2="",ISNA(MATCH($B$2,'Word Vectors'!A:A,0)),'Word Vectors'!A397=$B$2),"",SUMPRODUCT(INDIRECT("'Word Vectors'!B"&amp;MATCH($B$2,'Word Vectors'!A:A,0)&amp;":Z"&amp;MATCH($B$2,'Word Vectors'!A:A,0)),INDIRECT("'Word Vectors'!B397:Z397"))/(SQRT(SUMPRODUCT(INDIRECT("'Word Vectors'!B"&amp;MATCH($B$2,'Word Vectors'!A:A,0)&amp;":Z"&amp;MATCH($B$2,'Word Vectors'!A:A,0)),INDIRECT("'Word Vectors'!B"&amp;MATCH($B$2,'Word Vectors'!A:A,0)&amp;":Z"&amp;MATCH($B$2,'Word Vectors'!A:A,0))))*SQRT(SUMPRODUCT(INDIRECT("'Word Vectors'!B397:Z397"),INDIRECT("'Word Vectors'!B397:Z397")))))</f>
        <v/>
      </c>
      <c r="OJ2">
        <f>IF(OR($B$2="",ISNA(MATCH($B$2,'Word Vectors'!A:A,0)),'Word Vectors'!A398=$B$2),"",SUMPRODUCT(INDIRECT("'Word Vectors'!B"&amp;MATCH($B$2,'Word Vectors'!A:A,0)&amp;":Z"&amp;MATCH($B$2,'Word Vectors'!A:A,0)),INDIRECT("'Word Vectors'!B398:Z398"))/(SQRT(SUMPRODUCT(INDIRECT("'Word Vectors'!B"&amp;MATCH($B$2,'Word Vectors'!A:A,0)&amp;":Z"&amp;MATCH($B$2,'Word Vectors'!A:A,0)),INDIRECT("'Word Vectors'!B"&amp;MATCH($B$2,'Word Vectors'!A:A,0)&amp;":Z"&amp;MATCH($B$2,'Word Vectors'!A:A,0))))*SQRT(SUMPRODUCT(INDIRECT("'Word Vectors'!B398:Z398"),INDIRECT("'Word Vectors'!B398:Z398")))))</f>
        <v/>
      </c>
      <c r="OK2">
        <f>IF(OR($B$2="",ISNA(MATCH($B$2,'Word Vectors'!A:A,0)),'Word Vectors'!A399=$B$2),"",SUMPRODUCT(INDIRECT("'Word Vectors'!B"&amp;MATCH($B$2,'Word Vectors'!A:A,0)&amp;":Z"&amp;MATCH($B$2,'Word Vectors'!A:A,0)),INDIRECT("'Word Vectors'!B399:Z399"))/(SQRT(SUMPRODUCT(INDIRECT("'Word Vectors'!B"&amp;MATCH($B$2,'Word Vectors'!A:A,0)&amp;":Z"&amp;MATCH($B$2,'Word Vectors'!A:A,0)),INDIRECT("'Word Vectors'!B"&amp;MATCH($B$2,'Word Vectors'!A:A,0)&amp;":Z"&amp;MATCH($B$2,'Word Vectors'!A:A,0))))*SQRT(SUMPRODUCT(INDIRECT("'Word Vectors'!B399:Z399"),INDIRECT("'Word Vectors'!B399:Z399")))))</f>
        <v/>
      </c>
      <c r="OL2">
        <f>IF(OR($B$2="",ISNA(MATCH($B$2,'Word Vectors'!A:A,0)),'Word Vectors'!A400=$B$2),"",SUMPRODUCT(INDIRECT("'Word Vectors'!B"&amp;MATCH($B$2,'Word Vectors'!A:A,0)&amp;":Z"&amp;MATCH($B$2,'Word Vectors'!A:A,0)),INDIRECT("'Word Vectors'!B400:Z400"))/(SQRT(SUMPRODUCT(INDIRECT("'Word Vectors'!B"&amp;MATCH($B$2,'Word Vectors'!A:A,0)&amp;":Z"&amp;MATCH($B$2,'Word Vectors'!A:A,0)),INDIRECT("'Word Vectors'!B"&amp;MATCH($B$2,'Word Vectors'!A:A,0)&amp;":Z"&amp;MATCH($B$2,'Word Vectors'!A:A,0))))*SQRT(SUMPRODUCT(INDIRECT("'Word Vectors'!B400:Z400"),INDIRECT("'Word Vectors'!B400:Z400")))))</f>
        <v/>
      </c>
      <c r="OM2">
        <f>IF(OR($B$2="",ISNA(MATCH($B$2,'Word Vectors'!A:A,0)),'Word Vectors'!A401=$B$2),"",SUMPRODUCT(INDIRECT("'Word Vectors'!B"&amp;MATCH($B$2,'Word Vectors'!A:A,0)&amp;":Z"&amp;MATCH($B$2,'Word Vectors'!A:A,0)),INDIRECT("'Word Vectors'!B401:Z401"))/(SQRT(SUMPRODUCT(INDIRECT("'Word Vectors'!B"&amp;MATCH($B$2,'Word Vectors'!A:A,0)&amp;":Z"&amp;MATCH($B$2,'Word Vectors'!A:A,0)),INDIRECT("'Word Vectors'!B"&amp;MATCH($B$2,'Word Vectors'!A:A,0)&amp;":Z"&amp;MATCH($B$2,'Word Vectors'!A:A,0))))*SQRT(SUMPRODUCT(INDIRECT("'Word Vectors'!B401:Z401"),INDIRECT("'Word Vectors'!B401:Z401")))))</f>
        <v/>
      </c>
      <c r="ON2">
        <f>IF(OR($B$2="",ISNA(MATCH($B$2,'Word Vectors'!A:A,0)),'Word Vectors'!A402=$B$2),"",SUMPRODUCT(INDIRECT("'Word Vectors'!B"&amp;MATCH($B$2,'Word Vectors'!A:A,0)&amp;":Z"&amp;MATCH($B$2,'Word Vectors'!A:A,0)),INDIRECT("'Word Vectors'!B402:Z402"))/(SQRT(SUMPRODUCT(INDIRECT("'Word Vectors'!B"&amp;MATCH($B$2,'Word Vectors'!A:A,0)&amp;":Z"&amp;MATCH($B$2,'Word Vectors'!A:A,0)),INDIRECT("'Word Vectors'!B"&amp;MATCH($B$2,'Word Vectors'!A:A,0)&amp;":Z"&amp;MATCH($B$2,'Word Vectors'!A:A,0))))*SQRT(SUMPRODUCT(INDIRECT("'Word Vectors'!B402:Z402"),INDIRECT("'Word Vectors'!B402:Z402")))))</f>
        <v/>
      </c>
      <c r="OO2">
        <f>IF(OR($B$2="",ISNA(MATCH($B$2,'Word Vectors'!A:A,0)),'Word Vectors'!A403=$B$2),"",SUMPRODUCT(INDIRECT("'Word Vectors'!B"&amp;MATCH($B$2,'Word Vectors'!A:A,0)&amp;":Z"&amp;MATCH($B$2,'Word Vectors'!A:A,0)),INDIRECT("'Word Vectors'!B403:Z403"))/(SQRT(SUMPRODUCT(INDIRECT("'Word Vectors'!B"&amp;MATCH($B$2,'Word Vectors'!A:A,0)&amp;":Z"&amp;MATCH($B$2,'Word Vectors'!A:A,0)),INDIRECT("'Word Vectors'!B"&amp;MATCH($B$2,'Word Vectors'!A:A,0)&amp;":Z"&amp;MATCH($B$2,'Word Vectors'!A:A,0))))*SQRT(SUMPRODUCT(INDIRECT("'Word Vectors'!B403:Z403"),INDIRECT("'Word Vectors'!B403:Z403")))))</f>
        <v/>
      </c>
      <c r="OP2">
        <f>IF(OR($B$2="",ISNA(MATCH($B$2,'Word Vectors'!A:A,0)),'Word Vectors'!A404=$B$2),"",SUMPRODUCT(INDIRECT("'Word Vectors'!B"&amp;MATCH($B$2,'Word Vectors'!A:A,0)&amp;":Z"&amp;MATCH($B$2,'Word Vectors'!A:A,0)),INDIRECT("'Word Vectors'!B404:Z404"))/(SQRT(SUMPRODUCT(INDIRECT("'Word Vectors'!B"&amp;MATCH($B$2,'Word Vectors'!A:A,0)&amp;":Z"&amp;MATCH($B$2,'Word Vectors'!A:A,0)),INDIRECT("'Word Vectors'!B"&amp;MATCH($B$2,'Word Vectors'!A:A,0)&amp;":Z"&amp;MATCH($B$2,'Word Vectors'!A:A,0))))*SQRT(SUMPRODUCT(INDIRECT("'Word Vectors'!B404:Z404"),INDIRECT("'Word Vectors'!B404:Z404")))))</f>
        <v/>
      </c>
      <c r="OQ2">
        <f>IF(OR($B$2="",ISNA(MATCH($B$2,'Word Vectors'!A:A,0)),'Word Vectors'!A405=$B$2),"",SUMPRODUCT(INDIRECT("'Word Vectors'!B"&amp;MATCH($B$2,'Word Vectors'!A:A,0)&amp;":Z"&amp;MATCH($B$2,'Word Vectors'!A:A,0)),INDIRECT("'Word Vectors'!B405:Z405"))/(SQRT(SUMPRODUCT(INDIRECT("'Word Vectors'!B"&amp;MATCH($B$2,'Word Vectors'!A:A,0)&amp;":Z"&amp;MATCH($B$2,'Word Vectors'!A:A,0)),INDIRECT("'Word Vectors'!B"&amp;MATCH($B$2,'Word Vectors'!A:A,0)&amp;":Z"&amp;MATCH($B$2,'Word Vectors'!A:A,0))))*SQRT(SUMPRODUCT(INDIRECT("'Word Vectors'!B405:Z405"),INDIRECT("'Word Vectors'!B405:Z405")))))</f>
        <v/>
      </c>
      <c r="OR2">
        <f>IF(OR($B$2="",ISNA(MATCH($B$2,'Word Vectors'!A:A,0)),'Word Vectors'!A406=$B$2),"",SUMPRODUCT(INDIRECT("'Word Vectors'!B"&amp;MATCH($B$2,'Word Vectors'!A:A,0)&amp;":Z"&amp;MATCH($B$2,'Word Vectors'!A:A,0)),INDIRECT("'Word Vectors'!B406:Z406"))/(SQRT(SUMPRODUCT(INDIRECT("'Word Vectors'!B"&amp;MATCH($B$2,'Word Vectors'!A:A,0)&amp;":Z"&amp;MATCH($B$2,'Word Vectors'!A:A,0)),INDIRECT("'Word Vectors'!B"&amp;MATCH($B$2,'Word Vectors'!A:A,0)&amp;":Z"&amp;MATCH($B$2,'Word Vectors'!A:A,0))))*SQRT(SUMPRODUCT(INDIRECT("'Word Vectors'!B406:Z406"),INDIRECT("'Word Vectors'!B406:Z406")))))</f>
        <v/>
      </c>
      <c r="OS2">
        <f>IF(OR($B$2="",ISNA(MATCH($B$2,'Word Vectors'!A:A,0)),'Word Vectors'!A407=$B$2),"",SUMPRODUCT(INDIRECT("'Word Vectors'!B"&amp;MATCH($B$2,'Word Vectors'!A:A,0)&amp;":Z"&amp;MATCH($B$2,'Word Vectors'!A:A,0)),INDIRECT("'Word Vectors'!B407:Z407"))/(SQRT(SUMPRODUCT(INDIRECT("'Word Vectors'!B"&amp;MATCH($B$2,'Word Vectors'!A:A,0)&amp;":Z"&amp;MATCH($B$2,'Word Vectors'!A:A,0)),INDIRECT("'Word Vectors'!B"&amp;MATCH($B$2,'Word Vectors'!A:A,0)&amp;":Z"&amp;MATCH($B$2,'Word Vectors'!A:A,0))))*SQRT(SUMPRODUCT(INDIRECT("'Word Vectors'!B407:Z407"),INDIRECT("'Word Vectors'!B407:Z407")))))</f>
        <v/>
      </c>
      <c r="OT2">
        <f>IF(OR($B$2="",ISNA(MATCH($B$2,'Word Vectors'!A:A,0)),'Word Vectors'!A408=$B$2),"",SUMPRODUCT(INDIRECT("'Word Vectors'!B"&amp;MATCH($B$2,'Word Vectors'!A:A,0)&amp;":Z"&amp;MATCH($B$2,'Word Vectors'!A:A,0)),INDIRECT("'Word Vectors'!B408:Z408"))/(SQRT(SUMPRODUCT(INDIRECT("'Word Vectors'!B"&amp;MATCH($B$2,'Word Vectors'!A:A,0)&amp;":Z"&amp;MATCH($B$2,'Word Vectors'!A:A,0)),INDIRECT("'Word Vectors'!B"&amp;MATCH($B$2,'Word Vectors'!A:A,0)&amp;":Z"&amp;MATCH($B$2,'Word Vectors'!A:A,0))))*SQRT(SUMPRODUCT(INDIRECT("'Word Vectors'!B408:Z408"),INDIRECT("'Word Vectors'!B408:Z408")))))</f>
        <v/>
      </c>
      <c r="OU2">
        <f>IF(OR($B$2="",ISNA(MATCH($B$2,'Word Vectors'!A:A,0)),'Word Vectors'!A409=$B$2),"",SUMPRODUCT(INDIRECT("'Word Vectors'!B"&amp;MATCH($B$2,'Word Vectors'!A:A,0)&amp;":Z"&amp;MATCH($B$2,'Word Vectors'!A:A,0)),INDIRECT("'Word Vectors'!B409:Z409"))/(SQRT(SUMPRODUCT(INDIRECT("'Word Vectors'!B"&amp;MATCH($B$2,'Word Vectors'!A:A,0)&amp;":Z"&amp;MATCH($B$2,'Word Vectors'!A:A,0)),INDIRECT("'Word Vectors'!B"&amp;MATCH($B$2,'Word Vectors'!A:A,0)&amp;":Z"&amp;MATCH($B$2,'Word Vectors'!A:A,0))))*SQRT(SUMPRODUCT(INDIRECT("'Word Vectors'!B409:Z409"),INDIRECT("'Word Vectors'!B409:Z409")))))</f>
        <v/>
      </c>
      <c r="OV2">
        <f>IF(OR($B$2="",ISNA(MATCH($B$2,'Word Vectors'!A:A,0)),'Word Vectors'!A410=$B$2),"",SUMPRODUCT(INDIRECT("'Word Vectors'!B"&amp;MATCH($B$2,'Word Vectors'!A:A,0)&amp;":Z"&amp;MATCH($B$2,'Word Vectors'!A:A,0)),INDIRECT("'Word Vectors'!B410:Z410"))/(SQRT(SUMPRODUCT(INDIRECT("'Word Vectors'!B"&amp;MATCH($B$2,'Word Vectors'!A:A,0)&amp;":Z"&amp;MATCH($B$2,'Word Vectors'!A:A,0)),INDIRECT("'Word Vectors'!B"&amp;MATCH($B$2,'Word Vectors'!A:A,0)&amp;":Z"&amp;MATCH($B$2,'Word Vectors'!A:A,0))))*SQRT(SUMPRODUCT(INDIRECT("'Word Vectors'!B410:Z410"),INDIRECT("'Word Vectors'!B410:Z410")))))</f>
        <v/>
      </c>
      <c r="OW2">
        <f>IF(OR($B$2="",ISNA(MATCH($B$2,'Word Vectors'!A:A,0)),'Word Vectors'!A411=$B$2),"",SUMPRODUCT(INDIRECT("'Word Vectors'!B"&amp;MATCH($B$2,'Word Vectors'!A:A,0)&amp;":Z"&amp;MATCH($B$2,'Word Vectors'!A:A,0)),INDIRECT("'Word Vectors'!B411:Z411"))/(SQRT(SUMPRODUCT(INDIRECT("'Word Vectors'!B"&amp;MATCH($B$2,'Word Vectors'!A:A,0)&amp;":Z"&amp;MATCH($B$2,'Word Vectors'!A:A,0)),INDIRECT("'Word Vectors'!B"&amp;MATCH($B$2,'Word Vectors'!A:A,0)&amp;":Z"&amp;MATCH($B$2,'Word Vectors'!A:A,0))))*SQRT(SUMPRODUCT(INDIRECT("'Word Vectors'!B411:Z411"),INDIRECT("'Word Vectors'!B411:Z411")))))</f>
        <v/>
      </c>
      <c r="OX2">
        <f>IF(OR($B$2="",ISNA(MATCH($B$2,'Word Vectors'!A:A,0)),'Word Vectors'!A412=$B$2),"",SUMPRODUCT(INDIRECT("'Word Vectors'!B"&amp;MATCH($B$2,'Word Vectors'!A:A,0)&amp;":Z"&amp;MATCH($B$2,'Word Vectors'!A:A,0)),INDIRECT("'Word Vectors'!B412:Z412"))/(SQRT(SUMPRODUCT(INDIRECT("'Word Vectors'!B"&amp;MATCH($B$2,'Word Vectors'!A:A,0)&amp;":Z"&amp;MATCH($B$2,'Word Vectors'!A:A,0)),INDIRECT("'Word Vectors'!B"&amp;MATCH($B$2,'Word Vectors'!A:A,0)&amp;":Z"&amp;MATCH($B$2,'Word Vectors'!A:A,0))))*SQRT(SUMPRODUCT(INDIRECT("'Word Vectors'!B412:Z412"),INDIRECT("'Word Vectors'!B412:Z412")))))</f>
        <v/>
      </c>
      <c r="OY2">
        <f>IF(OR($B$2="",ISNA(MATCH($B$2,'Word Vectors'!A:A,0)),'Word Vectors'!A413=$B$2),"",SUMPRODUCT(INDIRECT("'Word Vectors'!B"&amp;MATCH($B$2,'Word Vectors'!A:A,0)&amp;":Z"&amp;MATCH($B$2,'Word Vectors'!A:A,0)),INDIRECT("'Word Vectors'!B413:Z413"))/(SQRT(SUMPRODUCT(INDIRECT("'Word Vectors'!B"&amp;MATCH($B$2,'Word Vectors'!A:A,0)&amp;":Z"&amp;MATCH($B$2,'Word Vectors'!A:A,0)),INDIRECT("'Word Vectors'!B"&amp;MATCH($B$2,'Word Vectors'!A:A,0)&amp;":Z"&amp;MATCH($B$2,'Word Vectors'!A:A,0))))*SQRT(SUMPRODUCT(INDIRECT("'Word Vectors'!B413:Z413"),INDIRECT("'Word Vectors'!B413:Z413")))))</f>
        <v/>
      </c>
      <c r="OZ2">
        <f>IF(OR($B$2="",ISNA(MATCH($B$2,'Word Vectors'!A:A,0)),'Word Vectors'!A414=$B$2),"",SUMPRODUCT(INDIRECT("'Word Vectors'!B"&amp;MATCH($B$2,'Word Vectors'!A:A,0)&amp;":Z"&amp;MATCH($B$2,'Word Vectors'!A:A,0)),INDIRECT("'Word Vectors'!B414:Z414"))/(SQRT(SUMPRODUCT(INDIRECT("'Word Vectors'!B"&amp;MATCH($B$2,'Word Vectors'!A:A,0)&amp;":Z"&amp;MATCH($B$2,'Word Vectors'!A:A,0)),INDIRECT("'Word Vectors'!B"&amp;MATCH($B$2,'Word Vectors'!A:A,0)&amp;":Z"&amp;MATCH($B$2,'Word Vectors'!A:A,0))))*SQRT(SUMPRODUCT(INDIRECT("'Word Vectors'!B414:Z414"),INDIRECT("'Word Vectors'!B414:Z414")))))</f>
        <v/>
      </c>
      <c r="PA2">
        <f>IF(OR($B$2="",ISNA(MATCH($B$2,'Word Vectors'!A:A,0)),'Word Vectors'!A415=$B$2),"",SUMPRODUCT(INDIRECT("'Word Vectors'!B"&amp;MATCH($B$2,'Word Vectors'!A:A,0)&amp;":Z"&amp;MATCH($B$2,'Word Vectors'!A:A,0)),INDIRECT("'Word Vectors'!B415:Z415"))/(SQRT(SUMPRODUCT(INDIRECT("'Word Vectors'!B"&amp;MATCH($B$2,'Word Vectors'!A:A,0)&amp;":Z"&amp;MATCH($B$2,'Word Vectors'!A:A,0)),INDIRECT("'Word Vectors'!B"&amp;MATCH($B$2,'Word Vectors'!A:A,0)&amp;":Z"&amp;MATCH($B$2,'Word Vectors'!A:A,0))))*SQRT(SUMPRODUCT(INDIRECT("'Word Vectors'!B415:Z415"),INDIRECT("'Word Vectors'!B415:Z415")))))</f>
        <v/>
      </c>
      <c r="PB2">
        <f>IF(OR($B$2="",ISNA(MATCH($B$2,'Word Vectors'!A:A,0)),'Word Vectors'!A416=$B$2),"",SUMPRODUCT(INDIRECT("'Word Vectors'!B"&amp;MATCH($B$2,'Word Vectors'!A:A,0)&amp;":Z"&amp;MATCH($B$2,'Word Vectors'!A:A,0)),INDIRECT("'Word Vectors'!B416:Z416"))/(SQRT(SUMPRODUCT(INDIRECT("'Word Vectors'!B"&amp;MATCH($B$2,'Word Vectors'!A:A,0)&amp;":Z"&amp;MATCH($B$2,'Word Vectors'!A:A,0)),INDIRECT("'Word Vectors'!B"&amp;MATCH($B$2,'Word Vectors'!A:A,0)&amp;":Z"&amp;MATCH($B$2,'Word Vectors'!A:A,0))))*SQRT(SUMPRODUCT(INDIRECT("'Word Vectors'!B416:Z416"),INDIRECT("'Word Vectors'!B416:Z416")))))</f>
        <v/>
      </c>
      <c r="PC2">
        <f>IF(OR($B$2="",ISNA(MATCH($B$2,'Word Vectors'!A:A,0)),'Word Vectors'!A417=$B$2),"",SUMPRODUCT(INDIRECT("'Word Vectors'!B"&amp;MATCH($B$2,'Word Vectors'!A:A,0)&amp;":Z"&amp;MATCH($B$2,'Word Vectors'!A:A,0)),INDIRECT("'Word Vectors'!B417:Z417"))/(SQRT(SUMPRODUCT(INDIRECT("'Word Vectors'!B"&amp;MATCH($B$2,'Word Vectors'!A:A,0)&amp;":Z"&amp;MATCH($B$2,'Word Vectors'!A:A,0)),INDIRECT("'Word Vectors'!B"&amp;MATCH($B$2,'Word Vectors'!A:A,0)&amp;":Z"&amp;MATCH($B$2,'Word Vectors'!A:A,0))))*SQRT(SUMPRODUCT(INDIRECT("'Word Vectors'!B417:Z417"),INDIRECT("'Word Vectors'!B417:Z417")))))</f>
        <v/>
      </c>
      <c r="PD2">
        <f>IF(OR($B$2="",ISNA(MATCH($B$2,'Word Vectors'!A:A,0)),'Word Vectors'!A418=$B$2),"",SUMPRODUCT(INDIRECT("'Word Vectors'!B"&amp;MATCH($B$2,'Word Vectors'!A:A,0)&amp;":Z"&amp;MATCH($B$2,'Word Vectors'!A:A,0)),INDIRECT("'Word Vectors'!B418:Z418"))/(SQRT(SUMPRODUCT(INDIRECT("'Word Vectors'!B"&amp;MATCH($B$2,'Word Vectors'!A:A,0)&amp;":Z"&amp;MATCH($B$2,'Word Vectors'!A:A,0)),INDIRECT("'Word Vectors'!B"&amp;MATCH($B$2,'Word Vectors'!A:A,0)&amp;":Z"&amp;MATCH($B$2,'Word Vectors'!A:A,0))))*SQRT(SUMPRODUCT(INDIRECT("'Word Vectors'!B418:Z418"),INDIRECT("'Word Vectors'!B418:Z418")))))</f>
        <v/>
      </c>
      <c r="PE2">
        <f>IF(OR($B$2="",ISNA(MATCH($B$2,'Word Vectors'!A:A,0)),'Word Vectors'!A419=$B$2),"",SUMPRODUCT(INDIRECT("'Word Vectors'!B"&amp;MATCH($B$2,'Word Vectors'!A:A,0)&amp;":Z"&amp;MATCH($B$2,'Word Vectors'!A:A,0)),INDIRECT("'Word Vectors'!B419:Z419"))/(SQRT(SUMPRODUCT(INDIRECT("'Word Vectors'!B"&amp;MATCH($B$2,'Word Vectors'!A:A,0)&amp;":Z"&amp;MATCH($B$2,'Word Vectors'!A:A,0)),INDIRECT("'Word Vectors'!B"&amp;MATCH($B$2,'Word Vectors'!A:A,0)&amp;":Z"&amp;MATCH($B$2,'Word Vectors'!A:A,0))))*SQRT(SUMPRODUCT(INDIRECT("'Word Vectors'!B419:Z419"),INDIRECT("'Word Vectors'!B419:Z419")))))</f>
        <v/>
      </c>
      <c r="PF2">
        <f>IF(OR($B$2="",ISNA(MATCH($B$2,'Word Vectors'!A:A,0)),'Word Vectors'!A420=$B$2),"",SUMPRODUCT(INDIRECT("'Word Vectors'!B"&amp;MATCH($B$2,'Word Vectors'!A:A,0)&amp;":Z"&amp;MATCH($B$2,'Word Vectors'!A:A,0)),INDIRECT("'Word Vectors'!B420:Z420"))/(SQRT(SUMPRODUCT(INDIRECT("'Word Vectors'!B"&amp;MATCH($B$2,'Word Vectors'!A:A,0)&amp;":Z"&amp;MATCH($B$2,'Word Vectors'!A:A,0)),INDIRECT("'Word Vectors'!B"&amp;MATCH($B$2,'Word Vectors'!A:A,0)&amp;":Z"&amp;MATCH($B$2,'Word Vectors'!A:A,0))))*SQRT(SUMPRODUCT(INDIRECT("'Word Vectors'!B420:Z420"),INDIRECT("'Word Vectors'!B420:Z420")))))</f>
        <v/>
      </c>
      <c r="PG2">
        <f>IF(OR($B$2="",ISNA(MATCH($B$2,'Word Vectors'!A:A,0)),'Word Vectors'!A421=$B$2),"",SUMPRODUCT(INDIRECT("'Word Vectors'!B"&amp;MATCH($B$2,'Word Vectors'!A:A,0)&amp;":Z"&amp;MATCH($B$2,'Word Vectors'!A:A,0)),INDIRECT("'Word Vectors'!B421:Z421"))/(SQRT(SUMPRODUCT(INDIRECT("'Word Vectors'!B"&amp;MATCH($B$2,'Word Vectors'!A:A,0)&amp;":Z"&amp;MATCH($B$2,'Word Vectors'!A:A,0)),INDIRECT("'Word Vectors'!B"&amp;MATCH($B$2,'Word Vectors'!A:A,0)&amp;":Z"&amp;MATCH($B$2,'Word Vectors'!A:A,0))))*SQRT(SUMPRODUCT(INDIRECT("'Word Vectors'!B421:Z421"),INDIRECT("'Word Vectors'!B421:Z421")))))</f>
        <v/>
      </c>
      <c r="PH2">
        <f>IF(OR($B$2="",ISNA(MATCH($B$2,'Word Vectors'!A:A,0)),'Word Vectors'!A422=$B$2),"",SUMPRODUCT(INDIRECT("'Word Vectors'!B"&amp;MATCH($B$2,'Word Vectors'!A:A,0)&amp;":Z"&amp;MATCH($B$2,'Word Vectors'!A:A,0)),INDIRECT("'Word Vectors'!B422:Z422"))/(SQRT(SUMPRODUCT(INDIRECT("'Word Vectors'!B"&amp;MATCH($B$2,'Word Vectors'!A:A,0)&amp;":Z"&amp;MATCH($B$2,'Word Vectors'!A:A,0)),INDIRECT("'Word Vectors'!B"&amp;MATCH($B$2,'Word Vectors'!A:A,0)&amp;":Z"&amp;MATCH($B$2,'Word Vectors'!A:A,0))))*SQRT(SUMPRODUCT(INDIRECT("'Word Vectors'!B422:Z422"),INDIRECT("'Word Vectors'!B422:Z422")))))</f>
        <v/>
      </c>
      <c r="PI2">
        <f>IF(OR($B$2="",ISNA(MATCH($B$2,'Word Vectors'!A:A,0)),'Word Vectors'!A423=$B$2),"",SUMPRODUCT(INDIRECT("'Word Vectors'!B"&amp;MATCH($B$2,'Word Vectors'!A:A,0)&amp;":Z"&amp;MATCH($B$2,'Word Vectors'!A:A,0)),INDIRECT("'Word Vectors'!B423:Z423"))/(SQRT(SUMPRODUCT(INDIRECT("'Word Vectors'!B"&amp;MATCH($B$2,'Word Vectors'!A:A,0)&amp;":Z"&amp;MATCH($B$2,'Word Vectors'!A:A,0)),INDIRECT("'Word Vectors'!B"&amp;MATCH($B$2,'Word Vectors'!A:A,0)&amp;":Z"&amp;MATCH($B$2,'Word Vectors'!A:A,0))))*SQRT(SUMPRODUCT(INDIRECT("'Word Vectors'!B423:Z423"),INDIRECT("'Word Vectors'!B423:Z423")))))</f>
        <v/>
      </c>
      <c r="PJ2">
        <f>IF(OR($B$2="",ISNA(MATCH($B$2,'Word Vectors'!A:A,0)),'Word Vectors'!A424=$B$2),"",SUMPRODUCT(INDIRECT("'Word Vectors'!B"&amp;MATCH($B$2,'Word Vectors'!A:A,0)&amp;":Z"&amp;MATCH($B$2,'Word Vectors'!A:A,0)),INDIRECT("'Word Vectors'!B424:Z424"))/(SQRT(SUMPRODUCT(INDIRECT("'Word Vectors'!B"&amp;MATCH($B$2,'Word Vectors'!A:A,0)&amp;":Z"&amp;MATCH($B$2,'Word Vectors'!A:A,0)),INDIRECT("'Word Vectors'!B"&amp;MATCH($B$2,'Word Vectors'!A:A,0)&amp;":Z"&amp;MATCH($B$2,'Word Vectors'!A:A,0))))*SQRT(SUMPRODUCT(INDIRECT("'Word Vectors'!B424:Z424"),INDIRECT("'Word Vectors'!B424:Z424")))))</f>
        <v/>
      </c>
      <c r="PK2">
        <f>IF(OR($B$2="",ISNA(MATCH($B$2,'Word Vectors'!A:A,0)),'Word Vectors'!A425=$B$2),"",SUMPRODUCT(INDIRECT("'Word Vectors'!B"&amp;MATCH($B$2,'Word Vectors'!A:A,0)&amp;":Z"&amp;MATCH($B$2,'Word Vectors'!A:A,0)),INDIRECT("'Word Vectors'!B425:Z425"))/(SQRT(SUMPRODUCT(INDIRECT("'Word Vectors'!B"&amp;MATCH($B$2,'Word Vectors'!A:A,0)&amp;":Z"&amp;MATCH($B$2,'Word Vectors'!A:A,0)),INDIRECT("'Word Vectors'!B"&amp;MATCH($B$2,'Word Vectors'!A:A,0)&amp;":Z"&amp;MATCH($B$2,'Word Vectors'!A:A,0))))*SQRT(SUMPRODUCT(INDIRECT("'Word Vectors'!B425:Z425"),INDIRECT("'Word Vectors'!B425:Z425")))))</f>
        <v/>
      </c>
      <c r="PL2">
        <f>IF(OR($B$2="",ISNA(MATCH($B$2,'Word Vectors'!A:A,0)),'Word Vectors'!A426=$B$2),"",SUMPRODUCT(INDIRECT("'Word Vectors'!B"&amp;MATCH($B$2,'Word Vectors'!A:A,0)&amp;":Z"&amp;MATCH($B$2,'Word Vectors'!A:A,0)),INDIRECT("'Word Vectors'!B426:Z426"))/(SQRT(SUMPRODUCT(INDIRECT("'Word Vectors'!B"&amp;MATCH($B$2,'Word Vectors'!A:A,0)&amp;":Z"&amp;MATCH($B$2,'Word Vectors'!A:A,0)),INDIRECT("'Word Vectors'!B"&amp;MATCH($B$2,'Word Vectors'!A:A,0)&amp;":Z"&amp;MATCH($B$2,'Word Vectors'!A:A,0))))*SQRT(SUMPRODUCT(INDIRECT("'Word Vectors'!B426:Z426"),INDIRECT("'Word Vectors'!B426:Z426")))))</f>
        <v/>
      </c>
      <c r="PM2">
        <f>IF(OR($B$2="",ISNA(MATCH($B$2,'Word Vectors'!A:A,0)),'Word Vectors'!A427=$B$2),"",SUMPRODUCT(INDIRECT("'Word Vectors'!B"&amp;MATCH($B$2,'Word Vectors'!A:A,0)&amp;":Z"&amp;MATCH($B$2,'Word Vectors'!A:A,0)),INDIRECT("'Word Vectors'!B427:Z427"))/(SQRT(SUMPRODUCT(INDIRECT("'Word Vectors'!B"&amp;MATCH($B$2,'Word Vectors'!A:A,0)&amp;":Z"&amp;MATCH($B$2,'Word Vectors'!A:A,0)),INDIRECT("'Word Vectors'!B"&amp;MATCH($B$2,'Word Vectors'!A:A,0)&amp;":Z"&amp;MATCH($B$2,'Word Vectors'!A:A,0))))*SQRT(SUMPRODUCT(INDIRECT("'Word Vectors'!B427:Z427"),INDIRECT("'Word Vectors'!B427:Z427")))))</f>
        <v/>
      </c>
      <c r="PN2">
        <f>IF(OR($B$2="",ISNA(MATCH($B$2,'Word Vectors'!A:A,0)),'Word Vectors'!A428=$B$2),"",SUMPRODUCT(INDIRECT("'Word Vectors'!B"&amp;MATCH($B$2,'Word Vectors'!A:A,0)&amp;":Z"&amp;MATCH($B$2,'Word Vectors'!A:A,0)),INDIRECT("'Word Vectors'!B428:Z428"))/(SQRT(SUMPRODUCT(INDIRECT("'Word Vectors'!B"&amp;MATCH($B$2,'Word Vectors'!A:A,0)&amp;":Z"&amp;MATCH($B$2,'Word Vectors'!A:A,0)),INDIRECT("'Word Vectors'!B"&amp;MATCH($B$2,'Word Vectors'!A:A,0)&amp;":Z"&amp;MATCH($B$2,'Word Vectors'!A:A,0))))*SQRT(SUMPRODUCT(INDIRECT("'Word Vectors'!B428:Z428"),INDIRECT("'Word Vectors'!B428:Z428")))))</f>
        <v/>
      </c>
      <c r="PO2">
        <f>IF(OR($B$2="",ISNA(MATCH($B$2,'Word Vectors'!A:A,0)),'Word Vectors'!A429=$B$2),"",SUMPRODUCT(INDIRECT("'Word Vectors'!B"&amp;MATCH($B$2,'Word Vectors'!A:A,0)&amp;":Z"&amp;MATCH($B$2,'Word Vectors'!A:A,0)),INDIRECT("'Word Vectors'!B429:Z429"))/(SQRT(SUMPRODUCT(INDIRECT("'Word Vectors'!B"&amp;MATCH($B$2,'Word Vectors'!A:A,0)&amp;":Z"&amp;MATCH($B$2,'Word Vectors'!A:A,0)),INDIRECT("'Word Vectors'!B"&amp;MATCH($B$2,'Word Vectors'!A:A,0)&amp;":Z"&amp;MATCH($B$2,'Word Vectors'!A:A,0))))*SQRT(SUMPRODUCT(INDIRECT("'Word Vectors'!B429:Z429"),INDIRECT("'Word Vectors'!B429:Z429")))))</f>
        <v/>
      </c>
      <c r="PP2">
        <f>IF(OR($B$2="",ISNA(MATCH($B$2,'Word Vectors'!A:A,0)),'Word Vectors'!A430=$B$2),"",SUMPRODUCT(INDIRECT("'Word Vectors'!B"&amp;MATCH($B$2,'Word Vectors'!A:A,0)&amp;":Z"&amp;MATCH($B$2,'Word Vectors'!A:A,0)),INDIRECT("'Word Vectors'!B430:Z430"))/(SQRT(SUMPRODUCT(INDIRECT("'Word Vectors'!B"&amp;MATCH($B$2,'Word Vectors'!A:A,0)&amp;":Z"&amp;MATCH($B$2,'Word Vectors'!A:A,0)),INDIRECT("'Word Vectors'!B"&amp;MATCH($B$2,'Word Vectors'!A:A,0)&amp;":Z"&amp;MATCH($B$2,'Word Vectors'!A:A,0))))*SQRT(SUMPRODUCT(INDIRECT("'Word Vectors'!B430:Z430"),INDIRECT("'Word Vectors'!B430:Z430")))))</f>
        <v/>
      </c>
      <c r="PQ2">
        <f>IF(OR($B$2="",ISNA(MATCH($B$2,'Word Vectors'!A:A,0)),'Word Vectors'!A431=$B$2),"",SUMPRODUCT(INDIRECT("'Word Vectors'!B"&amp;MATCH($B$2,'Word Vectors'!A:A,0)&amp;":Z"&amp;MATCH($B$2,'Word Vectors'!A:A,0)),INDIRECT("'Word Vectors'!B431:Z431"))/(SQRT(SUMPRODUCT(INDIRECT("'Word Vectors'!B"&amp;MATCH($B$2,'Word Vectors'!A:A,0)&amp;":Z"&amp;MATCH($B$2,'Word Vectors'!A:A,0)),INDIRECT("'Word Vectors'!B"&amp;MATCH($B$2,'Word Vectors'!A:A,0)&amp;":Z"&amp;MATCH($B$2,'Word Vectors'!A:A,0))))*SQRT(SUMPRODUCT(INDIRECT("'Word Vectors'!B431:Z431"),INDIRECT("'Word Vectors'!B431:Z431")))))</f>
        <v/>
      </c>
      <c r="PR2">
        <f>IF(OR($B$2="",ISNA(MATCH($B$2,'Word Vectors'!A:A,0)),'Word Vectors'!A432=$B$2),"",SUMPRODUCT(INDIRECT("'Word Vectors'!B"&amp;MATCH($B$2,'Word Vectors'!A:A,0)&amp;":Z"&amp;MATCH($B$2,'Word Vectors'!A:A,0)),INDIRECT("'Word Vectors'!B432:Z432"))/(SQRT(SUMPRODUCT(INDIRECT("'Word Vectors'!B"&amp;MATCH($B$2,'Word Vectors'!A:A,0)&amp;":Z"&amp;MATCH($B$2,'Word Vectors'!A:A,0)),INDIRECT("'Word Vectors'!B"&amp;MATCH($B$2,'Word Vectors'!A:A,0)&amp;":Z"&amp;MATCH($B$2,'Word Vectors'!A:A,0))))*SQRT(SUMPRODUCT(INDIRECT("'Word Vectors'!B432:Z432"),INDIRECT("'Word Vectors'!B432:Z432")))))</f>
        <v/>
      </c>
      <c r="PS2">
        <f>IF(OR($B$2="",ISNA(MATCH($B$2,'Word Vectors'!A:A,0)),'Word Vectors'!A433=$B$2),"",SUMPRODUCT(INDIRECT("'Word Vectors'!B"&amp;MATCH($B$2,'Word Vectors'!A:A,0)&amp;":Z"&amp;MATCH($B$2,'Word Vectors'!A:A,0)),INDIRECT("'Word Vectors'!B433:Z433"))/(SQRT(SUMPRODUCT(INDIRECT("'Word Vectors'!B"&amp;MATCH($B$2,'Word Vectors'!A:A,0)&amp;":Z"&amp;MATCH($B$2,'Word Vectors'!A:A,0)),INDIRECT("'Word Vectors'!B"&amp;MATCH($B$2,'Word Vectors'!A:A,0)&amp;":Z"&amp;MATCH($B$2,'Word Vectors'!A:A,0))))*SQRT(SUMPRODUCT(INDIRECT("'Word Vectors'!B433:Z433"),INDIRECT("'Word Vectors'!B433:Z433")))))</f>
        <v/>
      </c>
      <c r="PT2">
        <f>IF(OR($B$2="",ISNA(MATCH($B$2,'Word Vectors'!A:A,0)),'Word Vectors'!A434=$B$2),"",SUMPRODUCT(INDIRECT("'Word Vectors'!B"&amp;MATCH($B$2,'Word Vectors'!A:A,0)&amp;":Z"&amp;MATCH($B$2,'Word Vectors'!A:A,0)),INDIRECT("'Word Vectors'!B434:Z434"))/(SQRT(SUMPRODUCT(INDIRECT("'Word Vectors'!B"&amp;MATCH($B$2,'Word Vectors'!A:A,0)&amp;":Z"&amp;MATCH($B$2,'Word Vectors'!A:A,0)),INDIRECT("'Word Vectors'!B"&amp;MATCH($B$2,'Word Vectors'!A:A,0)&amp;":Z"&amp;MATCH($B$2,'Word Vectors'!A:A,0))))*SQRT(SUMPRODUCT(INDIRECT("'Word Vectors'!B434:Z434"),INDIRECT("'Word Vectors'!B434:Z434")))))</f>
        <v/>
      </c>
      <c r="PU2">
        <f>IF(OR($B$2="",ISNA(MATCH($B$2,'Word Vectors'!A:A,0)),'Word Vectors'!A435=$B$2),"",SUMPRODUCT(INDIRECT("'Word Vectors'!B"&amp;MATCH($B$2,'Word Vectors'!A:A,0)&amp;":Z"&amp;MATCH($B$2,'Word Vectors'!A:A,0)),INDIRECT("'Word Vectors'!B435:Z435"))/(SQRT(SUMPRODUCT(INDIRECT("'Word Vectors'!B"&amp;MATCH($B$2,'Word Vectors'!A:A,0)&amp;":Z"&amp;MATCH($B$2,'Word Vectors'!A:A,0)),INDIRECT("'Word Vectors'!B"&amp;MATCH($B$2,'Word Vectors'!A:A,0)&amp;":Z"&amp;MATCH($B$2,'Word Vectors'!A:A,0))))*SQRT(SUMPRODUCT(INDIRECT("'Word Vectors'!B435:Z435"),INDIRECT("'Word Vectors'!B435:Z435")))))</f>
        <v/>
      </c>
      <c r="PV2">
        <f>IF(OR($B$2="",ISNA(MATCH($B$2,'Word Vectors'!A:A,0)),'Word Vectors'!A436=$B$2),"",SUMPRODUCT(INDIRECT("'Word Vectors'!B"&amp;MATCH($B$2,'Word Vectors'!A:A,0)&amp;":Z"&amp;MATCH($B$2,'Word Vectors'!A:A,0)),INDIRECT("'Word Vectors'!B436:Z436"))/(SQRT(SUMPRODUCT(INDIRECT("'Word Vectors'!B"&amp;MATCH($B$2,'Word Vectors'!A:A,0)&amp;":Z"&amp;MATCH($B$2,'Word Vectors'!A:A,0)),INDIRECT("'Word Vectors'!B"&amp;MATCH($B$2,'Word Vectors'!A:A,0)&amp;":Z"&amp;MATCH($B$2,'Word Vectors'!A:A,0))))*SQRT(SUMPRODUCT(INDIRECT("'Word Vectors'!B436:Z436"),INDIRECT("'Word Vectors'!B436:Z436")))))</f>
        <v/>
      </c>
      <c r="PW2">
        <f>IF(OR($B$2="",ISNA(MATCH($B$2,'Word Vectors'!A:A,0)),'Word Vectors'!A437=$B$2),"",SUMPRODUCT(INDIRECT("'Word Vectors'!B"&amp;MATCH($B$2,'Word Vectors'!A:A,0)&amp;":Z"&amp;MATCH($B$2,'Word Vectors'!A:A,0)),INDIRECT("'Word Vectors'!B437:Z437"))/(SQRT(SUMPRODUCT(INDIRECT("'Word Vectors'!B"&amp;MATCH($B$2,'Word Vectors'!A:A,0)&amp;":Z"&amp;MATCH($B$2,'Word Vectors'!A:A,0)),INDIRECT("'Word Vectors'!B"&amp;MATCH($B$2,'Word Vectors'!A:A,0)&amp;":Z"&amp;MATCH($B$2,'Word Vectors'!A:A,0))))*SQRT(SUMPRODUCT(INDIRECT("'Word Vectors'!B437:Z437"),INDIRECT("'Word Vectors'!B437:Z437")))))</f>
        <v/>
      </c>
      <c r="PX2">
        <f>IF(OR($B$2="",ISNA(MATCH($B$2,'Word Vectors'!A:A,0)),'Word Vectors'!A438=$B$2),"",SUMPRODUCT(INDIRECT("'Word Vectors'!B"&amp;MATCH($B$2,'Word Vectors'!A:A,0)&amp;":Z"&amp;MATCH($B$2,'Word Vectors'!A:A,0)),INDIRECT("'Word Vectors'!B438:Z438"))/(SQRT(SUMPRODUCT(INDIRECT("'Word Vectors'!B"&amp;MATCH($B$2,'Word Vectors'!A:A,0)&amp;":Z"&amp;MATCH($B$2,'Word Vectors'!A:A,0)),INDIRECT("'Word Vectors'!B"&amp;MATCH($B$2,'Word Vectors'!A:A,0)&amp;":Z"&amp;MATCH($B$2,'Word Vectors'!A:A,0))))*SQRT(SUMPRODUCT(INDIRECT("'Word Vectors'!B438:Z438"),INDIRECT("'Word Vectors'!B438:Z438")))))</f>
        <v/>
      </c>
      <c r="PY2">
        <f>IF(OR($B$2="",ISNA(MATCH($B$2,'Word Vectors'!A:A,0)),'Word Vectors'!A439=$B$2),"",SUMPRODUCT(INDIRECT("'Word Vectors'!B"&amp;MATCH($B$2,'Word Vectors'!A:A,0)&amp;":Z"&amp;MATCH($B$2,'Word Vectors'!A:A,0)),INDIRECT("'Word Vectors'!B439:Z439"))/(SQRT(SUMPRODUCT(INDIRECT("'Word Vectors'!B"&amp;MATCH($B$2,'Word Vectors'!A:A,0)&amp;":Z"&amp;MATCH($B$2,'Word Vectors'!A:A,0)),INDIRECT("'Word Vectors'!B"&amp;MATCH($B$2,'Word Vectors'!A:A,0)&amp;":Z"&amp;MATCH($B$2,'Word Vectors'!A:A,0))))*SQRT(SUMPRODUCT(INDIRECT("'Word Vectors'!B439:Z439"),INDIRECT("'Word Vectors'!B439:Z439")))))</f>
        <v/>
      </c>
      <c r="PZ2">
        <f>IF(OR($B$2="",ISNA(MATCH($B$2,'Word Vectors'!A:A,0)),'Word Vectors'!A440=$B$2),"",SUMPRODUCT(INDIRECT("'Word Vectors'!B"&amp;MATCH($B$2,'Word Vectors'!A:A,0)&amp;":Z"&amp;MATCH($B$2,'Word Vectors'!A:A,0)),INDIRECT("'Word Vectors'!B440:Z440"))/(SQRT(SUMPRODUCT(INDIRECT("'Word Vectors'!B"&amp;MATCH($B$2,'Word Vectors'!A:A,0)&amp;":Z"&amp;MATCH($B$2,'Word Vectors'!A:A,0)),INDIRECT("'Word Vectors'!B"&amp;MATCH($B$2,'Word Vectors'!A:A,0)&amp;":Z"&amp;MATCH($B$2,'Word Vectors'!A:A,0))))*SQRT(SUMPRODUCT(INDIRECT("'Word Vectors'!B440:Z440"),INDIRECT("'Word Vectors'!B440:Z440")))))</f>
        <v/>
      </c>
      <c r="QA2">
        <f>IF(OR($B$2="",ISNA(MATCH($B$2,'Word Vectors'!A:A,0)),'Word Vectors'!A441=$B$2),"",SUMPRODUCT(INDIRECT("'Word Vectors'!B"&amp;MATCH($B$2,'Word Vectors'!A:A,0)&amp;":Z"&amp;MATCH($B$2,'Word Vectors'!A:A,0)),INDIRECT("'Word Vectors'!B441:Z441"))/(SQRT(SUMPRODUCT(INDIRECT("'Word Vectors'!B"&amp;MATCH($B$2,'Word Vectors'!A:A,0)&amp;":Z"&amp;MATCH($B$2,'Word Vectors'!A:A,0)),INDIRECT("'Word Vectors'!B"&amp;MATCH($B$2,'Word Vectors'!A:A,0)&amp;":Z"&amp;MATCH($B$2,'Word Vectors'!A:A,0))))*SQRT(SUMPRODUCT(INDIRECT("'Word Vectors'!B441:Z441"),INDIRECT("'Word Vectors'!B441:Z441")))))</f>
        <v/>
      </c>
      <c r="QB2">
        <f>IF(OR($B$2="",ISNA(MATCH($B$2,'Word Vectors'!A:A,0)),'Word Vectors'!A442=$B$2),"",SUMPRODUCT(INDIRECT("'Word Vectors'!B"&amp;MATCH($B$2,'Word Vectors'!A:A,0)&amp;":Z"&amp;MATCH($B$2,'Word Vectors'!A:A,0)),INDIRECT("'Word Vectors'!B442:Z442"))/(SQRT(SUMPRODUCT(INDIRECT("'Word Vectors'!B"&amp;MATCH($B$2,'Word Vectors'!A:A,0)&amp;":Z"&amp;MATCH($B$2,'Word Vectors'!A:A,0)),INDIRECT("'Word Vectors'!B"&amp;MATCH($B$2,'Word Vectors'!A:A,0)&amp;":Z"&amp;MATCH($B$2,'Word Vectors'!A:A,0))))*SQRT(SUMPRODUCT(INDIRECT("'Word Vectors'!B442:Z442"),INDIRECT("'Word Vectors'!B442:Z442")))))</f>
        <v/>
      </c>
      <c r="QC2">
        <f>IF(OR($B$2="",ISNA(MATCH($B$2,'Word Vectors'!A:A,0)),'Word Vectors'!A443=$B$2),"",SUMPRODUCT(INDIRECT("'Word Vectors'!B"&amp;MATCH($B$2,'Word Vectors'!A:A,0)&amp;":Z"&amp;MATCH($B$2,'Word Vectors'!A:A,0)),INDIRECT("'Word Vectors'!B443:Z443"))/(SQRT(SUMPRODUCT(INDIRECT("'Word Vectors'!B"&amp;MATCH($B$2,'Word Vectors'!A:A,0)&amp;":Z"&amp;MATCH($B$2,'Word Vectors'!A:A,0)),INDIRECT("'Word Vectors'!B"&amp;MATCH($B$2,'Word Vectors'!A:A,0)&amp;":Z"&amp;MATCH($B$2,'Word Vectors'!A:A,0))))*SQRT(SUMPRODUCT(INDIRECT("'Word Vectors'!B443:Z443"),INDIRECT("'Word Vectors'!B443:Z443")))))</f>
        <v/>
      </c>
      <c r="QD2">
        <f>IF(OR($B$2="",ISNA(MATCH($B$2,'Word Vectors'!A:A,0)),'Word Vectors'!A444=$B$2),"",SUMPRODUCT(INDIRECT("'Word Vectors'!B"&amp;MATCH($B$2,'Word Vectors'!A:A,0)&amp;":Z"&amp;MATCH($B$2,'Word Vectors'!A:A,0)),INDIRECT("'Word Vectors'!B444:Z444"))/(SQRT(SUMPRODUCT(INDIRECT("'Word Vectors'!B"&amp;MATCH($B$2,'Word Vectors'!A:A,0)&amp;":Z"&amp;MATCH($B$2,'Word Vectors'!A:A,0)),INDIRECT("'Word Vectors'!B"&amp;MATCH($B$2,'Word Vectors'!A:A,0)&amp;":Z"&amp;MATCH($B$2,'Word Vectors'!A:A,0))))*SQRT(SUMPRODUCT(INDIRECT("'Word Vectors'!B444:Z444"),INDIRECT("'Word Vectors'!B444:Z444")))))</f>
        <v/>
      </c>
      <c r="QE2">
        <f>IF(OR($B$2="",ISNA(MATCH($B$2,'Word Vectors'!A:A,0)),'Word Vectors'!A445=$B$2),"",SUMPRODUCT(INDIRECT("'Word Vectors'!B"&amp;MATCH($B$2,'Word Vectors'!A:A,0)&amp;":Z"&amp;MATCH($B$2,'Word Vectors'!A:A,0)),INDIRECT("'Word Vectors'!B445:Z445"))/(SQRT(SUMPRODUCT(INDIRECT("'Word Vectors'!B"&amp;MATCH($B$2,'Word Vectors'!A:A,0)&amp;":Z"&amp;MATCH($B$2,'Word Vectors'!A:A,0)),INDIRECT("'Word Vectors'!B"&amp;MATCH($B$2,'Word Vectors'!A:A,0)&amp;":Z"&amp;MATCH($B$2,'Word Vectors'!A:A,0))))*SQRT(SUMPRODUCT(INDIRECT("'Word Vectors'!B445:Z445"),INDIRECT("'Word Vectors'!B445:Z445")))))</f>
        <v/>
      </c>
      <c r="QF2">
        <f>IF(OR($B$2="",ISNA(MATCH($B$2,'Word Vectors'!A:A,0)),'Word Vectors'!A446=$B$2),"",SUMPRODUCT(INDIRECT("'Word Vectors'!B"&amp;MATCH($B$2,'Word Vectors'!A:A,0)&amp;":Z"&amp;MATCH($B$2,'Word Vectors'!A:A,0)),INDIRECT("'Word Vectors'!B446:Z446"))/(SQRT(SUMPRODUCT(INDIRECT("'Word Vectors'!B"&amp;MATCH($B$2,'Word Vectors'!A:A,0)&amp;":Z"&amp;MATCH($B$2,'Word Vectors'!A:A,0)),INDIRECT("'Word Vectors'!B"&amp;MATCH($B$2,'Word Vectors'!A:A,0)&amp;":Z"&amp;MATCH($B$2,'Word Vectors'!A:A,0))))*SQRT(SUMPRODUCT(INDIRECT("'Word Vectors'!B446:Z446"),INDIRECT("'Word Vectors'!B446:Z446")))))</f>
        <v/>
      </c>
      <c r="QG2">
        <f>IF(OR($B$2="",ISNA(MATCH($B$2,'Word Vectors'!A:A,0)),'Word Vectors'!A447=$B$2),"",SUMPRODUCT(INDIRECT("'Word Vectors'!B"&amp;MATCH($B$2,'Word Vectors'!A:A,0)&amp;":Z"&amp;MATCH($B$2,'Word Vectors'!A:A,0)),INDIRECT("'Word Vectors'!B447:Z447"))/(SQRT(SUMPRODUCT(INDIRECT("'Word Vectors'!B"&amp;MATCH($B$2,'Word Vectors'!A:A,0)&amp;":Z"&amp;MATCH($B$2,'Word Vectors'!A:A,0)),INDIRECT("'Word Vectors'!B"&amp;MATCH($B$2,'Word Vectors'!A:A,0)&amp;":Z"&amp;MATCH($B$2,'Word Vectors'!A:A,0))))*SQRT(SUMPRODUCT(INDIRECT("'Word Vectors'!B447:Z447"),INDIRECT("'Word Vectors'!B447:Z447")))))</f>
        <v/>
      </c>
      <c r="QH2">
        <f>IF(OR($B$2="",ISNA(MATCH($B$2,'Word Vectors'!A:A,0)),'Word Vectors'!A448=$B$2),"",SUMPRODUCT(INDIRECT("'Word Vectors'!B"&amp;MATCH($B$2,'Word Vectors'!A:A,0)&amp;":Z"&amp;MATCH($B$2,'Word Vectors'!A:A,0)),INDIRECT("'Word Vectors'!B448:Z448"))/(SQRT(SUMPRODUCT(INDIRECT("'Word Vectors'!B"&amp;MATCH($B$2,'Word Vectors'!A:A,0)&amp;":Z"&amp;MATCH($B$2,'Word Vectors'!A:A,0)),INDIRECT("'Word Vectors'!B"&amp;MATCH($B$2,'Word Vectors'!A:A,0)&amp;":Z"&amp;MATCH($B$2,'Word Vectors'!A:A,0))))*SQRT(SUMPRODUCT(INDIRECT("'Word Vectors'!B448:Z448"),INDIRECT("'Word Vectors'!B448:Z448")))))</f>
        <v/>
      </c>
      <c r="QI2">
        <f>IF(OR($B$2="",ISNA(MATCH($B$2,'Word Vectors'!A:A,0)),'Word Vectors'!A449=$B$2),"",SUMPRODUCT(INDIRECT("'Word Vectors'!B"&amp;MATCH($B$2,'Word Vectors'!A:A,0)&amp;":Z"&amp;MATCH($B$2,'Word Vectors'!A:A,0)),INDIRECT("'Word Vectors'!B449:Z449"))/(SQRT(SUMPRODUCT(INDIRECT("'Word Vectors'!B"&amp;MATCH($B$2,'Word Vectors'!A:A,0)&amp;":Z"&amp;MATCH($B$2,'Word Vectors'!A:A,0)),INDIRECT("'Word Vectors'!B"&amp;MATCH($B$2,'Word Vectors'!A:A,0)&amp;":Z"&amp;MATCH($B$2,'Word Vectors'!A:A,0))))*SQRT(SUMPRODUCT(INDIRECT("'Word Vectors'!B449:Z449"),INDIRECT("'Word Vectors'!B449:Z449")))))</f>
        <v/>
      </c>
      <c r="QJ2">
        <f>IF(OR($B$2="",ISNA(MATCH($B$2,'Word Vectors'!A:A,0)),'Word Vectors'!A450=$B$2),"",SUMPRODUCT(INDIRECT("'Word Vectors'!B"&amp;MATCH($B$2,'Word Vectors'!A:A,0)&amp;":Z"&amp;MATCH($B$2,'Word Vectors'!A:A,0)),INDIRECT("'Word Vectors'!B450:Z450"))/(SQRT(SUMPRODUCT(INDIRECT("'Word Vectors'!B"&amp;MATCH($B$2,'Word Vectors'!A:A,0)&amp;":Z"&amp;MATCH($B$2,'Word Vectors'!A:A,0)),INDIRECT("'Word Vectors'!B"&amp;MATCH($B$2,'Word Vectors'!A:A,0)&amp;":Z"&amp;MATCH($B$2,'Word Vectors'!A:A,0))))*SQRT(SUMPRODUCT(INDIRECT("'Word Vectors'!B450:Z450"),INDIRECT("'Word Vectors'!B450:Z450")))))</f>
        <v/>
      </c>
      <c r="QK2">
        <f>IF(OR($B$2="",ISNA(MATCH($B$2,'Word Vectors'!A:A,0)),'Word Vectors'!A451=$B$2),"",SUMPRODUCT(INDIRECT("'Word Vectors'!B"&amp;MATCH($B$2,'Word Vectors'!A:A,0)&amp;":Z"&amp;MATCH($B$2,'Word Vectors'!A:A,0)),INDIRECT("'Word Vectors'!B451:Z451"))/(SQRT(SUMPRODUCT(INDIRECT("'Word Vectors'!B"&amp;MATCH($B$2,'Word Vectors'!A:A,0)&amp;":Z"&amp;MATCH($B$2,'Word Vectors'!A:A,0)),INDIRECT("'Word Vectors'!B"&amp;MATCH($B$2,'Word Vectors'!A:A,0)&amp;":Z"&amp;MATCH($B$2,'Word Vectors'!A:A,0))))*SQRT(SUMPRODUCT(INDIRECT("'Word Vectors'!B451:Z451"),INDIRECT("'Word Vectors'!B451:Z451")))))</f>
        <v/>
      </c>
      <c r="QL2">
        <f>IF(OR($B$2="",ISNA(MATCH($B$2,'Word Vectors'!A:A,0)),'Word Vectors'!A452=$B$2),"",SUMPRODUCT(INDIRECT("'Word Vectors'!B"&amp;MATCH($B$2,'Word Vectors'!A:A,0)&amp;":Z"&amp;MATCH($B$2,'Word Vectors'!A:A,0)),INDIRECT("'Word Vectors'!B452:Z452"))/(SQRT(SUMPRODUCT(INDIRECT("'Word Vectors'!B"&amp;MATCH($B$2,'Word Vectors'!A:A,0)&amp;":Z"&amp;MATCH($B$2,'Word Vectors'!A:A,0)),INDIRECT("'Word Vectors'!B"&amp;MATCH($B$2,'Word Vectors'!A:A,0)&amp;":Z"&amp;MATCH($B$2,'Word Vectors'!A:A,0))))*SQRT(SUMPRODUCT(INDIRECT("'Word Vectors'!B452:Z452"),INDIRECT("'Word Vectors'!B452:Z452")))))</f>
        <v/>
      </c>
      <c r="QM2">
        <f>IF(OR($B$2="",ISNA(MATCH($B$2,'Word Vectors'!A:A,0)),'Word Vectors'!A453=$B$2),"",SUMPRODUCT(INDIRECT("'Word Vectors'!B"&amp;MATCH($B$2,'Word Vectors'!A:A,0)&amp;":Z"&amp;MATCH($B$2,'Word Vectors'!A:A,0)),INDIRECT("'Word Vectors'!B453:Z453"))/(SQRT(SUMPRODUCT(INDIRECT("'Word Vectors'!B"&amp;MATCH($B$2,'Word Vectors'!A:A,0)&amp;":Z"&amp;MATCH($B$2,'Word Vectors'!A:A,0)),INDIRECT("'Word Vectors'!B"&amp;MATCH($B$2,'Word Vectors'!A:A,0)&amp;":Z"&amp;MATCH($B$2,'Word Vectors'!A:A,0))))*SQRT(SUMPRODUCT(INDIRECT("'Word Vectors'!B453:Z453"),INDIRECT("'Word Vectors'!B453:Z453")))))</f>
        <v/>
      </c>
      <c r="QN2">
        <f>IF(OR($B$2="",ISNA(MATCH($B$2,'Word Vectors'!A:A,0)),'Word Vectors'!A454=$B$2),"",SUMPRODUCT(INDIRECT("'Word Vectors'!B"&amp;MATCH($B$2,'Word Vectors'!A:A,0)&amp;":Z"&amp;MATCH($B$2,'Word Vectors'!A:A,0)),INDIRECT("'Word Vectors'!B454:Z454"))/(SQRT(SUMPRODUCT(INDIRECT("'Word Vectors'!B"&amp;MATCH($B$2,'Word Vectors'!A:A,0)&amp;":Z"&amp;MATCH($B$2,'Word Vectors'!A:A,0)),INDIRECT("'Word Vectors'!B"&amp;MATCH($B$2,'Word Vectors'!A:A,0)&amp;":Z"&amp;MATCH($B$2,'Word Vectors'!A:A,0))))*SQRT(SUMPRODUCT(INDIRECT("'Word Vectors'!B454:Z454"),INDIRECT("'Word Vectors'!B454:Z454")))))</f>
        <v/>
      </c>
      <c r="QO2">
        <f>IF(OR($B$2="",ISNA(MATCH($B$2,'Word Vectors'!A:A,0)),'Word Vectors'!A455=$B$2),"",SUMPRODUCT(INDIRECT("'Word Vectors'!B"&amp;MATCH($B$2,'Word Vectors'!A:A,0)&amp;":Z"&amp;MATCH($B$2,'Word Vectors'!A:A,0)),INDIRECT("'Word Vectors'!B455:Z455"))/(SQRT(SUMPRODUCT(INDIRECT("'Word Vectors'!B"&amp;MATCH($B$2,'Word Vectors'!A:A,0)&amp;":Z"&amp;MATCH($B$2,'Word Vectors'!A:A,0)),INDIRECT("'Word Vectors'!B"&amp;MATCH($B$2,'Word Vectors'!A:A,0)&amp;":Z"&amp;MATCH($B$2,'Word Vectors'!A:A,0))))*SQRT(SUMPRODUCT(INDIRECT("'Word Vectors'!B455:Z455"),INDIRECT("'Word Vectors'!B455:Z455")))))</f>
        <v/>
      </c>
      <c r="QP2">
        <f>IF(OR($B$2="",ISNA(MATCH($B$2,'Word Vectors'!A:A,0)),'Word Vectors'!A456=$B$2),"",SUMPRODUCT(INDIRECT("'Word Vectors'!B"&amp;MATCH($B$2,'Word Vectors'!A:A,0)&amp;":Z"&amp;MATCH($B$2,'Word Vectors'!A:A,0)),INDIRECT("'Word Vectors'!B456:Z456"))/(SQRT(SUMPRODUCT(INDIRECT("'Word Vectors'!B"&amp;MATCH($B$2,'Word Vectors'!A:A,0)&amp;":Z"&amp;MATCH($B$2,'Word Vectors'!A:A,0)),INDIRECT("'Word Vectors'!B"&amp;MATCH($B$2,'Word Vectors'!A:A,0)&amp;":Z"&amp;MATCH($B$2,'Word Vectors'!A:A,0))))*SQRT(SUMPRODUCT(INDIRECT("'Word Vectors'!B456:Z456"),INDIRECT("'Word Vectors'!B456:Z456")))))</f>
        <v/>
      </c>
      <c r="QQ2">
        <f>IF(OR($B$2="",ISNA(MATCH($B$2,'Word Vectors'!A:A,0)),'Word Vectors'!A457=$B$2),"",SUMPRODUCT(INDIRECT("'Word Vectors'!B"&amp;MATCH($B$2,'Word Vectors'!A:A,0)&amp;":Z"&amp;MATCH($B$2,'Word Vectors'!A:A,0)),INDIRECT("'Word Vectors'!B457:Z457"))/(SQRT(SUMPRODUCT(INDIRECT("'Word Vectors'!B"&amp;MATCH($B$2,'Word Vectors'!A:A,0)&amp;":Z"&amp;MATCH($B$2,'Word Vectors'!A:A,0)),INDIRECT("'Word Vectors'!B"&amp;MATCH($B$2,'Word Vectors'!A:A,0)&amp;":Z"&amp;MATCH($B$2,'Word Vectors'!A:A,0))))*SQRT(SUMPRODUCT(INDIRECT("'Word Vectors'!B457:Z457"),INDIRECT("'Word Vectors'!B457:Z457")))))</f>
        <v/>
      </c>
      <c r="QR2">
        <f>IF(OR($B$2="",ISNA(MATCH($B$2,'Word Vectors'!A:A,0)),'Word Vectors'!A458=$B$2),"",SUMPRODUCT(INDIRECT("'Word Vectors'!B"&amp;MATCH($B$2,'Word Vectors'!A:A,0)&amp;":Z"&amp;MATCH($B$2,'Word Vectors'!A:A,0)),INDIRECT("'Word Vectors'!B458:Z458"))/(SQRT(SUMPRODUCT(INDIRECT("'Word Vectors'!B"&amp;MATCH($B$2,'Word Vectors'!A:A,0)&amp;":Z"&amp;MATCH($B$2,'Word Vectors'!A:A,0)),INDIRECT("'Word Vectors'!B"&amp;MATCH($B$2,'Word Vectors'!A:A,0)&amp;":Z"&amp;MATCH($B$2,'Word Vectors'!A:A,0))))*SQRT(SUMPRODUCT(INDIRECT("'Word Vectors'!B458:Z458"),INDIRECT("'Word Vectors'!B458:Z458")))))</f>
        <v/>
      </c>
      <c r="QS2">
        <f>IF(OR($B$2="",ISNA(MATCH($B$2,'Word Vectors'!A:A,0)),'Word Vectors'!A459=$B$2),"",SUMPRODUCT(INDIRECT("'Word Vectors'!B"&amp;MATCH($B$2,'Word Vectors'!A:A,0)&amp;":Z"&amp;MATCH($B$2,'Word Vectors'!A:A,0)),INDIRECT("'Word Vectors'!B459:Z459"))/(SQRT(SUMPRODUCT(INDIRECT("'Word Vectors'!B"&amp;MATCH($B$2,'Word Vectors'!A:A,0)&amp;":Z"&amp;MATCH($B$2,'Word Vectors'!A:A,0)),INDIRECT("'Word Vectors'!B"&amp;MATCH($B$2,'Word Vectors'!A:A,0)&amp;":Z"&amp;MATCH($B$2,'Word Vectors'!A:A,0))))*SQRT(SUMPRODUCT(INDIRECT("'Word Vectors'!B459:Z459"),INDIRECT("'Word Vectors'!B459:Z459")))))</f>
        <v/>
      </c>
      <c r="QT2">
        <f>IF(OR($B$2="",ISNA(MATCH($B$2,'Word Vectors'!A:A,0)),'Word Vectors'!A460=$B$2),"",SUMPRODUCT(INDIRECT("'Word Vectors'!B"&amp;MATCH($B$2,'Word Vectors'!A:A,0)&amp;":Z"&amp;MATCH($B$2,'Word Vectors'!A:A,0)),INDIRECT("'Word Vectors'!B460:Z460"))/(SQRT(SUMPRODUCT(INDIRECT("'Word Vectors'!B"&amp;MATCH($B$2,'Word Vectors'!A:A,0)&amp;":Z"&amp;MATCH($B$2,'Word Vectors'!A:A,0)),INDIRECT("'Word Vectors'!B"&amp;MATCH($B$2,'Word Vectors'!A:A,0)&amp;":Z"&amp;MATCH($B$2,'Word Vectors'!A:A,0))))*SQRT(SUMPRODUCT(INDIRECT("'Word Vectors'!B460:Z460"),INDIRECT("'Word Vectors'!B460:Z460")))))</f>
        <v/>
      </c>
      <c r="QU2">
        <f>IF(OR($B$2="",ISNA(MATCH($B$2,'Word Vectors'!A:A,0)),'Word Vectors'!A461=$B$2),"",SUMPRODUCT(INDIRECT("'Word Vectors'!B"&amp;MATCH($B$2,'Word Vectors'!A:A,0)&amp;":Z"&amp;MATCH($B$2,'Word Vectors'!A:A,0)),INDIRECT("'Word Vectors'!B461:Z461"))/(SQRT(SUMPRODUCT(INDIRECT("'Word Vectors'!B"&amp;MATCH($B$2,'Word Vectors'!A:A,0)&amp;":Z"&amp;MATCH($B$2,'Word Vectors'!A:A,0)),INDIRECT("'Word Vectors'!B"&amp;MATCH($B$2,'Word Vectors'!A:A,0)&amp;":Z"&amp;MATCH($B$2,'Word Vectors'!A:A,0))))*SQRT(SUMPRODUCT(INDIRECT("'Word Vectors'!B461:Z461"),INDIRECT("'Word Vectors'!B461:Z461")))))</f>
        <v/>
      </c>
      <c r="QV2">
        <f>IF(OR($B$2="",ISNA(MATCH($B$2,'Word Vectors'!A:A,0)),'Word Vectors'!A462=$B$2),"",SUMPRODUCT(INDIRECT("'Word Vectors'!B"&amp;MATCH($B$2,'Word Vectors'!A:A,0)&amp;":Z"&amp;MATCH($B$2,'Word Vectors'!A:A,0)),INDIRECT("'Word Vectors'!B462:Z462"))/(SQRT(SUMPRODUCT(INDIRECT("'Word Vectors'!B"&amp;MATCH($B$2,'Word Vectors'!A:A,0)&amp;":Z"&amp;MATCH($B$2,'Word Vectors'!A:A,0)),INDIRECT("'Word Vectors'!B"&amp;MATCH($B$2,'Word Vectors'!A:A,0)&amp;":Z"&amp;MATCH($B$2,'Word Vectors'!A:A,0))))*SQRT(SUMPRODUCT(INDIRECT("'Word Vectors'!B462:Z462"),INDIRECT("'Word Vectors'!B462:Z462")))))</f>
        <v/>
      </c>
      <c r="QW2">
        <f>IF(OR($B$2="",ISNA(MATCH($B$2,'Word Vectors'!A:A,0)),'Word Vectors'!A463=$B$2),"",SUMPRODUCT(INDIRECT("'Word Vectors'!B"&amp;MATCH($B$2,'Word Vectors'!A:A,0)&amp;":Z"&amp;MATCH($B$2,'Word Vectors'!A:A,0)),INDIRECT("'Word Vectors'!B463:Z463"))/(SQRT(SUMPRODUCT(INDIRECT("'Word Vectors'!B"&amp;MATCH($B$2,'Word Vectors'!A:A,0)&amp;":Z"&amp;MATCH($B$2,'Word Vectors'!A:A,0)),INDIRECT("'Word Vectors'!B"&amp;MATCH($B$2,'Word Vectors'!A:A,0)&amp;":Z"&amp;MATCH($B$2,'Word Vectors'!A:A,0))))*SQRT(SUMPRODUCT(INDIRECT("'Word Vectors'!B463:Z463"),INDIRECT("'Word Vectors'!B463:Z463")))))</f>
        <v/>
      </c>
      <c r="QX2">
        <f>IF(OR($B$2="",ISNA(MATCH($B$2,'Word Vectors'!A:A,0)),'Word Vectors'!A464=$B$2),"",SUMPRODUCT(INDIRECT("'Word Vectors'!B"&amp;MATCH($B$2,'Word Vectors'!A:A,0)&amp;":Z"&amp;MATCH($B$2,'Word Vectors'!A:A,0)),INDIRECT("'Word Vectors'!B464:Z464"))/(SQRT(SUMPRODUCT(INDIRECT("'Word Vectors'!B"&amp;MATCH($B$2,'Word Vectors'!A:A,0)&amp;":Z"&amp;MATCH($B$2,'Word Vectors'!A:A,0)),INDIRECT("'Word Vectors'!B"&amp;MATCH($B$2,'Word Vectors'!A:A,0)&amp;":Z"&amp;MATCH($B$2,'Word Vectors'!A:A,0))))*SQRT(SUMPRODUCT(INDIRECT("'Word Vectors'!B464:Z464"),INDIRECT("'Word Vectors'!B464:Z464")))))</f>
        <v/>
      </c>
      <c r="QY2">
        <f>IF(OR($B$2="",ISNA(MATCH($B$2,'Word Vectors'!A:A,0)),'Word Vectors'!A465=$B$2),"",SUMPRODUCT(INDIRECT("'Word Vectors'!B"&amp;MATCH($B$2,'Word Vectors'!A:A,0)&amp;":Z"&amp;MATCH($B$2,'Word Vectors'!A:A,0)),INDIRECT("'Word Vectors'!B465:Z465"))/(SQRT(SUMPRODUCT(INDIRECT("'Word Vectors'!B"&amp;MATCH($B$2,'Word Vectors'!A:A,0)&amp;":Z"&amp;MATCH($B$2,'Word Vectors'!A:A,0)),INDIRECT("'Word Vectors'!B"&amp;MATCH($B$2,'Word Vectors'!A:A,0)&amp;":Z"&amp;MATCH($B$2,'Word Vectors'!A:A,0))))*SQRT(SUMPRODUCT(INDIRECT("'Word Vectors'!B465:Z465"),INDIRECT("'Word Vectors'!B465:Z465")))))</f>
        <v/>
      </c>
      <c r="QZ2">
        <f>IF(OR($B$2="",ISNA(MATCH($B$2,'Word Vectors'!A:A,0)),'Word Vectors'!A466=$B$2),"",SUMPRODUCT(INDIRECT("'Word Vectors'!B"&amp;MATCH($B$2,'Word Vectors'!A:A,0)&amp;":Z"&amp;MATCH($B$2,'Word Vectors'!A:A,0)),INDIRECT("'Word Vectors'!B466:Z466"))/(SQRT(SUMPRODUCT(INDIRECT("'Word Vectors'!B"&amp;MATCH($B$2,'Word Vectors'!A:A,0)&amp;":Z"&amp;MATCH($B$2,'Word Vectors'!A:A,0)),INDIRECT("'Word Vectors'!B"&amp;MATCH($B$2,'Word Vectors'!A:A,0)&amp;":Z"&amp;MATCH($B$2,'Word Vectors'!A:A,0))))*SQRT(SUMPRODUCT(INDIRECT("'Word Vectors'!B466:Z466"),INDIRECT("'Word Vectors'!B466:Z466")))))</f>
        <v/>
      </c>
      <c r="RA2">
        <f>IF(OR($B$2="",ISNA(MATCH($B$2,'Word Vectors'!A:A,0)),'Word Vectors'!A467=$B$2),"",SUMPRODUCT(INDIRECT("'Word Vectors'!B"&amp;MATCH($B$2,'Word Vectors'!A:A,0)&amp;":Z"&amp;MATCH($B$2,'Word Vectors'!A:A,0)),INDIRECT("'Word Vectors'!B467:Z467"))/(SQRT(SUMPRODUCT(INDIRECT("'Word Vectors'!B"&amp;MATCH($B$2,'Word Vectors'!A:A,0)&amp;":Z"&amp;MATCH($B$2,'Word Vectors'!A:A,0)),INDIRECT("'Word Vectors'!B"&amp;MATCH($B$2,'Word Vectors'!A:A,0)&amp;":Z"&amp;MATCH($B$2,'Word Vectors'!A:A,0))))*SQRT(SUMPRODUCT(INDIRECT("'Word Vectors'!B467:Z467"),INDIRECT("'Word Vectors'!B467:Z467")))))</f>
        <v/>
      </c>
      <c r="RB2">
        <f>IF(OR($B$2="",ISNA(MATCH($B$2,'Word Vectors'!A:A,0)),'Word Vectors'!A468=$B$2),"",SUMPRODUCT(INDIRECT("'Word Vectors'!B"&amp;MATCH($B$2,'Word Vectors'!A:A,0)&amp;":Z"&amp;MATCH($B$2,'Word Vectors'!A:A,0)),INDIRECT("'Word Vectors'!B468:Z468"))/(SQRT(SUMPRODUCT(INDIRECT("'Word Vectors'!B"&amp;MATCH($B$2,'Word Vectors'!A:A,0)&amp;":Z"&amp;MATCH($B$2,'Word Vectors'!A:A,0)),INDIRECT("'Word Vectors'!B"&amp;MATCH($B$2,'Word Vectors'!A:A,0)&amp;":Z"&amp;MATCH($B$2,'Word Vectors'!A:A,0))))*SQRT(SUMPRODUCT(INDIRECT("'Word Vectors'!B468:Z468"),INDIRECT("'Word Vectors'!B468:Z468")))))</f>
        <v/>
      </c>
      <c r="RC2">
        <f>IF(OR($B$2="",ISNA(MATCH($B$2,'Word Vectors'!A:A,0)),'Word Vectors'!A469=$B$2),"",SUMPRODUCT(INDIRECT("'Word Vectors'!B"&amp;MATCH($B$2,'Word Vectors'!A:A,0)&amp;":Z"&amp;MATCH($B$2,'Word Vectors'!A:A,0)),INDIRECT("'Word Vectors'!B469:Z469"))/(SQRT(SUMPRODUCT(INDIRECT("'Word Vectors'!B"&amp;MATCH($B$2,'Word Vectors'!A:A,0)&amp;":Z"&amp;MATCH($B$2,'Word Vectors'!A:A,0)),INDIRECT("'Word Vectors'!B"&amp;MATCH($B$2,'Word Vectors'!A:A,0)&amp;":Z"&amp;MATCH($B$2,'Word Vectors'!A:A,0))))*SQRT(SUMPRODUCT(INDIRECT("'Word Vectors'!B469:Z469"),INDIRECT("'Word Vectors'!B469:Z469")))))</f>
        <v/>
      </c>
      <c r="RD2">
        <f>IF(OR($B$2="",ISNA(MATCH($B$2,'Word Vectors'!A:A,0)),'Word Vectors'!A470=$B$2),"",SUMPRODUCT(INDIRECT("'Word Vectors'!B"&amp;MATCH($B$2,'Word Vectors'!A:A,0)&amp;":Z"&amp;MATCH($B$2,'Word Vectors'!A:A,0)),INDIRECT("'Word Vectors'!B470:Z470"))/(SQRT(SUMPRODUCT(INDIRECT("'Word Vectors'!B"&amp;MATCH($B$2,'Word Vectors'!A:A,0)&amp;":Z"&amp;MATCH($B$2,'Word Vectors'!A:A,0)),INDIRECT("'Word Vectors'!B"&amp;MATCH($B$2,'Word Vectors'!A:A,0)&amp;":Z"&amp;MATCH($B$2,'Word Vectors'!A:A,0))))*SQRT(SUMPRODUCT(INDIRECT("'Word Vectors'!B470:Z470"),INDIRECT("'Word Vectors'!B470:Z470")))))</f>
        <v/>
      </c>
      <c r="RE2">
        <f>IF(OR($B$2="",ISNA(MATCH($B$2,'Word Vectors'!A:A,0)),'Word Vectors'!A471=$B$2),"",SUMPRODUCT(INDIRECT("'Word Vectors'!B"&amp;MATCH($B$2,'Word Vectors'!A:A,0)&amp;":Z"&amp;MATCH($B$2,'Word Vectors'!A:A,0)),INDIRECT("'Word Vectors'!B471:Z471"))/(SQRT(SUMPRODUCT(INDIRECT("'Word Vectors'!B"&amp;MATCH($B$2,'Word Vectors'!A:A,0)&amp;":Z"&amp;MATCH($B$2,'Word Vectors'!A:A,0)),INDIRECT("'Word Vectors'!B"&amp;MATCH($B$2,'Word Vectors'!A:A,0)&amp;":Z"&amp;MATCH($B$2,'Word Vectors'!A:A,0))))*SQRT(SUMPRODUCT(INDIRECT("'Word Vectors'!B471:Z471"),INDIRECT("'Word Vectors'!B471:Z471")))))</f>
        <v/>
      </c>
      <c r="RF2">
        <f>IF(OR($B$2="",ISNA(MATCH($B$2,'Word Vectors'!A:A,0)),'Word Vectors'!A472=$B$2),"",SUMPRODUCT(INDIRECT("'Word Vectors'!B"&amp;MATCH($B$2,'Word Vectors'!A:A,0)&amp;":Z"&amp;MATCH($B$2,'Word Vectors'!A:A,0)),INDIRECT("'Word Vectors'!B472:Z472"))/(SQRT(SUMPRODUCT(INDIRECT("'Word Vectors'!B"&amp;MATCH($B$2,'Word Vectors'!A:A,0)&amp;":Z"&amp;MATCH($B$2,'Word Vectors'!A:A,0)),INDIRECT("'Word Vectors'!B"&amp;MATCH($B$2,'Word Vectors'!A:A,0)&amp;":Z"&amp;MATCH($B$2,'Word Vectors'!A:A,0))))*SQRT(SUMPRODUCT(INDIRECT("'Word Vectors'!B472:Z472"),INDIRECT("'Word Vectors'!B472:Z472")))))</f>
        <v/>
      </c>
      <c r="RG2">
        <f>IF(OR($B$2="",ISNA(MATCH($B$2,'Word Vectors'!A:A,0)),'Word Vectors'!A473=$B$2),"",SUMPRODUCT(INDIRECT("'Word Vectors'!B"&amp;MATCH($B$2,'Word Vectors'!A:A,0)&amp;":Z"&amp;MATCH($B$2,'Word Vectors'!A:A,0)),INDIRECT("'Word Vectors'!B473:Z473"))/(SQRT(SUMPRODUCT(INDIRECT("'Word Vectors'!B"&amp;MATCH($B$2,'Word Vectors'!A:A,0)&amp;":Z"&amp;MATCH($B$2,'Word Vectors'!A:A,0)),INDIRECT("'Word Vectors'!B"&amp;MATCH($B$2,'Word Vectors'!A:A,0)&amp;":Z"&amp;MATCH($B$2,'Word Vectors'!A:A,0))))*SQRT(SUMPRODUCT(INDIRECT("'Word Vectors'!B473:Z473"),INDIRECT("'Word Vectors'!B473:Z473")))))</f>
        <v/>
      </c>
      <c r="RH2">
        <f>IF(OR($B$2="",ISNA(MATCH($B$2,'Word Vectors'!A:A,0)),'Word Vectors'!A474=$B$2),"",SUMPRODUCT(INDIRECT("'Word Vectors'!B"&amp;MATCH($B$2,'Word Vectors'!A:A,0)&amp;":Z"&amp;MATCH($B$2,'Word Vectors'!A:A,0)),INDIRECT("'Word Vectors'!B474:Z474"))/(SQRT(SUMPRODUCT(INDIRECT("'Word Vectors'!B"&amp;MATCH($B$2,'Word Vectors'!A:A,0)&amp;":Z"&amp;MATCH($B$2,'Word Vectors'!A:A,0)),INDIRECT("'Word Vectors'!B"&amp;MATCH($B$2,'Word Vectors'!A:A,0)&amp;":Z"&amp;MATCH($B$2,'Word Vectors'!A:A,0))))*SQRT(SUMPRODUCT(INDIRECT("'Word Vectors'!B474:Z474"),INDIRECT("'Word Vectors'!B474:Z474")))))</f>
        <v/>
      </c>
      <c r="RI2">
        <f>IF(OR($B$2="",ISNA(MATCH($B$2,'Word Vectors'!A:A,0)),'Word Vectors'!A475=$B$2),"",SUMPRODUCT(INDIRECT("'Word Vectors'!B"&amp;MATCH($B$2,'Word Vectors'!A:A,0)&amp;":Z"&amp;MATCH($B$2,'Word Vectors'!A:A,0)),INDIRECT("'Word Vectors'!B475:Z475"))/(SQRT(SUMPRODUCT(INDIRECT("'Word Vectors'!B"&amp;MATCH($B$2,'Word Vectors'!A:A,0)&amp;":Z"&amp;MATCH($B$2,'Word Vectors'!A:A,0)),INDIRECT("'Word Vectors'!B"&amp;MATCH($B$2,'Word Vectors'!A:A,0)&amp;":Z"&amp;MATCH($B$2,'Word Vectors'!A:A,0))))*SQRT(SUMPRODUCT(INDIRECT("'Word Vectors'!B475:Z475"),INDIRECT("'Word Vectors'!B475:Z475")))))</f>
        <v/>
      </c>
      <c r="RJ2">
        <f>IF(OR($B$2="",ISNA(MATCH($B$2,'Word Vectors'!A:A,0)),'Word Vectors'!A476=$B$2),"",SUMPRODUCT(INDIRECT("'Word Vectors'!B"&amp;MATCH($B$2,'Word Vectors'!A:A,0)&amp;":Z"&amp;MATCH($B$2,'Word Vectors'!A:A,0)),INDIRECT("'Word Vectors'!B476:Z476"))/(SQRT(SUMPRODUCT(INDIRECT("'Word Vectors'!B"&amp;MATCH($B$2,'Word Vectors'!A:A,0)&amp;":Z"&amp;MATCH($B$2,'Word Vectors'!A:A,0)),INDIRECT("'Word Vectors'!B"&amp;MATCH($B$2,'Word Vectors'!A:A,0)&amp;":Z"&amp;MATCH($B$2,'Word Vectors'!A:A,0))))*SQRT(SUMPRODUCT(INDIRECT("'Word Vectors'!B476:Z476"),INDIRECT("'Word Vectors'!B476:Z476")))))</f>
        <v/>
      </c>
      <c r="RK2">
        <f>IF(OR($B$2="",ISNA(MATCH($B$2,'Word Vectors'!A:A,0)),'Word Vectors'!A477=$B$2),"",SUMPRODUCT(INDIRECT("'Word Vectors'!B"&amp;MATCH($B$2,'Word Vectors'!A:A,0)&amp;":Z"&amp;MATCH($B$2,'Word Vectors'!A:A,0)),INDIRECT("'Word Vectors'!B477:Z477"))/(SQRT(SUMPRODUCT(INDIRECT("'Word Vectors'!B"&amp;MATCH($B$2,'Word Vectors'!A:A,0)&amp;":Z"&amp;MATCH($B$2,'Word Vectors'!A:A,0)),INDIRECT("'Word Vectors'!B"&amp;MATCH($B$2,'Word Vectors'!A:A,0)&amp;":Z"&amp;MATCH($B$2,'Word Vectors'!A:A,0))))*SQRT(SUMPRODUCT(INDIRECT("'Word Vectors'!B477:Z477"),INDIRECT("'Word Vectors'!B477:Z477")))))</f>
        <v/>
      </c>
      <c r="RL2">
        <f>IF(OR($B$2="",ISNA(MATCH($B$2,'Word Vectors'!A:A,0)),'Word Vectors'!A478=$B$2),"",SUMPRODUCT(INDIRECT("'Word Vectors'!B"&amp;MATCH($B$2,'Word Vectors'!A:A,0)&amp;":Z"&amp;MATCH($B$2,'Word Vectors'!A:A,0)),INDIRECT("'Word Vectors'!B478:Z478"))/(SQRT(SUMPRODUCT(INDIRECT("'Word Vectors'!B"&amp;MATCH($B$2,'Word Vectors'!A:A,0)&amp;":Z"&amp;MATCH($B$2,'Word Vectors'!A:A,0)),INDIRECT("'Word Vectors'!B"&amp;MATCH($B$2,'Word Vectors'!A:A,0)&amp;":Z"&amp;MATCH($B$2,'Word Vectors'!A:A,0))))*SQRT(SUMPRODUCT(INDIRECT("'Word Vectors'!B478:Z478"),INDIRECT("'Word Vectors'!B478:Z478")))))</f>
        <v/>
      </c>
      <c r="RM2">
        <f>IF(OR($B$2="",ISNA(MATCH($B$2,'Word Vectors'!A:A,0)),'Word Vectors'!A479=$B$2),"",SUMPRODUCT(INDIRECT("'Word Vectors'!B"&amp;MATCH($B$2,'Word Vectors'!A:A,0)&amp;":Z"&amp;MATCH($B$2,'Word Vectors'!A:A,0)),INDIRECT("'Word Vectors'!B479:Z479"))/(SQRT(SUMPRODUCT(INDIRECT("'Word Vectors'!B"&amp;MATCH($B$2,'Word Vectors'!A:A,0)&amp;":Z"&amp;MATCH($B$2,'Word Vectors'!A:A,0)),INDIRECT("'Word Vectors'!B"&amp;MATCH($B$2,'Word Vectors'!A:A,0)&amp;":Z"&amp;MATCH($B$2,'Word Vectors'!A:A,0))))*SQRT(SUMPRODUCT(INDIRECT("'Word Vectors'!B479:Z479"),INDIRECT("'Word Vectors'!B479:Z479")))))</f>
        <v/>
      </c>
      <c r="RN2">
        <f>IF(OR($B$2="",ISNA(MATCH($B$2,'Word Vectors'!A:A,0)),'Word Vectors'!A480=$B$2),"",SUMPRODUCT(INDIRECT("'Word Vectors'!B"&amp;MATCH($B$2,'Word Vectors'!A:A,0)&amp;":Z"&amp;MATCH($B$2,'Word Vectors'!A:A,0)),INDIRECT("'Word Vectors'!B480:Z480"))/(SQRT(SUMPRODUCT(INDIRECT("'Word Vectors'!B"&amp;MATCH($B$2,'Word Vectors'!A:A,0)&amp;":Z"&amp;MATCH($B$2,'Word Vectors'!A:A,0)),INDIRECT("'Word Vectors'!B"&amp;MATCH($B$2,'Word Vectors'!A:A,0)&amp;":Z"&amp;MATCH($B$2,'Word Vectors'!A:A,0))))*SQRT(SUMPRODUCT(INDIRECT("'Word Vectors'!B480:Z480"),INDIRECT("'Word Vectors'!B480:Z480")))))</f>
        <v/>
      </c>
      <c r="RO2">
        <f>IF(OR($B$2="",ISNA(MATCH($B$2,'Word Vectors'!A:A,0)),'Word Vectors'!A481=$B$2),"",SUMPRODUCT(INDIRECT("'Word Vectors'!B"&amp;MATCH($B$2,'Word Vectors'!A:A,0)&amp;":Z"&amp;MATCH($B$2,'Word Vectors'!A:A,0)),INDIRECT("'Word Vectors'!B481:Z481"))/(SQRT(SUMPRODUCT(INDIRECT("'Word Vectors'!B"&amp;MATCH($B$2,'Word Vectors'!A:A,0)&amp;":Z"&amp;MATCH($B$2,'Word Vectors'!A:A,0)),INDIRECT("'Word Vectors'!B"&amp;MATCH($B$2,'Word Vectors'!A:A,0)&amp;":Z"&amp;MATCH($B$2,'Word Vectors'!A:A,0))))*SQRT(SUMPRODUCT(INDIRECT("'Word Vectors'!B481:Z481"),INDIRECT("'Word Vectors'!B481:Z481")))))</f>
        <v/>
      </c>
      <c r="RP2">
        <f>IF(OR($B$2="",ISNA(MATCH($B$2,'Word Vectors'!A:A,0)),'Word Vectors'!A482=$B$2),"",SUMPRODUCT(INDIRECT("'Word Vectors'!B"&amp;MATCH($B$2,'Word Vectors'!A:A,0)&amp;":Z"&amp;MATCH($B$2,'Word Vectors'!A:A,0)),INDIRECT("'Word Vectors'!B482:Z482"))/(SQRT(SUMPRODUCT(INDIRECT("'Word Vectors'!B"&amp;MATCH($B$2,'Word Vectors'!A:A,0)&amp;":Z"&amp;MATCH($B$2,'Word Vectors'!A:A,0)),INDIRECT("'Word Vectors'!B"&amp;MATCH($B$2,'Word Vectors'!A:A,0)&amp;":Z"&amp;MATCH($B$2,'Word Vectors'!A:A,0))))*SQRT(SUMPRODUCT(INDIRECT("'Word Vectors'!B482:Z482"),INDIRECT("'Word Vectors'!B482:Z482")))))</f>
        <v/>
      </c>
      <c r="RQ2">
        <f>IF(OR($B$2="",ISNA(MATCH($B$2,'Word Vectors'!A:A,0)),'Word Vectors'!A483=$B$2),"",SUMPRODUCT(INDIRECT("'Word Vectors'!B"&amp;MATCH($B$2,'Word Vectors'!A:A,0)&amp;":Z"&amp;MATCH($B$2,'Word Vectors'!A:A,0)),INDIRECT("'Word Vectors'!B483:Z483"))/(SQRT(SUMPRODUCT(INDIRECT("'Word Vectors'!B"&amp;MATCH($B$2,'Word Vectors'!A:A,0)&amp;":Z"&amp;MATCH($B$2,'Word Vectors'!A:A,0)),INDIRECT("'Word Vectors'!B"&amp;MATCH($B$2,'Word Vectors'!A:A,0)&amp;":Z"&amp;MATCH($B$2,'Word Vectors'!A:A,0))))*SQRT(SUMPRODUCT(INDIRECT("'Word Vectors'!B483:Z483"),INDIRECT("'Word Vectors'!B483:Z483")))))</f>
        <v/>
      </c>
      <c r="RR2">
        <f>IF(OR($B$2="",ISNA(MATCH($B$2,'Word Vectors'!A:A,0)),'Word Vectors'!A484=$B$2),"",SUMPRODUCT(INDIRECT("'Word Vectors'!B"&amp;MATCH($B$2,'Word Vectors'!A:A,0)&amp;":Z"&amp;MATCH($B$2,'Word Vectors'!A:A,0)),INDIRECT("'Word Vectors'!B484:Z484"))/(SQRT(SUMPRODUCT(INDIRECT("'Word Vectors'!B"&amp;MATCH($B$2,'Word Vectors'!A:A,0)&amp;":Z"&amp;MATCH($B$2,'Word Vectors'!A:A,0)),INDIRECT("'Word Vectors'!B"&amp;MATCH($B$2,'Word Vectors'!A:A,0)&amp;":Z"&amp;MATCH($B$2,'Word Vectors'!A:A,0))))*SQRT(SUMPRODUCT(INDIRECT("'Word Vectors'!B484:Z484"),INDIRECT("'Word Vectors'!B484:Z484")))))</f>
        <v/>
      </c>
      <c r="RS2">
        <f>IF(OR($B$2="",ISNA(MATCH($B$2,'Word Vectors'!A:A,0)),'Word Vectors'!A485=$B$2),"",SUMPRODUCT(INDIRECT("'Word Vectors'!B"&amp;MATCH($B$2,'Word Vectors'!A:A,0)&amp;":Z"&amp;MATCH($B$2,'Word Vectors'!A:A,0)),INDIRECT("'Word Vectors'!B485:Z485"))/(SQRT(SUMPRODUCT(INDIRECT("'Word Vectors'!B"&amp;MATCH($B$2,'Word Vectors'!A:A,0)&amp;":Z"&amp;MATCH($B$2,'Word Vectors'!A:A,0)),INDIRECT("'Word Vectors'!B"&amp;MATCH($B$2,'Word Vectors'!A:A,0)&amp;":Z"&amp;MATCH($B$2,'Word Vectors'!A:A,0))))*SQRT(SUMPRODUCT(INDIRECT("'Word Vectors'!B485:Z485"),INDIRECT("'Word Vectors'!B485:Z485")))))</f>
        <v/>
      </c>
      <c r="RT2">
        <f>IF(OR($B$2="",ISNA(MATCH($B$2,'Word Vectors'!A:A,0)),'Word Vectors'!A486=$B$2),"",SUMPRODUCT(INDIRECT("'Word Vectors'!B"&amp;MATCH($B$2,'Word Vectors'!A:A,0)&amp;":Z"&amp;MATCH($B$2,'Word Vectors'!A:A,0)),INDIRECT("'Word Vectors'!B486:Z486"))/(SQRT(SUMPRODUCT(INDIRECT("'Word Vectors'!B"&amp;MATCH($B$2,'Word Vectors'!A:A,0)&amp;":Z"&amp;MATCH($B$2,'Word Vectors'!A:A,0)),INDIRECT("'Word Vectors'!B"&amp;MATCH($B$2,'Word Vectors'!A:A,0)&amp;":Z"&amp;MATCH($B$2,'Word Vectors'!A:A,0))))*SQRT(SUMPRODUCT(INDIRECT("'Word Vectors'!B486:Z486"),INDIRECT("'Word Vectors'!B486:Z486")))))</f>
        <v/>
      </c>
      <c r="RU2">
        <f>IF(OR($B$2="",ISNA(MATCH($B$2,'Word Vectors'!A:A,0)),'Word Vectors'!A487=$B$2),"",SUMPRODUCT(INDIRECT("'Word Vectors'!B"&amp;MATCH($B$2,'Word Vectors'!A:A,0)&amp;":Z"&amp;MATCH($B$2,'Word Vectors'!A:A,0)),INDIRECT("'Word Vectors'!B487:Z487"))/(SQRT(SUMPRODUCT(INDIRECT("'Word Vectors'!B"&amp;MATCH($B$2,'Word Vectors'!A:A,0)&amp;":Z"&amp;MATCH($B$2,'Word Vectors'!A:A,0)),INDIRECT("'Word Vectors'!B"&amp;MATCH($B$2,'Word Vectors'!A:A,0)&amp;":Z"&amp;MATCH($B$2,'Word Vectors'!A:A,0))))*SQRT(SUMPRODUCT(INDIRECT("'Word Vectors'!B487:Z487"),INDIRECT("'Word Vectors'!B487:Z487")))))</f>
        <v/>
      </c>
      <c r="RV2">
        <f>IF(OR($B$2="",ISNA(MATCH($B$2,'Word Vectors'!A:A,0)),'Word Vectors'!A488=$B$2),"",SUMPRODUCT(INDIRECT("'Word Vectors'!B"&amp;MATCH($B$2,'Word Vectors'!A:A,0)&amp;":Z"&amp;MATCH($B$2,'Word Vectors'!A:A,0)),INDIRECT("'Word Vectors'!B488:Z488"))/(SQRT(SUMPRODUCT(INDIRECT("'Word Vectors'!B"&amp;MATCH($B$2,'Word Vectors'!A:A,0)&amp;":Z"&amp;MATCH($B$2,'Word Vectors'!A:A,0)),INDIRECT("'Word Vectors'!B"&amp;MATCH($B$2,'Word Vectors'!A:A,0)&amp;":Z"&amp;MATCH($B$2,'Word Vectors'!A:A,0))))*SQRT(SUMPRODUCT(INDIRECT("'Word Vectors'!B488:Z488"),INDIRECT("'Word Vectors'!B488:Z488")))))</f>
        <v/>
      </c>
      <c r="RW2">
        <f>IF(OR($B$2="",ISNA(MATCH($B$2,'Word Vectors'!A:A,0)),'Word Vectors'!A489=$B$2),"",SUMPRODUCT(INDIRECT("'Word Vectors'!B"&amp;MATCH($B$2,'Word Vectors'!A:A,0)&amp;":Z"&amp;MATCH($B$2,'Word Vectors'!A:A,0)),INDIRECT("'Word Vectors'!B489:Z489"))/(SQRT(SUMPRODUCT(INDIRECT("'Word Vectors'!B"&amp;MATCH($B$2,'Word Vectors'!A:A,0)&amp;":Z"&amp;MATCH($B$2,'Word Vectors'!A:A,0)),INDIRECT("'Word Vectors'!B"&amp;MATCH($B$2,'Word Vectors'!A:A,0)&amp;":Z"&amp;MATCH($B$2,'Word Vectors'!A:A,0))))*SQRT(SUMPRODUCT(INDIRECT("'Word Vectors'!B489:Z489"),INDIRECT("'Word Vectors'!B489:Z489")))))</f>
        <v/>
      </c>
      <c r="RX2">
        <f>IF(OR($B$2="",ISNA(MATCH($B$2,'Word Vectors'!A:A,0)),'Word Vectors'!A490=$B$2),"",SUMPRODUCT(INDIRECT("'Word Vectors'!B"&amp;MATCH($B$2,'Word Vectors'!A:A,0)&amp;":Z"&amp;MATCH($B$2,'Word Vectors'!A:A,0)),INDIRECT("'Word Vectors'!B490:Z490"))/(SQRT(SUMPRODUCT(INDIRECT("'Word Vectors'!B"&amp;MATCH($B$2,'Word Vectors'!A:A,0)&amp;":Z"&amp;MATCH($B$2,'Word Vectors'!A:A,0)),INDIRECT("'Word Vectors'!B"&amp;MATCH($B$2,'Word Vectors'!A:A,0)&amp;":Z"&amp;MATCH($B$2,'Word Vectors'!A:A,0))))*SQRT(SUMPRODUCT(INDIRECT("'Word Vectors'!B490:Z490"),INDIRECT("'Word Vectors'!B490:Z490")))))</f>
        <v/>
      </c>
      <c r="RY2">
        <f>IF(OR($B$2="",ISNA(MATCH($B$2,'Word Vectors'!A:A,0)),'Word Vectors'!A491=$B$2),"",SUMPRODUCT(INDIRECT("'Word Vectors'!B"&amp;MATCH($B$2,'Word Vectors'!A:A,0)&amp;":Z"&amp;MATCH($B$2,'Word Vectors'!A:A,0)),INDIRECT("'Word Vectors'!B491:Z491"))/(SQRT(SUMPRODUCT(INDIRECT("'Word Vectors'!B"&amp;MATCH($B$2,'Word Vectors'!A:A,0)&amp;":Z"&amp;MATCH($B$2,'Word Vectors'!A:A,0)),INDIRECT("'Word Vectors'!B"&amp;MATCH($B$2,'Word Vectors'!A:A,0)&amp;":Z"&amp;MATCH($B$2,'Word Vectors'!A:A,0))))*SQRT(SUMPRODUCT(INDIRECT("'Word Vectors'!B491:Z491"),INDIRECT("'Word Vectors'!B491:Z491")))))</f>
        <v/>
      </c>
      <c r="RZ2">
        <f>IF(OR($B$2="",ISNA(MATCH($B$2,'Word Vectors'!A:A,0)),'Word Vectors'!A492=$B$2),"",SUMPRODUCT(INDIRECT("'Word Vectors'!B"&amp;MATCH($B$2,'Word Vectors'!A:A,0)&amp;":Z"&amp;MATCH($B$2,'Word Vectors'!A:A,0)),INDIRECT("'Word Vectors'!B492:Z492"))/(SQRT(SUMPRODUCT(INDIRECT("'Word Vectors'!B"&amp;MATCH($B$2,'Word Vectors'!A:A,0)&amp;":Z"&amp;MATCH($B$2,'Word Vectors'!A:A,0)),INDIRECT("'Word Vectors'!B"&amp;MATCH($B$2,'Word Vectors'!A:A,0)&amp;":Z"&amp;MATCH($B$2,'Word Vectors'!A:A,0))))*SQRT(SUMPRODUCT(INDIRECT("'Word Vectors'!B492:Z492"),INDIRECT("'Word Vectors'!B492:Z492")))))</f>
        <v/>
      </c>
      <c r="SA2">
        <f>IF(OR($B$2="",ISNA(MATCH($B$2,'Word Vectors'!A:A,0)),'Word Vectors'!A493=$B$2),"",SUMPRODUCT(INDIRECT("'Word Vectors'!B"&amp;MATCH($B$2,'Word Vectors'!A:A,0)&amp;":Z"&amp;MATCH($B$2,'Word Vectors'!A:A,0)),INDIRECT("'Word Vectors'!B493:Z493"))/(SQRT(SUMPRODUCT(INDIRECT("'Word Vectors'!B"&amp;MATCH($B$2,'Word Vectors'!A:A,0)&amp;":Z"&amp;MATCH($B$2,'Word Vectors'!A:A,0)),INDIRECT("'Word Vectors'!B"&amp;MATCH($B$2,'Word Vectors'!A:A,0)&amp;":Z"&amp;MATCH($B$2,'Word Vectors'!A:A,0))))*SQRT(SUMPRODUCT(INDIRECT("'Word Vectors'!B493:Z493"),INDIRECT("'Word Vectors'!B493:Z493")))))</f>
        <v/>
      </c>
      <c r="SB2">
        <f>IF(OR($B$2="",ISNA(MATCH($B$2,'Word Vectors'!A:A,0)),'Word Vectors'!A494=$B$2),"",SUMPRODUCT(INDIRECT("'Word Vectors'!B"&amp;MATCH($B$2,'Word Vectors'!A:A,0)&amp;":Z"&amp;MATCH($B$2,'Word Vectors'!A:A,0)),INDIRECT("'Word Vectors'!B494:Z494"))/(SQRT(SUMPRODUCT(INDIRECT("'Word Vectors'!B"&amp;MATCH($B$2,'Word Vectors'!A:A,0)&amp;":Z"&amp;MATCH($B$2,'Word Vectors'!A:A,0)),INDIRECT("'Word Vectors'!B"&amp;MATCH($B$2,'Word Vectors'!A:A,0)&amp;":Z"&amp;MATCH($B$2,'Word Vectors'!A:A,0))))*SQRT(SUMPRODUCT(INDIRECT("'Word Vectors'!B494:Z494"),INDIRECT("'Word Vectors'!B494:Z494")))))</f>
        <v/>
      </c>
      <c r="SC2">
        <f>IF(OR($B$2="",ISNA(MATCH($B$2,'Word Vectors'!A:A,0)),'Word Vectors'!A495=$B$2),"",SUMPRODUCT(INDIRECT("'Word Vectors'!B"&amp;MATCH($B$2,'Word Vectors'!A:A,0)&amp;":Z"&amp;MATCH($B$2,'Word Vectors'!A:A,0)),INDIRECT("'Word Vectors'!B495:Z495"))/(SQRT(SUMPRODUCT(INDIRECT("'Word Vectors'!B"&amp;MATCH($B$2,'Word Vectors'!A:A,0)&amp;":Z"&amp;MATCH($B$2,'Word Vectors'!A:A,0)),INDIRECT("'Word Vectors'!B"&amp;MATCH($B$2,'Word Vectors'!A:A,0)&amp;":Z"&amp;MATCH($B$2,'Word Vectors'!A:A,0))))*SQRT(SUMPRODUCT(INDIRECT("'Word Vectors'!B495:Z495"),INDIRECT("'Word Vectors'!B495:Z495")))))</f>
        <v/>
      </c>
      <c r="SD2">
        <f>IF(OR($B$2="",ISNA(MATCH($B$2,'Word Vectors'!A:A,0)),'Word Vectors'!A496=$B$2),"",SUMPRODUCT(INDIRECT("'Word Vectors'!B"&amp;MATCH($B$2,'Word Vectors'!A:A,0)&amp;":Z"&amp;MATCH($B$2,'Word Vectors'!A:A,0)),INDIRECT("'Word Vectors'!B496:Z496"))/(SQRT(SUMPRODUCT(INDIRECT("'Word Vectors'!B"&amp;MATCH($B$2,'Word Vectors'!A:A,0)&amp;":Z"&amp;MATCH($B$2,'Word Vectors'!A:A,0)),INDIRECT("'Word Vectors'!B"&amp;MATCH($B$2,'Word Vectors'!A:A,0)&amp;":Z"&amp;MATCH($B$2,'Word Vectors'!A:A,0))))*SQRT(SUMPRODUCT(INDIRECT("'Word Vectors'!B496:Z496"),INDIRECT("'Word Vectors'!B496:Z496")))))</f>
        <v/>
      </c>
      <c r="SE2">
        <f>IF(OR($B$2="",ISNA(MATCH($B$2,'Word Vectors'!A:A,0)),'Word Vectors'!A497=$B$2),"",SUMPRODUCT(INDIRECT("'Word Vectors'!B"&amp;MATCH($B$2,'Word Vectors'!A:A,0)&amp;":Z"&amp;MATCH($B$2,'Word Vectors'!A:A,0)),INDIRECT("'Word Vectors'!B497:Z497"))/(SQRT(SUMPRODUCT(INDIRECT("'Word Vectors'!B"&amp;MATCH($B$2,'Word Vectors'!A:A,0)&amp;":Z"&amp;MATCH($B$2,'Word Vectors'!A:A,0)),INDIRECT("'Word Vectors'!B"&amp;MATCH($B$2,'Word Vectors'!A:A,0)&amp;":Z"&amp;MATCH($B$2,'Word Vectors'!A:A,0))))*SQRT(SUMPRODUCT(INDIRECT("'Word Vectors'!B497:Z497"),INDIRECT("'Word Vectors'!B497:Z497")))))</f>
        <v/>
      </c>
      <c r="SF2">
        <f>IF(OR($B$2="",ISNA(MATCH($B$2,'Word Vectors'!A:A,0)),'Word Vectors'!A498=$B$2),"",SUMPRODUCT(INDIRECT("'Word Vectors'!B"&amp;MATCH($B$2,'Word Vectors'!A:A,0)&amp;":Z"&amp;MATCH($B$2,'Word Vectors'!A:A,0)),INDIRECT("'Word Vectors'!B498:Z498"))/(SQRT(SUMPRODUCT(INDIRECT("'Word Vectors'!B"&amp;MATCH($B$2,'Word Vectors'!A:A,0)&amp;":Z"&amp;MATCH($B$2,'Word Vectors'!A:A,0)),INDIRECT("'Word Vectors'!B"&amp;MATCH($B$2,'Word Vectors'!A:A,0)&amp;":Z"&amp;MATCH($B$2,'Word Vectors'!A:A,0))))*SQRT(SUMPRODUCT(INDIRECT("'Word Vectors'!B498:Z498"),INDIRECT("'Word Vectors'!B498:Z498")))))</f>
        <v/>
      </c>
      <c r="SG2">
        <f>IF(OR($B$2="",ISNA(MATCH($B$2,'Word Vectors'!A:A,0)),'Word Vectors'!A499=$B$2),"",SUMPRODUCT(INDIRECT("'Word Vectors'!B"&amp;MATCH($B$2,'Word Vectors'!A:A,0)&amp;":Z"&amp;MATCH($B$2,'Word Vectors'!A:A,0)),INDIRECT("'Word Vectors'!B499:Z499"))/(SQRT(SUMPRODUCT(INDIRECT("'Word Vectors'!B"&amp;MATCH($B$2,'Word Vectors'!A:A,0)&amp;":Z"&amp;MATCH($B$2,'Word Vectors'!A:A,0)),INDIRECT("'Word Vectors'!B"&amp;MATCH($B$2,'Word Vectors'!A:A,0)&amp;":Z"&amp;MATCH($B$2,'Word Vectors'!A:A,0))))*SQRT(SUMPRODUCT(INDIRECT("'Word Vectors'!B499:Z499"),INDIRECT("'Word Vectors'!B499:Z499")))))</f>
        <v/>
      </c>
      <c r="SH2">
        <f>IF(OR($B$2="",ISNA(MATCH($B$2,'Word Vectors'!A:A,0)),'Word Vectors'!A500=$B$2),"",SUMPRODUCT(INDIRECT("'Word Vectors'!B"&amp;MATCH($B$2,'Word Vectors'!A:A,0)&amp;":Z"&amp;MATCH($B$2,'Word Vectors'!A:A,0)),INDIRECT("'Word Vectors'!B500:Z500"))/(SQRT(SUMPRODUCT(INDIRECT("'Word Vectors'!B"&amp;MATCH($B$2,'Word Vectors'!A:A,0)&amp;":Z"&amp;MATCH($B$2,'Word Vectors'!A:A,0)),INDIRECT("'Word Vectors'!B"&amp;MATCH($B$2,'Word Vectors'!A:A,0)&amp;":Z"&amp;MATCH($B$2,'Word Vectors'!A:A,0))))*SQRT(SUMPRODUCT(INDIRECT("'Word Vectors'!B500:Z500"),INDIRECT("'Word Vectors'!B500:Z500")))))</f>
        <v/>
      </c>
      <c r="SI2">
        <f>IF(OR($B$2="",ISNA(MATCH($B$2,'Word Vectors'!A:A,0)),'Word Vectors'!A501=$B$2),"",SUMPRODUCT(INDIRECT("'Word Vectors'!B"&amp;MATCH($B$2,'Word Vectors'!A:A,0)&amp;":Z"&amp;MATCH($B$2,'Word Vectors'!A:A,0)),INDIRECT("'Word Vectors'!B501:Z501"))/(SQRT(SUMPRODUCT(INDIRECT("'Word Vectors'!B"&amp;MATCH($B$2,'Word Vectors'!A:A,0)&amp;":Z"&amp;MATCH($B$2,'Word Vectors'!A:A,0)),INDIRECT("'Word Vectors'!B"&amp;MATCH($B$2,'Word Vectors'!A:A,0)&amp;":Z"&amp;MATCH($B$2,'Word Vectors'!A:A,0))))*SQRT(SUMPRODUCT(INDIRECT("'Word Vectors'!B501:Z501"),INDIRECT("'Word Vectors'!B501:Z501")))))</f>
        <v/>
      </c>
      <c r="SJ2">
        <f>IF(OR($B$2="",ISNA(MATCH($B$2,'Word Vectors'!A:A,0)),'Word Vectors'!A502=$B$2),"",SUMPRODUCT(INDIRECT("'Word Vectors'!B"&amp;MATCH($B$2,'Word Vectors'!A:A,0)&amp;":Z"&amp;MATCH($B$2,'Word Vectors'!A:A,0)),INDIRECT("'Word Vectors'!B502:Z502"))/(SQRT(SUMPRODUCT(INDIRECT("'Word Vectors'!B"&amp;MATCH($B$2,'Word Vectors'!A:A,0)&amp;":Z"&amp;MATCH($B$2,'Word Vectors'!A:A,0)),INDIRECT("'Word Vectors'!B"&amp;MATCH($B$2,'Word Vectors'!A:A,0)&amp;":Z"&amp;MATCH($B$2,'Word Vectors'!A:A,0))))*SQRT(SUMPRODUCT(INDIRECT("'Word Vectors'!B502:Z502"),INDIRECT("'Word Vectors'!B502:Z502")))))</f>
        <v/>
      </c>
      <c r="SK2">
        <f>IF(OR($B$2="",ISNA(MATCH($B$2,'Word Vectors'!A:A,0)),'Word Vectors'!A503=$B$2),"",SUMPRODUCT(INDIRECT("'Word Vectors'!B"&amp;MATCH($B$2,'Word Vectors'!A:A,0)&amp;":Z"&amp;MATCH($B$2,'Word Vectors'!A:A,0)),INDIRECT("'Word Vectors'!B503:Z503"))/(SQRT(SUMPRODUCT(INDIRECT("'Word Vectors'!B"&amp;MATCH($B$2,'Word Vectors'!A:A,0)&amp;":Z"&amp;MATCH($B$2,'Word Vectors'!A:A,0)),INDIRECT("'Word Vectors'!B"&amp;MATCH($B$2,'Word Vectors'!A:A,0)&amp;":Z"&amp;MATCH($B$2,'Word Vectors'!A:A,0))))*SQRT(SUMPRODUCT(INDIRECT("'Word Vectors'!B503:Z503"),INDIRECT("'Word Vectors'!B503:Z503")))))</f>
        <v/>
      </c>
      <c r="SL2">
        <f>IF(OR($B$2="",ISNA(MATCH($B$2,'Word Vectors'!A:A,0)),'Word Vectors'!A504=$B$2),"",SUMPRODUCT(INDIRECT("'Word Vectors'!B"&amp;MATCH($B$2,'Word Vectors'!A:A,0)&amp;":Z"&amp;MATCH($B$2,'Word Vectors'!A:A,0)),INDIRECT("'Word Vectors'!B504:Z504"))/(SQRT(SUMPRODUCT(INDIRECT("'Word Vectors'!B"&amp;MATCH($B$2,'Word Vectors'!A:A,0)&amp;":Z"&amp;MATCH($B$2,'Word Vectors'!A:A,0)),INDIRECT("'Word Vectors'!B"&amp;MATCH($B$2,'Word Vectors'!A:A,0)&amp;":Z"&amp;MATCH($B$2,'Word Vectors'!A:A,0))))*SQRT(SUMPRODUCT(INDIRECT("'Word Vectors'!B504:Z504"),INDIRECT("'Word Vectors'!B504:Z504")))))</f>
        <v/>
      </c>
      <c r="SM2">
        <f>IF(OR($B$2="",ISNA(MATCH($B$2,'Word Vectors'!A:A,0)),'Word Vectors'!A505=$B$2),"",SUMPRODUCT(INDIRECT("'Word Vectors'!B"&amp;MATCH($B$2,'Word Vectors'!A:A,0)&amp;":Z"&amp;MATCH($B$2,'Word Vectors'!A:A,0)),INDIRECT("'Word Vectors'!B505:Z505"))/(SQRT(SUMPRODUCT(INDIRECT("'Word Vectors'!B"&amp;MATCH($B$2,'Word Vectors'!A:A,0)&amp;":Z"&amp;MATCH($B$2,'Word Vectors'!A:A,0)),INDIRECT("'Word Vectors'!B"&amp;MATCH($B$2,'Word Vectors'!A:A,0)&amp;":Z"&amp;MATCH($B$2,'Word Vectors'!A:A,0))))*SQRT(SUMPRODUCT(INDIRECT("'Word Vectors'!B505:Z505"),INDIRECT("'Word Vectors'!B505:Z505")))))</f>
        <v/>
      </c>
      <c r="SN2">
        <f>IF(OR($B$2="",ISNA(MATCH($B$2,'Word Vectors'!A:A,0)),'Word Vectors'!A506=$B$2),"",SUMPRODUCT(INDIRECT("'Word Vectors'!B"&amp;MATCH($B$2,'Word Vectors'!A:A,0)&amp;":Z"&amp;MATCH($B$2,'Word Vectors'!A:A,0)),INDIRECT("'Word Vectors'!B506:Z506"))/(SQRT(SUMPRODUCT(INDIRECT("'Word Vectors'!B"&amp;MATCH($B$2,'Word Vectors'!A:A,0)&amp;":Z"&amp;MATCH($B$2,'Word Vectors'!A:A,0)),INDIRECT("'Word Vectors'!B"&amp;MATCH($B$2,'Word Vectors'!A:A,0)&amp;":Z"&amp;MATCH($B$2,'Word Vectors'!A:A,0))))*SQRT(SUMPRODUCT(INDIRECT("'Word Vectors'!B506:Z506"),INDIRECT("'Word Vectors'!B506:Z506")))))</f>
        <v/>
      </c>
      <c r="SO2">
        <f>IF(OR($B$2="",ISNA(MATCH($B$2,'Word Vectors'!A:A,0)),'Word Vectors'!A507=$B$2),"",SUMPRODUCT(INDIRECT("'Word Vectors'!B"&amp;MATCH($B$2,'Word Vectors'!A:A,0)&amp;":Z"&amp;MATCH($B$2,'Word Vectors'!A:A,0)),INDIRECT("'Word Vectors'!B507:Z507"))/(SQRT(SUMPRODUCT(INDIRECT("'Word Vectors'!B"&amp;MATCH($B$2,'Word Vectors'!A:A,0)&amp;":Z"&amp;MATCH($B$2,'Word Vectors'!A:A,0)),INDIRECT("'Word Vectors'!B"&amp;MATCH($B$2,'Word Vectors'!A:A,0)&amp;":Z"&amp;MATCH($B$2,'Word Vectors'!A:A,0))))*SQRT(SUMPRODUCT(INDIRECT("'Word Vectors'!B507:Z507"),INDIRECT("'Word Vectors'!B507:Z507")))))</f>
        <v/>
      </c>
      <c r="SP2">
        <f>IF(OR($B$2="",ISNA(MATCH($B$2,'Word Vectors'!A:A,0)),'Word Vectors'!A508=$B$2),"",SUMPRODUCT(INDIRECT("'Word Vectors'!B"&amp;MATCH($B$2,'Word Vectors'!A:A,0)&amp;":Z"&amp;MATCH($B$2,'Word Vectors'!A:A,0)),INDIRECT("'Word Vectors'!B508:Z508"))/(SQRT(SUMPRODUCT(INDIRECT("'Word Vectors'!B"&amp;MATCH($B$2,'Word Vectors'!A:A,0)&amp;":Z"&amp;MATCH($B$2,'Word Vectors'!A:A,0)),INDIRECT("'Word Vectors'!B"&amp;MATCH($B$2,'Word Vectors'!A:A,0)&amp;":Z"&amp;MATCH($B$2,'Word Vectors'!A:A,0))))*SQRT(SUMPRODUCT(INDIRECT("'Word Vectors'!B508:Z508"),INDIRECT("'Word Vectors'!B508:Z508")))))</f>
        <v/>
      </c>
      <c r="SQ2">
        <f>IF(OR($B$2="",ISNA(MATCH($B$2,'Word Vectors'!A:A,0)),'Word Vectors'!A509=$B$2),"",SUMPRODUCT(INDIRECT("'Word Vectors'!B"&amp;MATCH($B$2,'Word Vectors'!A:A,0)&amp;":Z"&amp;MATCH($B$2,'Word Vectors'!A:A,0)),INDIRECT("'Word Vectors'!B509:Z509"))/(SQRT(SUMPRODUCT(INDIRECT("'Word Vectors'!B"&amp;MATCH($B$2,'Word Vectors'!A:A,0)&amp;":Z"&amp;MATCH($B$2,'Word Vectors'!A:A,0)),INDIRECT("'Word Vectors'!B"&amp;MATCH($B$2,'Word Vectors'!A:A,0)&amp;":Z"&amp;MATCH($B$2,'Word Vectors'!A:A,0))))*SQRT(SUMPRODUCT(INDIRECT("'Word Vectors'!B509:Z509"),INDIRECT("'Word Vectors'!B509:Z509")))))</f>
        <v/>
      </c>
      <c r="SR2">
        <f>IF(OR($B$2="",ISNA(MATCH($B$2,'Word Vectors'!A:A,0)),'Word Vectors'!A510=$B$2),"",SUMPRODUCT(INDIRECT("'Word Vectors'!B"&amp;MATCH($B$2,'Word Vectors'!A:A,0)&amp;":Z"&amp;MATCH($B$2,'Word Vectors'!A:A,0)),INDIRECT("'Word Vectors'!B510:Z510"))/(SQRT(SUMPRODUCT(INDIRECT("'Word Vectors'!B"&amp;MATCH($B$2,'Word Vectors'!A:A,0)&amp;":Z"&amp;MATCH($B$2,'Word Vectors'!A:A,0)),INDIRECT("'Word Vectors'!B"&amp;MATCH($B$2,'Word Vectors'!A:A,0)&amp;":Z"&amp;MATCH($B$2,'Word Vectors'!A:A,0))))*SQRT(SUMPRODUCT(INDIRECT("'Word Vectors'!B510:Z510"),INDIRECT("'Word Vectors'!B510:Z510")))))</f>
        <v/>
      </c>
      <c r="SS2">
        <f>IF(OR($B$2="",ISNA(MATCH($B$2,'Word Vectors'!A:A,0)),'Word Vectors'!A511=$B$2),"",SUMPRODUCT(INDIRECT("'Word Vectors'!B"&amp;MATCH($B$2,'Word Vectors'!A:A,0)&amp;":Z"&amp;MATCH($B$2,'Word Vectors'!A:A,0)),INDIRECT("'Word Vectors'!B511:Z511"))/(SQRT(SUMPRODUCT(INDIRECT("'Word Vectors'!B"&amp;MATCH($B$2,'Word Vectors'!A:A,0)&amp;":Z"&amp;MATCH($B$2,'Word Vectors'!A:A,0)),INDIRECT("'Word Vectors'!B"&amp;MATCH($B$2,'Word Vectors'!A:A,0)&amp;":Z"&amp;MATCH($B$2,'Word Vectors'!A:A,0))))*SQRT(SUMPRODUCT(INDIRECT("'Word Vectors'!B511:Z511"),INDIRECT("'Word Vectors'!B511:Z511")))))</f>
        <v/>
      </c>
      <c r="ST2">
        <f>IF(OR($B$2="",ISNA(MATCH($B$2,'Word Vectors'!A:A,0)),'Word Vectors'!A512=$B$2),"",SUMPRODUCT(INDIRECT("'Word Vectors'!B"&amp;MATCH($B$2,'Word Vectors'!A:A,0)&amp;":Z"&amp;MATCH($B$2,'Word Vectors'!A:A,0)),INDIRECT("'Word Vectors'!B512:Z512"))/(SQRT(SUMPRODUCT(INDIRECT("'Word Vectors'!B"&amp;MATCH($B$2,'Word Vectors'!A:A,0)&amp;":Z"&amp;MATCH($B$2,'Word Vectors'!A:A,0)),INDIRECT("'Word Vectors'!B"&amp;MATCH($B$2,'Word Vectors'!A:A,0)&amp;":Z"&amp;MATCH($B$2,'Word Vectors'!A:A,0))))*SQRT(SUMPRODUCT(INDIRECT("'Word Vectors'!B512:Z512"),INDIRECT("'Word Vectors'!B512:Z512")))))</f>
        <v/>
      </c>
      <c r="SU2">
        <f>IF(OR($B$2="",ISNA(MATCH($B$2,'Word Vectors'!A:A,0)),'Word Vectors'!A513=$B$2),"",SUMPRODUCT(INDIRECT("'Word Vectors'!B"&amp;MATCH($B$2,'Word Vectors'!A:A,0)&amp;":Z"&amp;MATCH($B$2,'Word Vectors'!A:A,0)),INDIRECT("'Word Vectors'!B513:Z513"))/(SQRT(SUMPRODUCT(INDIRECT("'Word Vectors'!B"&amp;MATCH($B$2,'Word Vectors'!A:A,0)&amp;":Z"&amp;MATCH($B$2,'Word Vectors'!A:A,0)),INDIRECT("'Word Vectors'!B"&amp;MATCH($B$2,'Word Vectors'!A:A,0)&amp;":Z"&amp;MATCH($B$2,'Word Vectors'!A:A,0))))*SQRT(SUMPRODUCT(INDIRECT("'Word Vectors'!B513:Z513"),INDIRECT("'Word Vectors'!B513:Z513")))))</f>
        <v/>
      </c>
      <c r="SV2">
        <f>IF(OR($B$2="",ISNA(MATCH($B$2,'Word Vectors'!A:A,0)),'Word Vectors'!A514=$B$2),"",SUMPRODUCT(INDIRECT("'Word Vectors'!B"&amp;MATCH($B$2,'Word Vectors'!A:A,0)&amp;":Z"&amp;MATCH($B$2,'Word Vectors'!A:A,0)),INDIRECT("'Word Vectors'!B514:Z514"))/(SQRT(SUMPRODUCT(INDIRECT("'Word Vectors'!B"&amp;MATCH($B$2,'Word Vectors'!A:A,0)&amp;":Z"&amp;MATCH($B$2,'Word Vectors'!A:A,0)),INDIRECT("'Word Vectors'!B"&amp;MATCH($B$2,'Word Vectors'!A:A,0)&amp;":Z"&amp;MATCH($B$2,'Word Vectors'!A:A,0))))*SQRT(SUMPRODUCT(INDIRECT("'Word Vectors'!B514:Z514"),INDIRECT("'Word Vectors'!B514:Z514")))))</f>
        <v/>
      </c>
      <c r="SW2">
        <f>IF(OR($B$2="",ISNA(MATCH($B$2,'Word Vectors'!A:A,0)),'Word Vectors'!A515=$B$2),"",SUMPRODUCT(INDIRECT("'Word Vectors'!B"&amp;MATCH($B$2,'Word Vectors'!A:A,0)&amp;":Z"&amp;MATCH($B$2,'Word Vectors'!A:A,0)),INDIRECT("'Word Vectors'!B515:Z515"))/(SQRT(SUMPRODUCT(INDIRECT("'Word Vectors'!B"&amp;MATCH($B$2,'Word Vectors'!A:A,0)&amp;":Z"&amp;MATCH($B$2,'Word Vectors'!A:A,0)),INDIRECT("'Word Vectors'!B"&amp;MATCH($B$2,'Word Vectors'!A:A,0)&amp;":Z"&amp;MATCH($B$2,'Word Vectors'!A:A,0))))*SQRT(SUMPRODUCT(INDIRECT("'Word Vectors'!B515:Z515"),INDIRECT("'Word Vectors'!B515:Z515")))))</f>
        <v/>
      </c>
      <c r="SX2">
        <f>IF(OR($B$2="",ISNA(MATCH($B$2,'Word Vectors'!A:A,0)),'Word Vectors'!A516=$B$2),"",SUMPRODUCT(INDIRECT("'Word Vectors'!B"&amp;MATCH($B$2,'Word Vectors'!A:A,0)&amp;":Z"&amp;MATCH($B$2,'Word Vectors'!A:A,0)),INDIRECT("'Word Vectors'!B516:Z516"))/(SQRT(SUMPRODUCT(INDIRECT("'Word Vectors'!B"&amp;MATCH($B$2,'Word Vectors'!A:A,0)&amp;":Z"&amp;MATCH($B$2,'Word Vectors'!A:A,0)),INDIRECT("'Word Vectors'!B"&amp;MATCH($B$2,'Word Vectors'!A:A,0)&amp;":Z"&amp;MATCH($B$2,'Word Vectors'!A:A,0))))*SQRT(SUMPRODUCT(INDIRECT("'Word Vectors'!B516:Z516"),INDIRECT("'Word Vectors'!B516:Z516")))))</f>
        <v/>
      </c>
      <c r="SY2">
        <f>IF(OR($B$2="",ISNA(MATCH($B$2,'Word Vectors'!A:A,0)),'Word Vectors'!A517=$B$2),"",SUMPRODUCT(INDIRECT("'Word Vectors'!B"&amp;MATCH($B$2,'Word Vectors'!A:A,0)&amp;":Z"&amp;MATCH($B$2,'Word Vectors'!A:A,0)),INDIRECT("'Word Vectors'!B517:Z517"))/(SQRT(SUMPRODUCT(INDIRECT("'Word Vectors'!B"&amp;MATCH($B$2,'Word Vectors'!A:A,0)&amp;":Z"&amp;MATCH($B$2,'Word Vectors'!A:A,0)),INDIRECT("'Word Vectors'!B"&amp;MATCH($B$2,'Word Vectors'!A:A,0)&amp;":Z"&amp;MATCH($B$2,'Word Vectors'!A:A,0))))*SQRT(SUMPRODUCT(INDIRECT("'Word Vectors'!B517:Z517"),INDIRECT("'Word Vectors'!B517:Z517")))))</f>
        <v/>
      </c>
      <c r="SZ2">
        <f>IF(OR($B$2="",ISNA(MATCH($B$2,'Word Vectors'!A:A,0)),'Word Vectors'!A518=$B$2),"",SUMPRODUCT(INDIRECT("'Word Vectors'!B"&amp;MATCH($B$2,'Word Vectors'!A:A,0)&amp;":Z"&amp;MATCH($B$2,'Word Vectors'!A:A,0)),INDIRECT("'Word Vectors'!B518:Z518"))/(SQRT(SUMPRODUCT(INDIRECT("'Word Vectors'!B"&amp;MATCH($B$2,'Word Vectors'!A:A,0)&amp;":Z"&amp;MATCH($B$2,'Word Vectors'!A:A,0)),INDIRECT("'Word Vectors'!B"&amp;MATCH($B$2,'Word Vectors'!A:A,0)&amp;":Z"&amp;MATCH($B$2,'Word Vectors'!A:A,0))))*SQRT(SUMPRODUCT(INDIRECT("'Word Vectors'!B518:Z518"),INDIRECT("'Word Vectors'!B518:Z518")))))</f>
        <v/>
      </c>
      <c r="TA2">
        <f>IF(OR($B$2="",ISNA(MATCH($B$2,'Word Vectors'!A:A,0)),'Word Vectors'!A519=$B$2),"",SUMPRODUCT(INDIRECT("'Word Vectors'!B"&amp;MATCH($B$2,'Word Vectors'!A:A,0)&amp;":Z"&amp;MATCH($B$2,'Word Vectors'!A:A,0)),INDIRECT("'Word Vectors'!B519:Z519"))/(SQRT(SUMPRODUCT(INDIRECT("'Word Vectors'!B"&amp;MATCH($B$2,'Word Vectors'!A:A,0)&amp;":Z"&amp;MATCH($B$2,'Word Vectors'!A:A,0)),INDIRECT("'Word Vectors'!B"&amp;MATCH($B$2,'Word Vectors'!A:A,0)&amp;":Z"&amp;MATCH($B$2,'Word Vectors'!A:A,0))))*SQRT(SUMPRODUCT(INDIRECT("'Word Vectors'!B519:Z519"),INDIRECT("'Word Vectors'!B519:Z519")))))</f>
        <v/>
      </c>
      <c r="TB2">
        <f>IF(OR($B$2="",ISNA(MATCH($B$2,'Word Vectors'!A:A,0)),'Word Vectors'!A520=$B$2),"",SUMPRODUCT(INDIRECT("'Word Vectors'!B"&amp;MATCH($B$2,'Word Vectors'!A:A,0)&amp;":Z"&amp;MATCH($B$2,'Word Vectors'!A:A,0)),INDIRECT("'Word Vectors'!B520:Z520"))/(SQRT(SUMPRODUCT(INDIRECT("'Word Vectors'!B"&amp;MATCH($B$2,'Word Vectors'!A:A,0)&amp;":Z"&amp;MATCH($B$2,'Word Vectors'!A:A,0)),INDIRECT("'Word Vectors'!B"&amp;MATCH($B$2,'Word Vectors'!A:A,0)&amp;":Z"&amp;MATCH($B$2,'Word Vectors'!A:A,0))))*SQRT(SUMPRODUCT(INDIRECT("'Word Vectors'!B520:Z520"),INDIRECT("'Word Vectors'!B520:Z520")))))</f>
        <v/>
      </c>
      <c r="TC2">
        <f>IF(OR($B$2="",ISNA(MATCH($B$2,'Word Vectors'!A:A,0)),'Word Vectors'!A521=$B$2),"",SUMPRODUCT(INDIRECT("'Word Vectors'!B"&amp;MATCH($B$2,'Word Vectors'!A:A,0)&amp;":Z"&amp;MATCH($B$2,'Word Vectors'!A:A,0)),INDIRECT("'Word Vectors'!B521:Z521"))/(SQRT(SUMPRODUCT(INDIRECT("'Word Vectors'!B"&amp;MATCH($B$2,'Word Vectors'!A:A,0)&amp;":Z"&amp;MATCH($B$2,'Word Vectors'!A:A,0)),INDIRECT("'Word Vectors'!B"&amp;MATCH($B$2,'Word Vectors'!A:A,0)&amp;":Z"&amp;MATCH($B$2,'Word Vectors'!A:A,0))))*SQRT(SUMPRODUCT(INDIRECT("'Word Vectors'!B521:Z521"),INDIRECT("'Word Vectors'!B521:Z521")))))</f>
        <v/>
      </c>
      <c r="TD2">
        <f>IF(OR($B$2="",ISNA(MATCH($B$2,'Word Vectors'!A:A,0)),'Word Vectors'!A522=$B$2),"",SUMPRODUCT(INDIRECT("'Word Vectors'!B"&amp;MATCH($B$2,'Word Vectors'!A:A,0)&amp;":Z"&amp;MATCH($B$2,'Word Vectors'!A:A,0)),INDIRECT("'Word Vectors'!B522:Z522"))/(SQRT(SUMPRODUCT(INDIRECT("'Word Vectors'!B"&amp;MATCH($B$2,'Word Vectors'!A:A,0)&amp;":Z"&amp;MATCH($B$2,'Word Vectors'!A:A,0)),INDIRECT("'Word Vectors'!B"&amp;MATCH($B$2,'Word Vectors'!A:A,0)&amp;":Z"&amp;MATCH($B$2,'Word Vectors'!A:A,0))))*SQRT(SUMPRODUCT(INDIRECT("'Word Vectors'!B522:Z522"),INDIRECT("'Word Vectors'!B522:Z522")))))</f>
        <v/>
      </c>
      <c r="TE2">
        <f>IF(OR($B$2="",ISNA(MATCH($B$2,'Word Vectors'!A:A,0)),'Word Vectors'!A523=$B$2),"",SUMPRODUCT(INDIRECT("'Word Vectors'!B"&amp;MATCH($B$2,'Word Vectors'!A:A,0)&amp;":Z"&amp;MATCH($B$2,'Word Vectors'!A:A,0)),INDIRECT("'Word Vectors'!B523:Z523"))/(SQRT(SUMPRODUCT(INDIRECT("'Word Vectors'!B"&amp;MATCH($B$2,'Word Vectors'!A:A,0)&amp;":Z"&amp;MATCH($B$2,'Word Vectors'!A:A,0)),INDIRECT("'Word Vectors'!B"&amp;MATCH($B$2,'Word Vectors'!A:A,0)&amp;":Z"&amp;MATCH($B$2,'Word Vectors'!A:A,0))))*SQRT(SUMPRODUCT(INDIRECT("'Word Vectors'!B523:Z523"),INDIRECT("'Word Vectors'!B523:Z523")))))</f>
        <v/>
      </c>
      <c r="TF2">
        <f>IF(OR($B$2="",ISNA(MATCH($B$2,'Word Vectors'!A:A,0)),'Word Vectors'!A524=$B$2),"",SUMPRODUCT(INDIRECT("'Word Vectors'!B"&amp;MATCH($B$2,'Word Vectors'!A:A,0)&amp;":Z"&amp;MATCH($B$2,'Word Vectors'!A:A,0)),INDIRECT("'Word Vectors'!B524:Z524"))/(SQRT(SUMPRODUCT(INDIRECT("'Word Vectors'!B"&amp;MATCH($B$2,'Word Vectors'!A:A,0)&amp;":Z"&amp;MATCH($B$2,'Word Vectors'!A:A,0)),INDIRECT("'Word Vectors'!B"&amp;MATCH($B$2,'Word Vectors'!A:A,0)&amp;":Z"&amp;MATCH($B$2,'Word Vectors'!A:A,0))))*SQRT(SUMPRODUCT(INDIRECT("'Word Vectors'!B524:Z524"),INDIRECT("'Word Vectors'!B524:Z524")))))</f>
        <v/>
      </c>
      <c r="TG2">
        <f>IF(OR($B$2="",ISNA(MATCH($B$2,'Word Vectors'!A:A,0)),'Word Vectors'!A525=$B$2),"",SUMPRODUCT(INDIRECT("'Word Vectors'!B"&amp;MATCH($B$2,'Word Vectors'!A:A,0)&amp;":Z"&amp;MATCH($B$2,'Word Vectors'!A:A,0)),INDIRECT("'Word Vectors'!B525:Z525"))/(SQRT(SUMPRODUCT(INDIRECT("'Word Vectors'!B"&amp;MATCH($B$2,'Word Vectors'!A:A,0)&amp;":Z"&amp;MATCH($B$2,'Word Vectors'!A:A,0)),INDIRECT("'Word Vectors'!B"&amp;MATCH($B$2,'Word Vectors'!A:A,0)&amp;":Z"&amp;MATCH($B$2,'Word Vectors'!A:A,0))))*SQRT(SUMPRODUCT(INDIRECT("'Word Vectors'!B525:Z525"),INDIRECT("'Word Vectors'!B525:Z525")))))</f>
        <v/>
      </c>
      <c r="TH2">
        <f>IF(OR($B$2="",ISNA(MATCH($B$2,'Word Vectors'!A:A,0)),'Word Vectors'!A526=$B$2),"",SUMPRODUCT(INDIRECT("'Word Vectors'!B"&amp;MATCH($B$2,'Word Vectors'!A:A,0)&amp;":Z"&amp;MATCH($B$2,'Word Vectors'!A:A,0)),INDIRECT("'Word Vectors'!B526:Z526"))/(SQRT(SUMPRODUCT(INDIRECT("'Word Vectors'!B"&amp;MATCH($B$2,'Word Vectors'!A:A,0)&amp;":Z"&amp;MATCH($B$2,'Word Vectors'!A:A,0)),INDIRECT("'Word Vectors'!B"&amp;MATCH($B$2,'Word Vectors'!A:A,0)&amp;":Z"&amp;MATCH($B$2,'Word Vectors'!A:A,0))))*SQRT(SUMPRODUCT(INDIRECT("'Word Vectors'!B526:Z526"),INDIRECT("'Word Vectors'!B526:Z526")))))</f>
        <v/>
      </c>
      <c r="TI2">
        <f>IF(OR($B$2="",ISNA(MATCH($B$2,'Word Vectors'!A:A,0)),'Word Vectors'!A527=$B$2),"",SUMPRODUCT(INDIRECT("'Word Vectors'!B"&amp;MATCH($B$2,'Word Vectors'!A:A,0)&amp;":Z"&amp;MATCH($B$2,'Word Vectors'!A:A,0)),INDIRECT("'Word Vectors'!B527:Z527"))/(SQRT(SUMPRODUCT(INDIRECT("'Word Vectors'!B"&amp;MATCH($B$2,'Word Vectors'!A:A,0)&amp;":Z"&amp;MATCH($B$2,'Word Vectors'!A:A,0)),INDIRECT("'Word Vectors'!B"&amp;MATCH($B$2,'Word Vectors'!A:A,0)&amp;":Z"&amp;MATCH($B$2,'Word Vectors'!A:A,0))))*SQRT(SUMPRODUCT(INDIRECT("'Word Vectors'!B527:Z527"),INDIRECT("'Word Vectors'!B527:Z527")))))</f>
        <v/>
      </c>
      <c r="TJ2">
        <f>IF(OR($B$2="",ISNA(MATCH($B$2,'Word Vectors'!A:A,0)),'Word Vectors'!A528=$B$2),"",SUMPRODUCT(INDIRECT("'Word Vectors'!B"&amp;MATCH($B$2,'Word Vectors'!A:A,0)&amp;":Z"&amp;MATCH($B$2,'Word Vectors'!A:A,0)),INDIRECT("'Word Vectors'!B528:Z528"))/(SQRT(SUMPRODUCT(INDIRECT("'Word Vectors'!B"&amp;MATCH($B$2,'Word Vectors'!A:A,0)&amp;":Z"&amp;MATCH($B$2,'Word Vectors'!A:A,0)),INDIRECT("'Word Vectors'!B"&amp;MATCH($B$2,'Word Vectors'!A:A,0)&amp;":Z"&amp;MATCH($B$2,'Word Vectors'!A:A,0))))*SQRT(SUMPRODUCT(INDIRECT("'Word Vectors'!B528:Z528"),INDIRECT("'Word Vectors'!B528:Z528")))))</f>
        <v/>
      </c>
      <c r="TK2">
        <f>IF(OR($B$2="",ISNA(MATCH($B$2,'Word Vectors'!A:A,0)),'Word Vectors'!A529=$B$2),"",SUMPRODUCT(INDIRECT("'Word Vectors'!B"&amp;MATCH($B$2,'Word Vectors'!A:A,0)&amp;":Z"&amp;MATCH($B$2,'Word Vectors'!A:A,0)),INDIRECT("'Word Vectors'!B529:Z529"))/(SQRT(SUMPRODUCT(INDIRECT("'Word Vectors'!B"&amp;MATCH($B$2,'Word Vectors'!A:A,0)&amp;":Z"&amp;MATCH($B$2,'Word Vectors'!A:A,0)),INDIRECT("'Word Vectors'!B"&amp;MATCH($B$2,'Word Vectors'!A:A,0)&amp;":Z"&amp;MATCH($B$2,'Word Vectors'!A:A,0))))*SQRT(SUMPRODUCT(INDIRECT("'Word Vectors'!B529:Z529"),INDIRECT("'Word Vectors'!B529:Z529")))))</f>
        <v/>
      </c>
      <c r="TL2">
        <f>IF(OR($B$2="",ISNA(MATCH($B$2,'Word Vectors'!A:A,0)),'Word Vectors'!A530=$B$2),"",SUMPRODUCT(INDIRECT("'Word Vectors'!B"&amp;MATCH($B$2,'Word Vectors'!A:A,0)&amp;":Z"&amp;MATCH($B$2,'Word Vectors'!A:A,0)),INDIRECT("'Word Vectors'!B530:Z530"))/(SQRT(SUMPRODUCT(INDIRECT("'Word Vectors'!B"&amp;MATCH($B$2,'Word Vectors'!A:A,0)&amp;":Z"&amp;MATCH($B$2,'Word Vectors'!A:A,0)),INDIRECT("'Word Vectors'!B"&amp;MATCH($B$2,'Word Vectors'!A:A,0)&amp;":Z"&amp;MATCH($B$2,'Word Vectors'!A:A,0))))*SQRT(SUMPRODUCT(INDIRECT("'Word Vectors'!B530:Z530"),INDIRECT("'Word Vectors'!B530:Z530")))))</f>
        <v/>
      </c>
      <c r="TM2">
        <f>IF(OR($B$2="",ISNA(MATCH($B$2,'Word Vectors'!A:A,0)),'Word Vectors'!A531=$B$2),"",SUMPRODUCT(INDIRECT("'Word Vectors'!B"&amp;MATCH($B$2,'Word Vectors'!A:A,0)&amp;":Z"&amp;MATCH($B$2,'Word Vectors'!A:A,0)),INDIRECT("'Word Vectors'!B531:Z531"))/(SQRT(SUMPRODUCT(INDIRECT("'Word Vectors'!B"&amp;MATCH($B$2,'Word Vectors'!A:A,0)&amp;":Z"&amp;MATCH($B$2,'Word Vectors'!A:A,0)),INDIRECT("'Word Vectors'!B"&amp;MATCH($B$2,'Word Vectors'!A:A,0)&amp;":Z"&amp;MATCH($B$2,'Word Vectors'!A:A,0))))*SQRT(SUMPRODUCT(INDIRECT("'Word Vectors'!B531:Z531"),INDIRECT("'Word Vectors'!B531:Z531")))))</f>
        <v/>
      </c>
      <c r="TN2">
        <f>IF(OR($B$2="",ISNA(MATCH($B$2,'Word Vectors'!A:A,0)),'Word Vectors'!A532=$B$2),"",SUMPRODUCT(INDIRECT("'Word Vectors'!B"&amp;MATCH($B$2,'Word Vectors'!A:A,0)&amp;":Z"&amp;MATCH($B$2,'Word Vectors'!A:A,0)),INDIRECT("'Word Vectors'!B532:Z532"))/(SQRT(SUMPRODUCT(INDIRECT("'Word Vectors'!B"&amp;MATCH($B$2,'Word Vectors'!A:A,0)&amp;":Z"&amp;MATCH($B$2,'Word Vectors'!A:A,0)),INDIRECT("'Word Vectors'!B"&amp;MATCH($B$2,'Word Vectors'!A:A,0)&amp;":Z"&amp;MATCH($B$2,'Word Vectors'!A:A,0))))*SQRT(SUMPRODUCT(INDIRECT("'Word Vectors'!B532:Z532"),INDIRECT("'Word Vectors'!B532:Z532")))))</f>
        <v/>
      </c>
      <c r="TO2">
        <f>IF(OR($B$2="",ISNA(MATCH($B$2,'Word Vectors'!A:A,0)),'Word Vectors'!A533=$B$2),"",SUMPRODUCT(INDIRECT("'Word Vectors'!B"&amp;MATCH($B$2,'Word Vectors'!A:A,0)&amp;":Z"&amp;MATCH($B$2,'Word Vectors'!A:A,0)),INDIRECT("'Word Vectors'!B533:Z533"))/(SQRT(SUMPRODUCT(INDIRECT("'Word Vectors'!B"&amp;MATCH($B$2,'Word Vectors'!A:A,0)&amp;":Z"&amp;MATCH($B$2,'Word Vectors'!A:A,0)),INDIRECT("'Word Vectors'!B"&amp;MATCH($B$2,'Word Vectors'!A:A,0)&amp;":Z"&amp;MATCH($B$2,'Word Vectors'!A:A,0))))*SQRT(SUMPRODUCT(INDIRECT("'Word Vectors'!B533:Z533"),INDIRECT("'Word Vectors'!B533:Z533")))))</f>
        <v/>
      </c>
      <c r="TP2">
        <f>IF(OR($B$2="",ISNA(MATCH($B$2,'Word Vectors'!A:A,0)),'Word Vectors'!A534=$B$2),"",SUMPRODUCT(INDIRECT("'Word Vectors'!B"&amp;MATCH($B$2,'Word Vectors'!A:A,0)&amp;":Z"&amp;MATCH($B$2,'Word Vectors'!A:A,0)),INDIRECT("'Word Vectors'!B534:Z534"))/(SQRT(SUMPRODUCT(INDIRECT("'Word Vectors'!B"&amp;MATCH($B$2,'Word Vectors'!A:A,0)&amp;":Z"&amp;MATCH($B$2,'Word Vectors'!A:A,0)),INDIRECT("'Word Vectors'!B"&amp;MATCH($B$2,'Word Vectors'!A:A,0)&amp;":Z"&amp;MATCH($B$2,'Word Vectors'!A:A,0))))*SQRT(SUMPRODUCT(INDIRECT("'Word Vectors'!B534:Z534"),INDIRECT("'Word Vectors'!B534:Z534")))))</f>
        <v/>
      </c>
      <c r="TQ2">
        <f>IF(OR($B$2="",ISNA(MATCH($B$2,'Word Vectors'!A:A,0)),'Word Vectors'!A535=$B$2),"",SUMPRODUCT(INDIRECT("'Word Vectors'!B"&amp;MATCH($B$2,'Word Vectors'!A:A,0)&amp;":Z"&amp;MATCH($B$2,'Word Vectors'!A:A,0)),INDIRECT("'Word Vectors'!B535:Z535"))/(SQRT(SUMPRODUCT(INDIRECT("'Word Vectors'!B"&amp;MATCH($B$2,'Word Vectors'!A:A,0)&amp;":Z"&amp;MATCH($B$2,'Word Vectors'!A:A,0)),INDIRECT("'Word Vectors'!B"&amp;MATCH($B$2,'Word Vectors'!A:A,0)&amp;":Z"&amp;MATCH($B$2,'Word Vectors'!A:A,0))))*SQRT(SUMPRODUCT(INDIRECT("'Word Vectors'!B535:Z535"),INDIRECT("'Word Vectors'!B535:Z535")))))</f>
        <v/>
      </c>
      <c r="TR2">
        <f>IF(OR($B$2="",ISNA(MATCH($B$2,'Word Vectors'!A:A,0)),'Word Vectors'!A536=$B$2),"",SUMPRODUCT(INDIRECT("'Word Vectors'!B"&amp;MATCH($B$2,'Word Vectors'!A:A,0)&amp;":Z"&amp;MATCH($B$2,'Word Vectors'!A:A,0)),INDIRECT("'Word Vectors'!B536:Z536"))/(SQRT(SUMPRODUCT(INDIRECT("'Word Vectors'!B"&amp;MATCH($B$2,'Word Vectors'!A:A,0)&amp;":Z"&amp;MATCH($B$2,'Word Vectors'!A:A,0)),INDIRECT("'Word Vectors'!B"&amp;MATCH($B$2,'Word Vectors'!A:A,0)&amp;":Z"&amp;MATCH($B$2,'Word Vectors'!A:A,0))))*SQRT(SUMPRODUCT(INDIRECT("'Word Vectors'!B536:Z536"),INDIRECT("'Word Vectors'!B536:Z536")))))</f>
        <v/>
      </c>
      <c r="TS2">
        <f>IF(OR($B$2="",ISNA(MATCH($B$2,'Word Vectors'!A:A,0)),'Word Vectors'!A537=$B$2),"",SUMPRODUCT(INDIRECT("'Word Vectors'!B"&amp;MATCH($B$2,'Word Vectors'!A:A,0)&amp;":Z"&amp;MATCH($B$2,'Word Vectors'!A:A,0)),INDIRECT("'Word Vectors'!B537:Z537"))/(SQRT(SUMPRODUCT(INDIRECT("'Word Vectors'!B"&amp;MATCH($B$2,'Word Vectors'!A:A,0)&amp;":Z"&amp;MATCH($B$2,'Word Vectors'!A:A,0)),INDIRECT("'Word Vectors'!B"&amp;MATCH($B$2,'Word Vectors'!A:A,0)&amp;":Z"&amp;MATCH($B$2,'Word Vectors'!A:A,0))))*SQRT(SUMPRODUCT(INDIRECT("'Word Vectors'!B537:Z537"),INDIRECT("'Word Vectors'!B537:Z537")))))</f>
        <v/>
      </c>
      <c r="TT2">
        <f>IF(OR($B$2="",ISNA(MATCH($B$2,'Word Vectors'!A:A,0)),'Word Vectors'!A538=$B$2),"",SUMPRODUCT(INDIRECT("'Word Vectors'!B"&amp;MATCH($B$2,'Word Vectors'!A:A,0)&amp;":Z"&amp;MATCH($B$2,'Word Vectors'!A:A,0)),INDIRECT("'Word Vectors'!B538:Z538"))/(SQRT(SUMPRODUCT(INDIRECT("'Word Vectors'!B"&amp;MATCH($B$2,'Word Vectors'!A:A,0)&amp;":Z"&amp;MATCH($B$2,'Word Vectors'!A:A,0)),INDIRECT("'Word Vectors'!B"&amp;MATCH($B$2,'Word Vectors'!A:A,0)&amp;":Z"&amp;MATCH($B$2,'Word Vectors'!A:A,0))))*SQRT(SUMPRODUCT(INDIRECT("'Word Vectors'!B538:Z538"),INDIRECT("'Word Vectors'!B538:Z538")))))</f>
        <v/>
      </c>
      <c r="TU2">
        <f>IF(OR($B$2="",ISNA(MATCH($B$2,'Word Vectors'!A:A,0)),'Word Vectors'!A539=$B$2),"",SUMPRODUCT(INDIRECT("'Word Vectors'!B"&amp;MATCH($B$2,'Word Vectors'!A:A,0)&amp;":Z"&amp;MATCH($B$2,'Word Vectors'!A:A,0)),INDIRECT("'Word Vectors'!B539:Z539"))/(SQRT(SUMPRODUCT(INDIRECT("'Word Vectors'!B"&amp;MATCH($B$2,'Word Vectors'!A:A,0)&amp;":Z"&amp;MATCH($B$2,'Word Vectors'!A:A,0)),INDIRECT("'Word Vectors'!B"&amp;MATCH($B$2,'Word Vectors'!A:A,0)&amp;":Z"&amp;MATCH($B$2,'Word Vectors'!A:A,0))))*SQRT(SUMPRODUCT(INDIRECT("'Word Vectors'!B539:Z539"),INDIRECT("'Word Vectors'!B539:Z539")))))</f>
        <v/>
      </c>
      <c r="TV2">
        <f>IF(OR($B$2="",ISNA(MATCH($B$2,'Word Vectors'!A:A,0)),'Word Vectors'!A540=$B$2),"",SUMPRODUCT(INDIRECT("'Word Vectors'!B"&amp;MATCH($B$2,'Word Vectors'!A:A,0)&amp;":Z"&amp;MATCH($B$2,'Word Vectors'!A:A,0)),INDIRECT("'Word Vectors'!B540:Z540"))/(SQRT(SUMPRODUCT(INDIRECT("'Word Vectors'!B"&amp;MATCH($B$2,'Word Vectors'!A:A,0)&amp;":Z"&amp;MATCH($B$2,'Word Vectors'!A:A,0)),INDIRECT("'Word Vectors'!B"&amp;MATCH($B$2,'Word Vectors'!A:A,0)&amp;":Z"&amp;MATCH($B$2,'Word Vectors'!A:A,0))))*SQRT(SUMPRODUCT(INDIRECT("'Word Vectors'!B540:Z540"),INDIRECT("'Word Vectors'!B540:Z540")))))</f>
        <v/>
      </c>
      <c r="TW2">
        <f>IF(OR($B$2="",ISNA(MATCH($B$2,'Word Vectors'!A:A,0)),'Word Vectors'!A541=$B$2),"",SUMPRODUCT(INDIRECT("'Word Vectors'!B"&amp;MATCH($B$2,'Word Vectors'!A:A,0)&amp;":Z"&amp;MATCH($B$2,'Word Vectors'!A:A,0)),INDIRECT("'Word Vectors'!B541:Z541"))/(SQRT(SUMPRODUCT(INDIRECT("'Word Vectors'!B"&amp;MATCH($B$2,'Word Vectors'!A:A,0)&amp;":Z"&amp;MATCH($B$2,'Word Vectors'!A:A,0)),INDIRECT("'Word Vectors'!B"&amp;MATCH($B$2,'Word Vectors'!A:A,0)&amp;":Z"&amp;MATCH($B$2,'Word Vectors'!A:A,0))))*SQRT(SUMPRODUCT(INDIRECT("'Word Vectors'!B541:Z541"),INDIRECT("'Word Vectors'!B541:Z541")))))</f>
        <v/>
      </c>
      <c r="TX2">
        <f>IF(OR($B$2="",ISNA(MATCH($B$2,'Word Vectors'!A:A,0)),'Word Vectors'!A542=$B$2),"",SUMPRODUCT(INDIRECT("'Word Vectors'!B"&amp;MATCH($B$2,'Word Vectors'!A:A,0)&amp;":Z"&amp;MATCH($B$2,'Word Vectors'!A:A,0)),INDIRECT("'Word Vectors'!B542:Z542"))/(SQRT(SUMPRODUCT(INDIRECT("'Word Vectors'!B"&amp;MATCH($B$2,'Word Vectors'!A:A,0)&amp;":Z"&amp;MATCH($B$2,'Word Vectors'!A:A,0)),INDIRECT("'Word Vectors'!B"&amp;MATCH($B$2,'Word Vectors'!A:A,0)&amp;":Z"&amp;MATCH($B$2,'Word Vectors'!A:A,0))))*SQRT(SUMPRODUCT(INDIRECT("'Word Vectors'!B542:Z542"),INDIRECT("'Word Vectors'!B542:Z542")))))</f>
        <v/>
      </c>
      <c r="TY2">
        <f>IF(OR($B$2="",ISNA(MATCH($B$2,'Word Vectors'!A:A,0)),'Word Vectors'!A543=$B$2),"",SUMPRODUCT(INDIRECT("'Word Vectors'!B"&amp;MATCH($B$2,'Word Vectors'!A:A,0)&amp;":Z"&amp;MATCH($B$2,'Word Vectors'!A:A,0)),INDIRECT("'Word Vectors'!B543:Z543"))/(SQRT(SUMPRODUCT(INDIRECT("'Word Vectors'!B"&amp;MATCH($B$2,'Word Vectors'!A:A,0)&amp;":Z"&amp;MATCH($B$2,'Word Vectors'!A:A,0)),INDIRECT("'Word Vectors'!B"&amp;MATCH($B$2,'Word Vectors'!A:A,0)&amp;":Z"&amp;MATCH($B$2,'Word Vectors'!A:A,0))))*SQRT(SUMPRODUCT(INDIRECT("'Word Vectors'!B543:Z543"),INDIRECT("'Word Vectors'!B543:Z543")))))</f>
        <v/>
      </c>
      <c r="TZ2">
        <f>IF(OR($B$2="",ISNA(MATCH($B$2,'Word Vectors'!A:A,0)),'Word Vectors'!A544=$B$2),"",SUMPRODUCT(INDIRECT("'Word Vectors'!B"&amp;MATCH($B$2,'Word Vectors'!A:A,0)&amp;":Z"&amp;MATCH($B$2,'Word Vectors'!A:A,0)),INDIRECT("'Word Vectors'!B544:Z544"))/(SQRT(SUMPRODUCT(INDIRECT("'Word Vectors'!B"&amp;MATCH($B$2,'Word Vectors'!A:A,0)&amp;":Z"&amp;MATCH($B$2,'Word Vectors'!A:A,0)),INDIRECT("'Word Vectors'!B"&amp;MATCH($B$2,'Word Vectors'!A:A,0)&amp;":Z"&amp;MATCH($B$2,'Word Vectors'!A:A,0))))*SQRT(SUMPRODUCT(INDIRECT("'Word Vectors'!B544:Z544"),INDIRECT("'Word Vectors'!B544:Z544")))))</f>
        <v/>
      </c>
      <c r="UA2">
        <f>IF(OR($B$2="",ISNA(MATCH($B$2,'Word Vectors'!A:A,0)),'Word Vectors'!A545=$B$2),"",SUMPRODUCT(INDIRECT("'Word Vectors'!B"&amp;MATCH($B$2,'Word Vectors'!A:A,0)&amp;":Z"&amp;MATCH($B$2,'Word Vectors'!A:A,0)),INDIRECT("'Word Vectors'!B545:Z545"))/(SQRT(SUMPRODUCT(INDIRECT("'Word Vectors'!B"&amp;MATCH($B$2,'Word Vectors'!A:A,0)&amp;":Z"&amp;MATCH($B$2,'Word Vectors'!A:A,0)),INDIRECT("'Word Vectors'!B"&amp;MATCH($B$2,'Word Vectors'!A:A,0)&amp;":Z"&amp;MATCH($B$2,'Word Vectors'!A:A,0))))*SQRT(SUMPRODUCT(INDIRECT("'Word Vectors'!B545:Z545"),INDIRECT("'Word Vectors'!B545:Z545")))))</f>
        <v/>
      </c>
      <c r="UB2">
        <f>IF(OR($B$2="",ISNA(MATCH($B$2,'Word Vectors'!A:A,0)),'Word Vectors'!A546=$B$2),"",SUMPRODUCT(INDIRECT("'Word Vectors'!B"&amp;MATCH($B$2,'Word Vectors'!A:A,0)&amp;":Z"&amp;MATCH($B$2,'Word Vectors'!A:A,0)),INDIRECT("'Word Vectors'!B546:Z546"))/(SQRT(SUMPRODUCT(INDIRECT("'Word Vectors'!B"&amp;MATCH($B$2,'Word Vectors'!A:A,0)&amp;":Z"&amp;MATCH($B$2,'Word Vectors'!A:A,0)),INDIRECT("'Word Vectors'!B"&amp;MATCH($B$2,'Word Vectors'!A:A,0)&amp;":Z"&amp;MATCH($B$2,'Word Vectors'!A:A,0))))*SQRT(SUMPRODUCT(INDIRECT("'Word Vectors'!B546:Z546"),INDIRECT("'Word Vectors'!B546:Z546")))))</f>
        <v/>
      </c>
      <c r="UC2">
        <f>IF(OR($B$2="",ISNA(MATCH($B$2,'Word Vectors'!A:A,0)),'Word Vectors'!A547=$B$2),"",SUMPRODUCT(INDIRECT("'Word Vectors'!B"&amp;MATCH($B$2,'Word Vectors'!A:A,0)&amp;":Z"&amp;MATCH($B$2,'Word Vectors'!A:A,0)),INDIRECT("'Word Vectors'!B547:Z547"))/(SQRT(SUMPRODUCT(INDIRECT("'Word Vectors'!B"&amp;MATCH($B$2,'Word Vectors'!A:A,0)&amp;":Z"&amp;MATCH($B$2,'Word Vectors'!A:A,0)),INDIRECT("'Word Vectors'!B"&amp;MATCH($B$2,'Word Vectors'!A:A,0)&amp;":Z"&amp;MATCH($B$2,'Word Vectors'!A:A,0))))*SQRT(SUMPRODUCT(INDIRECT("'Word Vectors'!B547:Z547"),INDIRECT("'Word Vectors'!B547:Z547")))))</f>
        <v/>
      </c>
      <c r="UD2">
        <f>IF(OR($B$2="",ISNA(MATCH($B$2,'Word Vectors'!A:A,0)),'Word Vectors'!A548=$B$2),"",SUMPRODUCT(INDIRECT("'Word Vectors'!B"&amp;MATCH($B$2,'Word Vectors'!A:A,0)&amp;":Z"&amp;MATCH($B$2,'Word Vectors'!A:A,0)),INDIRECT("'Word Vectors'!B548:Z548"))/(SQRT(SUMPRODUCT(INDIRECT("'Word Vectors'!B"&amp;MATCH($B$2,'Word Vectors'!A:A,0)&amp;":Z"&amp;MATCH($B$2,'Word Vectors'!A:A,0)),INDIRECT("'Word Vectors'!B"&amp;MATCH($B$2,'Word Vectors'!A:A,0)&amp;":Z"&amp;MATCH($B$2,'Word Vectors'!A:A,0))))*SQRT(SUMPRODUCT(INDIRECT("'Word Vectors'!B548:Z548"),INDIRECT("'Word Vectors'!B548:Z548")))))</f>
        <v/>
      </c>
      <c r="UE2">
        <f>IF(OR($B$2="",ISNA(MATCH($B$2,'Word Vectors'!A:A,0)),'Word Vectors'!A549=$B$2),"",SUMPRODUCT(INDIRECT("'Word Vectors'!B"&amp;MATCH($B$2,'Word Vectors'!A:A,0)&amp;":Z"&amp;MATCH($B$2,'Word Vectors'!A:A,0)),INDIRECT("'Word Vectors'!B549:Z549"))/(SQRT(SUMPRODUCT(INDIRECT("'Word Vectors'!B"&amp;MATCH($B$2,'Word Vectors'!A:A,0)&amp;":Z"&amp;MATCH($B$2,'Word Vectors'!A:A,0)),INDIRECT("'Word Vectors'!B"&amp;MATCH($B$2,'Word Vectors'!A:A,0)&amp;":Z"&amp;MATCH($B$2,'Word Vectors'!A:A,0))))*SQRT(SUMPRODUCT(INDIRECT("'Word Vectors'!B549:Z549"),INDIRECT("'Word Vectors'!B549:Z549")))))</f>
        <v/>
      </c>
      <c r="UF2">
        <f>IF(OR($B$2="",ISNA(MATCH($B$2,'Word Vectors'!A:A,0)),'Word Vectors'!A550=$B$2),"",SUMPRODUCT(INDIRECT("'Word Vectors'!B"&amp;MATCH($B$2,'Word Vectors'!A:A,0)&amp;":Z"&amp;MATCH($B$2,'Word Vectors'!A:A,0)),INDIRECT("'Word Vectors'!B550:Z550"))/(SQRT(SUMPRODUCT(INDIRECT("'Word Vectors'!B"&amp;MATCH($B$2,'Word Vectors'!A:A,0)&amp;":Z"&amp;MATCH($B$2,'Word Vectors'!A:A,0)),INDIRECT("'Word Vectors'!B"&amp;MATCH($B$2,'Word Vectors'!A:A,0)&amp;":Z"&amp;MATCH($B$2,'Word Vectors'!A:A,0))))*SQRT(SUMPRODUCT(INDIRECT("'Word Vectors'!B550:Z550"),INDIRECT("'Word Vectors'!B550:Z550")))))</f>
        <v/>
      </c>
      <c r="UG2">
        <f>IF(OR($B$2="",ISNA(MATCH($B$2,'Word Vectors'!A:A,0)),'Word Vectors'!A551=$B$2),"",SUMPRODUCT(INDIRECT("'Word Vectors'!B"&amp;MATCH($B$2,'Word Vectors'!A:A,0)&amp;":Z"&amp;MATCH($B$2,'Word Vectors'!A:A,0)),INDIRECT("'Word Vectors'!B551:Z551"))/(SQRT(SUMPRODUCT(INDIRECT("'Word Vectors'!B"&amp;MATCH($B$2,'Word Vectors'!A:A,0)&amp;":Z"&amp;MATCH($B$2,'Word Vectors'!A:A,0)),INDIRECT("'Word Vectors'!B"&amp;MATCH($B$2,'Word Vectors'!A:A,0)&amp;":Z"&amp;MATCH($B$2,'Word Vectors'!A:A,0))))*SQRT(SUMPRODUCT(INDIRECT("'Word Vectors'!B551:Z551"),INDIRECT("'Word Vectors'!B551:Z551")))))</f>
        <v/>
      </c>
      <c r="UH2">
        <f>IF(OR($B$2="",ISNA(MATCH($B$2,'Word Vectors'!A:A,0)),'Word Vectors'!A552=$B$2),"",SUMPRODUCT(INDIRECT("'Word Vectors'!B"&amp;MATCH($B$2,'Word Vectors'!A:A,0)&amp;":Z"&amp;MATCH($B$2,'Word Vectors'!A:A,0)),INDIRECT("'Word Vectors'!B552:Z552"))/(SQRT(SUMPRODUCT(INDIRECT("'Word Vectors'!B"&amp;MATCH($B$2,'Word Vectors'!A:A,0)&amp;":Z"&amp;MATCH($B$2,'Word Vectors'!A:A,0)),INDIRECT("'Word Vectors'!B"&amp;MATCH($B$2,'Word Vectors'!A:A,0)&amp;":Z"&amp;MATCH($B$2,'Word Vectors'!A:A,0))))*SQRT(SUMPRODUCT(INDIRECT("'Word Vectors'!B552:Z552"),INDIRECT("'Word Vectors'!B552:Z552")))))</f>
        <v/>
      </c>
      <c r="UI2">
        <f>IF(OR($B$2="",ISNA(MATCH($B$2,'Word Vectors'!A:A,0)),'Word Vectors'!A553=$B$2),"",SUMPRODUCT(INDIRECT("'Word Vectors'!B"&amp;MATCH($B$2,'Word Vectors'!A:A,0)&amp;":Z"&amp;MATCH($B$2,'Word Vectors'!A:A,0)),INDIRECT("'Word Vectors'!B553:Z553"))/(SQRT(SUMPRODUCT(INDIRECT("'Word Vectors'!B"&amp;MATCH($B$2,'Word Vectors'!A:A,0)&amp;":Z"&amp;MATCH($B$2,'Word Vectors'!A:A,0)),INDIRECT("'Word Vectors'!B"&amp;MATCH($B$2,'Word Vectors'!A:A,0)&amp;":Z"&amp;MATCH($B$2,'Word Vectors'!A:A,0))))*SQRT(SUMPRODUCT(INDIRECT("'Word Vectors'!B553:Z553"),INDIRECT("'Word Vectors'!B553:Z553")))))</f>
        <v/>
      </c>
      <c r="UJ2">
        <f>IF(OR($B$2="",ISNA(MATCH($B$2,'Word Vectors'!A:A,0)),'Word Vectors'!A554=$B$2),"",SUMPRODUCT(INDIRECT("'Word Vectors'!B"&amp;MATCH($B$2,'Word Vectors'!A:A,0)&amp;":Z"&amp;MATCH($B$2,'Word Vectors'!A:A,0)),INDIRECT("'Word Vectors'!B554:Z554"))/(SQRT(SUMPRODUCT(INDIRECT("'Word Vectors'!B"&amp;MATCH($B$2,'Word Vectors'!A:A,0)&amp;":Z"&amp;MATCH($B$2,'Word Vectors'!A:A,0)),INDIRECT("'Word Vectors'!B"&amp;MATCH($B$2,'Word Vectors'!A:A,0)&amp;":Z"&amp;MATCH($B$2,'Word Vectors'!A:A,0))))*SQRT(SUMPRODUCT(INDIRECT("'Word Vectors'!B554:Z554"),INDIRECT("'Word Vectors'!B554:Z554")))))</f>
        <v/>
      </c>
      <c r="UK2">
        <f>IF(OR($B$2="",ISNA(MATCH($B$2,'Word Vectors'!A:A,0)),'Word Vectors'!A555=$B$2),"",SUMPRODUCT(INDIRECT("'Word Vectors'!B"&amp;MATCH($B$2,'Word Vectors'!A:A,0)&amp;":Z"&amp;MATCH($B$2,'Word Vectors'!A:A,0)),INDIRECT("'Word Vectors'!B555:Z555"))/(SQRT(SUMPRODUCT(INDIRECT("'Word Vectors'!B"&amp;MATCH($B$2,'Word Vectors'!A:A,0)&amp;":Z"&amp;MATCH($B$2,'Word Vectors'!A:A,0)),INDIRECT("'Word Vectors'!B"&amp;MATCH($B$2,'Word Vectors'!A:A,0)&amp;":Z"&amp;MATCH($B$2,'Word Vectors'!A:A,0))))*SQRT(SUMPRODUCT(INDIRECT("'Word Vectors'!B555:Z555"),INDIRECT("'Word Vectors'!B555:Z555")))))</f>
        <v/>
      </c>
      <c r="UL2">
        <f>IF(OR($B$2="",ISNA(MATCH($B$2,'Word Vectors'!A:A,0)),'Word Vectors'!A556=$B$2),"",SUMPRODUCT(INDIRECT("'Word Vectors'!B"&amp;MATCH($B$2,'Word Vectors'!A:A,0)&amp;":Z"&amp;MATCH($B$2,'Word Vectors'!A:A,0)),INDIRECT("'Word Vectors'!B556:Z556"))/(SQRT(SUMPRODUCT(INDIRECT("'Word Vectors'!B"&amp;MATCH($B$2,'Word Vectors'!A:A,0)&amp;":Z"&amp;MATCH($B$2,'Word Vectors'!A:A,0)),INDIRECT("'Word Vectors'!B"&amp;MATCH($B$2,'Word Vectors'!A:A,0)&amp;":Z"&amp;MATCH($B$2,'Word Vectors'!A:A,0))))*SQRT(SUMPRODUCT(INDIRECT("'Word Vectors'!B556:Z556"),INDIRECT("'Word Vectors'!B556:Z556")))))</f>
        <v/>
      </c>
      <c r="UM2">
        <f>IF(OR($B$2="",ISNA(MATCH($B$2,'Word Vectors'!A:A,0)),'Word Vectors'!A557=$B$2),"",SUMPRODUCT(INDIRECT("'Word Vectors'!B"&amp;MATCH($B$2,'Word Vectors'!A:A,0)&amp;":Z"&amp;MATCH($B$2,'Word Vectors'!A:A,0)),INDIRECT("'Word Vectors'!B557:Z557"))/(SQRT(SUMPRODUCT(INDIRECT("'Word Vectors'!B"&amp;MATCH($B$2,'Word Vectors'!A:A,0)&amp;":Z"&amp;MATCH($B$2,'Word Vectors'!A:A,0)),INDIRECT("'Word Vectors'!B"&amp;MATCH($B$2,'Word Vectors'!A:A,0)&amp;":Z"&amp;MATCH($B$2,'Word Vectors'!A:A,0))))*SQRT(SUMPRODUCT(INDIRECT("'Word Vectors'!B557:Z557"),INDIRECT("'Word Vectors'!B557:Z557")))))</f>
        <v/>
      </c>
      <c r="UN2">
        <f>IF(OR($B$2="",ISNA(MATCH($B$2,'Word Vectors'!A:A,0)),'Word Vectors'!A558=$B$2),"",SUMPRODUCT(INDIRECT("'Word Vectors'!B"&amp;MATCH($B$2,'Word Vectors'!A:A,0)&amp;":Z"&amp;MATCH($B$2,'Word Vectors'!A:A,0)),INDIRECT("'Word Vectors'!B558:Z558"))/(SQRT(SUMPRODUCT(INDIRECT("'Word Vectors'!B"&amp;MATCH($B$2,'Word Vectors'!A:A,0)&amp;":Z"&amp;MATCH($B$2,'Word Vectors'!A:A,0)),INDIRECT("'Word Vectors'!B"&amp;MATCH($B$2,'Word Vectors'!A:A,0)&amp;":Z"&amp;MATCH($B$2,'Word Vectors'!A:A,0))))*SQRT(SUMPRODUCT(INDIRECT("'Word Vectors'!B558:Z558"),INDIRECT("'Word Vectors'!B558:Z558")))))</f>
        <v/>
      </c>
      <c r="UO2">
        <f>IF(OR($B$2="",ISNA(MATCH($B$2,'Word Vectors'!A:A,0)),'Word Vectors'!A559=$B$2),"",SUMPRODUCT(INDIRECT("'Word Vectors'!B"&amp;MATCH($B$2,'Word Vectors'!A:A,0)&amp;":Z"&amp;MATCH($B$2,'Word Vectors'!A:A,0)),INDIRECT("'Word Vectors'!B559:Z559"))/(SQRT(SUMPRODUCT(INDIRECT("'Word Vectors'!B"&amp;MATCH($B$2,'Word Vectors'!A:A,0)&amp;":Z"&amp;MATCH($B$2,'Word Vectors'!A:A,0)),INDIRECT("'Word Vectors'!B"&amp;MATCH($B$2,'Word Vectors'!A:A,0)&amp;":Z"&amp;MATCH($B$2,'Word Vectors'!A:A,0))))*SQRT(SUMPRODUCT(INDIRECT("'Word Vectors'!B559:Z559"),INDIRECT("'Word Vectors'!B559:Z559")))))</f>
        <v/>
      </c>
      <c r="UP2">
        <f>IF(OR($B$2="",ISNA(MATCH($B$2,'Word Vectors'!A:A,0)),'Word Vectors'!A560=$B$2),"",SUMPRODUCT(INDIRECT("'Word Vectors'!B"&amp;MATCH($B$2,'Word Vectors'!A:A,0)&amp;":Z"&amp;MATCH($B$2,'Word Vectors'!A:A,0)),INDIRECT("'Word Vectors'!B560:Z560"))/(SQRT(SUMPRODUCT(INDIRECT("'Word Vectors'!B"&amp;MATCH($B$2,'Word Vectors'!A:A,0)&amp;":Z"&amp;MATCH($B$2,'Word Vectors'!A:A,0)),INDIRECT("'Word Vectors'!B"&amp;MATCH($B$2,'Word Vectors'!A:A,0)&amp;":Z"&amp;MATCH($B$2,'Word Vectors'!A:A,0))))*SQRT(SUMPRODUCT(INDIRECT("'Word Vectors'!B560:Z560"),INDIRECT("'Word Vectors'!B560:Z560")))))</f>
        <v/>
      </c>
      <c r="UQ2">
        <f>IF(OR($B$2="",ISNA(MATCH($B$2,'Word Vectors'!A:A,0)),'Word Vectors'!A561=$B$2),"",SUMPRODUCT(INDIRECT("'Word Vectors'!B"&amp;MATCH($B$2,'Word Vectors'!A:A,0)&amp;":Z"&amp;MATCH($B$2,'Word Vectors'!A:A,0)),INDIRECT("'Word Vectors'!B561:Z561"))/(SQRT(SUMPRODUCT(INDIRECT("'Word Vectors'!B"&amp;MATCH($B$2,'Word Vectors'!A:A,0)&amp;":Z"&amp;MATCH($B$2,'Word Vectors'!A:A,0)),INDIRECT("'Word Vectors'!B"&amp;MATCH($B$2,'Word Vectors'!A:A,0)&amp;":Z"&amp;MATCH($B$2,'Word Vectors'!A:A,0))))*SQRT(SUMPRODUCT(INDIRECT("'Word Vectors'!B561:Z561"),INDIRECT("'Word Vectors'!B561:Z561")))))</f>
        <v/>
      </c>
      <c r="UR2">
        <f>IF(OR($B$2="",ISNA(MATCH($B$2,'Word Vectors'!A:A,0)),'Word Vectors'!A562=$B$2),"",SUMPRODUCT(INDIRECT("'Word Vectors'!B"&amp;MATCH($B$2,'Word Vectors'!A:A,0)&amp;":Z"&amp;MATCH($B$2,'Word Vectors'!A:A,0)),INDIRECT("'Word Vectors'!B562:Z562"))/(SQRT(SUMPRODUCT(INDIRECT("'Word Vectors'!B"&amp;MATCH($B$2,'Word Vectors'!A:A,0)&amp;":Z"&amp;MATCH($B$2,'Word Vectors'!A:A,0)),INDIRECT("'Word Vectors'!B"&amp;MATCH($B$2,'Word Vectors'!A:A,0)&amp;":Z"&amp;MATCH($B$2,'Word Vectors'!A:A,0))))*SQRT(SUMPRODUCT(INDIRECT("'Word Vectors'!B562:Z562"),INDIRECT("'Word Vectors'!B562:Z562")))))</f>
        <v/>
      </c>
      <c r="US2">
        <f>IF(OR($B$2="",ISNA(MATCH($B$2,'Word Vectors'!A:A,0)),'Word Vectors'!A563=$B$2),"",SUMPRODUCT(INDIRECT("'Word Vectors'!B"&amp;MATCH($B$2,'Word Vectors'!A:A,0)&amp;":Z"&amp;MATCH($B$2,'Word Vectors'!A:A,0)),INDIRECT("'Word Vectors'!B563:Z563"))/(SQRT(SUMPRODUCT(INDIRECT("'Word Vectors'!B"&amp;MATCH($B$2,'Word Vectors'!A:A,0)&amp;":Z"&amp;MATCH($B$2,'Word Vectors'!A:A,0)),INDIRECT("'Word Vectors'!B"&amp;MATCH($B$2,'Word Vectors'!A:A,0)&amp;":Z"&amp;MATCH($B$2,'Word Vectors'!A:A,0))))*SQRT(SUMPRODUCT(INDIRECT("'Word Vectors'!B563:Z563"),INDIRECT("'Word Vectors'!B563:Z563")))))</f>
        <v/>
      </c>
      <c r="UT2">
        <f>IF(OR($B$2="",ISNA(MATCH($B$2,'Word Vectors'!A:A,0)),'Word Vectors'!A564=$B$2),"",SUMPRODUCT(INDIRECT("'Word Vectors'!B"&amp;MATCH($B$2,'Word Vectors'!A:A,0)&amp;":Z"&amp;MATCH($B$2,'Word Vectors'!A:A,0)),INDIRECT("'Word Vectors'!B564:Z564"))/(SQRT(SUMPRODUCT(INDIRECT("'Word Vectors'!B"&amp;MATCH($B$2,'Word Vectors'!A:A,0)&amp;":Z"&amp;MATCH($B$2,'Word Vectors'!A:A,0)),INDIRECT("'Word Vectors'!B"&amp;MATCH($B$2,'Word Vectors'!A:A,0)&amp;":Z"&amp;MATCH($B$2,'Word Vectors'!A:A,0))))*SQRT(SUMPRODUCT(INDIRECT("'Word Vectors'!B564:Z564"),INDIRECT("'Word Vectors'!B564:Z564")))))</f>
        <v/>
      </c>
      <c r="UU2">
        <f>IF(OR($B$2="",ISNA(MATCH($B$2,'Word Vectors'!A:A,0)),'Word Vectors'!A565=$B$2),"",SUMPRODUCT(INDIRECT("'Word Vectors'!B"&amp;MATCH($B$2,'Word Vectors'!A:A,0)&amp;":Z"&amp;MATCH($B$2,'Word Vectors'!A:A,0)),INDIRECT("'Word Vectors'!B565:Z565"))/(SQRT(SUMPRODUCT(INDIRECT("'Word Vectors'!B"&amp;MATCH($B$2,'Word Vectors'!A:A,0)&amp;":Z"&amp;MATCH($B$2,'Word Vectors'!A:A,0)),INDIRECT("'Word Vectors'!B"&amp;MATCH($B$2,'Word Vectors'!A:A,0)&amp;":Z"&amp;MATCH($B$2,'Word Vectors'!A:A,0))))*SQRT(SUMPRODUCT(INDIRECT("'Word Vectors'!B565:Z565"),INDIRECT("'Word Vectors'!B565:Z565")))))</f>
        <v/>
      </c>
      <c r="UV2">
        <f>IF(OR($B$2="",ISNA(MATCH($B$2,'Word Vectors'!A:A,0)),'Word Vectors'!A566=$B$2),"",SUMPRODUCT(INDIRECT("'Word Vectors'!B"&amp;MATCH($B$2,'Word Vectors'!A:A,0)&amp;":Z"&amp;MATCH($B$2,'Word Vectors'!A:A,0)),INDIRECT("'Word Vectors'!B566:Z566"))/(SQRT(SUMPRODUCT(INDIRECT("'Word Vectors'!B"&amp;MATCH($B$2,'Word Vectors'!A:A,0)&amp;":Z"&amp;MATCH($B$2,'Word Vectors'!A:A,0)),INDIRECT("'Word Vectors'!B"&amp;MATCH($B$2,'Word Vectors'!A:A,0)&amp;":Z"&amp;MATCH($B$2,'Word Vectors'!A:A,0))))*SQRT(SUMPRODUCT(INDIRECT("'Word Vectors'!B566:Z566"),INDIRECT("'Word Vectors'!B566:Z566")))))</f>
        <v/>
      </c>
      <c r="UW2">
        <f>IF(OR($B$2="",ISNA(MATCH($B$2,'Word Vectors'!A:A,0)),'Word Vectors'!A567=$B$2),"",SUMPRODUCT(INDIRECT("'Word Vectors'!B"&amp;MATCH($B$2,'Word Vectors'!A:A,0)&amp;":Z"&amp;MATCH($B$2,'Word Vectors'!A:A,0)),INDIRECT("'Word Vectors'!B567:Z567"))/(SQRT(SUMPRODUCT(INDIRECT("'Word Vectors'!B"&amp;MATCH($B$2,'Word Vectors'!A:A,0)&amp;":Z"&amp;MATCH($B$2,'Word Vectors'!A:A,0)),INDIRECT("'Word Vectors'!B"&amp;MATCH($B$2,'Word Vectors'!A:A,0)&amp;":Z"&amp;MATCH($B$2,'Word Vectors'!A:A,0))))*SQRT(SUMPRODUCT(INDIRECT("'Word Vectors'!B567:Z567"),INDIRECT("'Word Vectors'!B567:Z567")))))</f>
        <v/>
      </c>
      <c r="UX2">
        <f>IF(OR($B$2="",ISNA(MATCH($B$2,'Word Vectors'!A:A,0)),'Word Vectors'!A568=$B$2),"",SUMPRODUCT(INDIRECT("'Word Vectors'!B"&amp;MATCH($B$2,'Word Vectors'!A:A,0)&amp;":Z"&amp;MATCH($B$2,'Word Vectors'!A:A,0)),INDIRECT("'Word Vectors'!B568:Z568"))/(SQRT(SUMPRODUCT(INDIRECT("'Word Vectors'!B"&amp;MATCH($B$2,'Word Vectors'!A:A,0)&amp;":Z"&amp;MATCH($B$2,'Word Vectors'!A:A,0)),INDIRECT("'Word Vectors'!B"&amp;MATCH($B$2,'Word Vectors'!A:A,0)&amp;":Z"&amp;MATCH($B$2,'Word Vectors'!A:A,0))))*SQRT(SUMPRODUCT(INDIRECT("'Word Vectors'!B568:Z568"),INDIRECT("'Word Vectors'!B568:Z568")))))</f>
        <v/>
      </c>
      <c r="UY2">
        <f>IF(OR($B$2="",ISNA(MATCH($B$2,'Word Vectors'!A:A,0)),'Word Vectors'!A569=$B$2),"",SUMPRODUCT(INDIRECT("'Word Vectors'!B"&amp;MATCH($B$2,'Word Vectors'!A:A,0)&amp;":Z"&amp;MATCH($B$2,'Word Vectors'!A:A,0)),INDIRECT("'Word Vectors'!B569:Z569"))/(SQRT(SUMPRODUCT(INDIRECT("'Word Vectors'!B"&amp;MATCH($B$2,'Word Vectors'!A:A,0)&amp;":Z"&amp;MATCH($B$2,'Word Vectors'!A:A,0)),INDIRECT("'Word Vectors'!B"&amp;MATCH($B$2,'Word Vectors'!A:A,0)&amp;":Z"&amp;MATCH($B$2,'Word Vectors'!A:A,0))))*SQRT(SUMPRODUCT(INDIRECT("'Word Vectors'!B569:Z569"),INDIRECT("'Word Vectors'!B569:Z569")))))</f>
        <v/>
      </c>
      <c r="UZ2">
        <f>IF(OR($B$2="",ISNA(MATCH($B$2,'Word Vectors'!A:A,0)),'Word Vectors'!A570=$B$2),"",SUMPRODUCT(INDIRECT("'Word Vectors'!B"&amp;MATCH($B$2,'Word Vectors'!A:A,0)&amp;":Z"&amp;MATCH($B$2,'Word Vectors'!A:A,0)),INDIRECT("'Word Vectors'!B570:Z570"))/(SQRT(SUMPRODUCT(INDIRECT("'Word Vectors'!B"&amp;MATCH($B$2,'Word Vectors'!A:A,0)&amp;":Z"&amp;MATCH($B$2,'Word Vectors'!A:A,0)),INDIRECT("'Word Vectors'!B"&amp;MATCH($B$2,'Word Vectors'!A:A,0)&amp;":Z"&amp;MATCH($B$2,'Word Vectors'!A:A,0))))*SQRT(SUMPRODUCT(INDIRECT("'Word Vectors'!B570:Z570"),INDIRECT("'Word Vectors'!B570:Z570")))))</f>
        <v/>
      </c>
      <c r="VA2">
        <f>IF(OR($B$2="",ISNA(MATCH($B$2,'Word Vectors'!A:A,0)),'Word Vectors'!A571=$B$2),"",SUMPRODUCT(INDIRECT("'Word Vectors'!B"&amp;MATCH($B$2,'Word Vectors'!A:A,0)&amp;":Z"&amp;MATCH($B$2,'Word Vectors'!A:A,0)),INDIRECT("'Word Vectors'!B571:Z571"))/(SQRT(SUMPRODUCT(INDIRECT("'Word Vectors'!B"&amp;MATCH($B$2,'Word Vectors'!A:A,0)&amp;":Z"&amp;MATCH($B$2,'Word Vectors'!A:A,0)),INDIRECT("'Word Vectors'!B"&amp;MATCH($B$2,'Word Vectors'!A:A,0)&amp;":Z"&amp;MATCH($B$2,'Word Vectors'!A:A,0))))*SQRT(SUMPRODUCT(INDIRECT("'Word Vectors'!B571:Z571"),INDIRECT("'Word Vectors'!B571:Z571")))))</f>
        <v/>
      </c>
      <c r="VB2">
        <f>IF(OR($B$2="",ISNA(MATCH($B$2,'Word Vectors'!A:A,0)),'Word Vectors'!A572=$B$2),"",SUMPRODUCT(INDIRECT("'Word Vectors'!B"&amp;MATCH($B$2,'Word Vectors'!A:A,0)&amp;":Z"&amp;MATCH($B$2,'Word Vectors'!A:A,0)),INDIRECT("'Word Vectors'!B572:Z572"))/(SQRT(SUMPRODUCT(INDIRECT("'Word Vectors'!B"&amp;MATCH($B$2,'Word Vectors'!A:A,0)&amp;":Z"&amp;MATCH($B$2,'Word Vectors'!A:A,0)),INDIRECT("'Word Vectors'!B"&amp;MATCH($B$2,'Word Vectors'!A:A,0)&amp;":Z"&amp;MATCH($B$2,'Word Vectors'!A:A,0))))*SQRT(SUMPRODUCT(INDIRECT("'Word Vectors'!B572:Z572"),INDIRECT("'Word Vectors'!B572:Z572")))))</f>
        <v/>
      </c>
      <c r="VC2">
        <f>IF(OR($B$2="",ISNA(MATCH($B$2,'Word Vectors'!A:A,0)),'Word Vectors'!A573=$B$2),"",SUMPRODUCT(INDIRECT("'Word Vectors'!B"&amp;MATCH($B$2,'Word Vectors'!A:A,0)&amp;":Z"&amp;MATCH($B$2,'Word Vectors'!A:A,0)),INDIRECT("'Word Vectors'!B573:Z573"))/(SQRT(SUMPRODUCT(INDIRECT("'Word Vectors'!B"&amp;MATCH($B$2,'Word Vectors'!A:A,0)&amp;":Z"&amp;MATCH($B$2,'Word Vectors'!A:A,0)),INDIRECT("'Word Vectors'!B"&amp;MATCH($B$2,'Word Vectors'!A:A,0)&amp;":Z"&amp;MATCH($B$2,'Word Vectors'!A:A,0))))*SQRT(SUMPRODUCT(INDIRECT("'Word Vectors'!B573:Z573"),INDIRECT("'Word Vectors'!B573:Z573")))))</f>
        <v/>
      </c>
      <c r="VD2">
        <f>IF(OR($B$2="",ISNA(MATCH($B$2,'Word Vectors'!A:A,0)),'Word Vectors'!A574=$B$2),"",SUMPRODUCT(INDIRECT("'Word Vectors'!B"&amp;MATCH($B$2,'Word Vectors'!A:A,0)&amp;":Z"&amp;MATCH($B$2,'Word Vectors'!A:A,0)),INDIRECT("'Word Vectors'!B574:Z574"))/(SQRT(SUMPRODUCT(INDIRECT("'Word Vectors'!B"&amp;MATCH($B$2,'Word Vectors'!A:A,0)&amp;":Z"&amp;MATCH($B$2,'Word Vectors'!A:A,0)),INDIRECT("'Word Vectors'!B"&amp;MATCH($B$2,'Word Vectors'!A:A,0)&amp;":Z"&amp;MATCH($B$2,'Word Vectors'!A:A,0))))*SQRT(SUMPRODUCT(INDIRECT("'Word Vectors'!B574:Z574"),INDIRECT("'Word Vectors'!B574:Z574")))))</f>
        <v/>
      </c>
      <c r="VE2">
        <f>IF(OR($B$2="",ISNA(MATCH($B$2,'Word Vectors'!A:A,0)),'Word Vectors'!A575=$B$2),"",SUMPRODUCT(INDIRECT("'Word Vectors'!B"&amp;MATCH($B$2,'Word Vectors'!A:A,0)&amp;":Z"&amp;MATCH($B$2,'Word Vectors'!A:A,0)),INDIRECT("'Word Vectors'!B575:Z575"))/(SQRT(SUMPRODUCT(INDIRECT("'Word Vectors'!B"&amp;MATCH($B$2,'Word Vectors'!A:A,0)&amp;":Z"&amp;MATCH($B$2,'Word Vectors'!A:A,0)),INDIRECT("'Word Vectors'!B"&amp;MATCH($B$2,'Word Vectors'!A:A,0)&amp;":Z"&amp;MATCH($B$2,'Word Vectors'!A:A,0))))*SQRT(SUMPRODUCT(INDIRECT("'Word Vectors'!B575:Z575"),INDIRECT("'Word Vectors'!B575:Z575")))))</f>
        <v/>
      </c>
      <c r="VF2">
        <f>IF(OR($B$2="",ISNA(MATCH($B$2,'Word Vectors'!A:A,0)),'Word Vectors'!A576=$B$2),"",SUMPRODUCT(INDIRECT("'Word Vectors'!B"&amp;MATCH($B$2,'Word Vectors'!A:A,0)&amp;":Z"&amp;MATCH($B$2,'Word Vectors'!A:A,0)),INDIRECT("'Word Vectors'!B576:Z576"))/(SQRT(SUMPRODUCT(INDIRECT("'Word Vectors'!B"&amp;MATCH($B$2,'Word Vectors'!A:A,0)&amp;":Z"&amp;MATCH($B$2,'Word Vectors'!A:A,0)),INDIRECT("'Word Vectors'!B"&amp;MATCH($B$2,'Word Vectors'!A:A,0)&amp;":Z"&amp;MATCH($B$2,'Word Vectors'!A:A,0))))*SQRT(SUMPRODUCT(INDIRECT("'Word Vectors'!B576:Z576"),INDIRECT("'Word Vectors'!B576:Z576")))))</f>
        <v/>
      </c>
      <c r="VG2">
        <f>IF(OR($B$2="",ISNA(MATCH($B$2,'Word Vectors'!A:A,0)),'Word Vectors'!A577=$B$2),"",SUMPRODUCT(INDIRECT("'Word Vectors'!B"&amp;MATCH($B$2,'Word Vectors'!A:A,0)&amp;":Z"&amp;MATCH($B$2,'Word Vectors'!A:A,0)),INDIRECT("'Word Vectors'!B577:Z577"))/(SQRT(SUMPRODUCT(INDIRECT("'Word Vectors'!B"&amp;MATCH($B$2,'Word Vectors'!A:A,0)&amp;":Z"&amp;MATCH($B$2,'Word Vectors'!A:A,0)),INDIRECT("'Word Vectors'!B"&amp;MATCH($B$2,'Word Vectors'!A:A,0)&amp;":Z"&amp;MATCH($B$2,'Word Vectors'!A:A,0))))*SQRT(SUMPRODUCT(INDIRECT("'Word Vectors'!B577:Z577"),INDIRECT("'Word Vectors'!B577:Z577")))))</f>
        <v/>
      </c>
      <c r="VH2">
        <f>IF(OR($B$2="",ISNA(MATCH($B$2,'Word Vectors'!A:A,0)),'Word Vectors'!A578=$B$2),"",SUMPRODUCT(INDIRECT("'Word Vectors'!B"&amp;MATCH($B$2,'Word Vectors'!A:A,0)&amp;":Z"&amp;MATCH($B$2,'Word Vectors'!A:A,0)),INDIRECT("'Word Vectors'!B578:Z578"))/(SQRT(SUMPRODUCT(INDIRECT("'Word Vectors'!B"&amp;MATCH($B$2,'Word Vectors'!A:A,0)&amp;":Z"&amp;MATCH($B$2,'Word Vectors'!A:A,0)),INDIRECT("'Word Vectors'!B"&amp;MATCH($B$2,'Word Vectors'!A:A,0)&amp;":Z"&amp;MATCH($B$2,'Word Vectors'!A:A,0))))*SQRT(SUMPRODUCT(INDIRECT("'Word Vectors'!B578:Z578"),INDIRECT("'Word Vectors'!B578:Z578")))))</f>
        <v/>
      </c>
      <c r="VI2">
        <f>IF(OR($B$2="",ISNA(MATCH($B$2,'Word Vectors'!A:A,0)),'Word Vectors'!A579=$B$2),"",SUMPRODUCT(INDIRECT("'Word Vectors'!B"&amp;MATCH($B$2,'Word Vectors'!A:A,0)&amp;":Z"&amp;MATCH($B$2,'Word Vectors'!A:A,0)),INDIRECT("'Word Vectors'!B579:Z579"))/(SQRT(SUMPRODUCT(INDIRECT("'Word Vectors'!B"&amp;MATCH($B$2,'Word Vectors'!A:A,0)&amp;":Z"&amp;MATCH($B$2,'Word Vectors'!A:A,0)),INDIRECT("'Word Vectors'!B"&amp;MATCH($B$2,'Word Vectors'!A:A,0)&amp;":Z"&amp;MATCH($B$2,'Word Vectors'!A:A,0))))*SQRT(SUMPRODUCT(INDIRECT("'Word Vectors'!B579:Z579"),INDIRECT("'Word Vectors'!B579:Z579")))))</f>
        <v/>
      </c>
      <c r="VJ2">
        <f>IF(OR($B$2="",ISNA(MATCH($B$2,'Word Vectors'!A:A,0)),'Word Vectors'!A580=$B$2),"",SUMPRODUCT(INDIRECT("'Word Vectors'!B"&amp;MATCH($B$2,'Word Vectors'!A:A,0)&amp;":Z"&amp;MATCH($B$2,'Word Vectors'!A:A,0)),INDIRECT("'Word Vectors'!B580:Z580"))/(SQRT(SUMPRODUCT(INDIRECT("'Word Vectors'!B"&amp;MATCH($B$2,'Word Vectors'!A:A,0)&amp;":Z"&amp;MATCH($B$2,'Word Vectors'!A:A,0)),INDIRECT("'Word Vectors'!B"&amp;MATCH($B$2,'Word Vectors'!A:A,0)&amp;":Z"&amp;MATCH($B$2,'Word Vectors'!A:A,0))))*SQRT(SUMPRODUCT(INDIRECT("'Word Vectors'!B580:Z580"),INDIRECT("'Word Vectors'!B580:Z580")))))</f>
        <v/>
      </c>
      <c r="VK2">
        <f>IF(OR($B$2="",ISNA(MATCH($B$2,'Word Vectors'!A:A,0)),'Word Vectors'!A581=$B$2),"",SUMPRODUCT(INDIRECT("'Word Vectors'!B"&amp;MATCH($B$2,'Word Vectors'!A:A,0)&amp;":Z"&amp;MATCH($B$2,'Word Vectors'!A:A,0)),INDIRECT("'Word Vectors'!B581:Z581"))/(SQRT(SUMPRODUCT(INDIRECT("'Word Vectors'!B"&amp;MATCH($B$2,'Word Vectors'!A:A,0)&amp;":Z"&amp;MATCH($B$2,'Word Vectors'!A:A,0)),INDIRECT("'Word Vectors'!B"&amp;MATCH($B$2,'Word Vectors'!A:A,0)&amp;":Z"&amp;MATCH($B$2,'Word Vectors'!A:A,0))))*SQRT(SUMPRODUCT(INDIRECT("'Word Vectors'!B581:Z581"),INDIRECT("'Word Vectors'!B581:Z581")))))</f>
        <v/>
      </c>
      <c r="VL2">
        <f>IF(OR($B$2="",ISNA(MATCH($B$2,'Word Vectors'!A:A,0)),'Word Vectors'!A582=$B$2),"",SUMPRODUCT(INDIRECT("'Word Vectors'!B"&amp;MATCH($B$2,'Word Vectors'!A:A,0)&amp;":Z"&amp;MATCH($B$2,'Word Vectors'!A:A,0)),INDIRECT("'Word Vectors'!B582:Z582"))/(SQRT(SUMPRODUCT(INDIRECT("'Word Vectors'!B"&amp;MATCH($B$2,'Word Vectors'!A:A,0)&amp;":Z"&amp;MATCH($B$2,'Word Vectors'!A:A,0)),INDIRECT("'Word Vectors'!B"&amp;MATCH($B$2,'Word Vectors'!A:A,0)&amp;":Z"&amp;MATCH($B$2,'Word Vectors'!A:A,0))))*SQRT(SUMPRODUCT(INDIRECT("'Word Vectors'!B582:Z582"),INDIRECT("'Word Vectors'!B582:Z582")))))</f>
        <v/>
      </c>
      <c r="VM2">
        <f>IF(OR($B$2="",ISNA(MATCH($B$2,'Word Vectors'!A:A,0)),'Word Vectors'!A583=$B$2),"",SUMPRODUCT(INDIRECT("'Word Vectors'!B"&amp;MATCH($B$2,'Word Vectors'!A:A,0)&amp;":Z"&amp;MATCH($B$2,'Word Vectors'!A:A,0)),INDIRECT("'Word Vectors'!B583:Z583"))/(SQRT(SUMPRODUCT(INDIRECT("'Word Vectors'!B"&amp;MATCH($B$2,'Word Vectors'!A:A,0)&amp;":Z"&amp;MATCH($B$2,'Word Vectors'!A:A,0)),INDIRECT("'Word Vectors'!B"&amp;MATCH($B$2,'Word Vectors'!A:A,0)&amp;":Z"&amp;MATCH($B$2,'Word Vectors'!A:A,0))))*SQRT(SUMPRODUCT(INDIRECT("'Word Vectors'!B583:Z583"),INDIRECT("'Word Vectors'!B583:Z583")))))</f>
        <v/>
      </c>
      <c r="VN2">
        <f>IF(OR($B$2="",ISNA(MATCH($B$2,'Word Vectors'!A:A,0)),'Word Vectors'!A584=$B$2),"",SUMPRODUCT(INDIRECT("'Word Vectors'!B"&amp;MATCH($B$2,'Word Vectors'!A:A,0)&amp;":Z"&amp;MATCH($B$2,'Word Vectors'!A:A,0)),INDIRECT("'Word Vectors'!B584:Z584"))/(SQRT(SUMPRODUCT(INDIRECT("'Word Vectors'!B"&amp;MATCH($B$2,'Word Vectors'!A:A,0)&amp;":Z"&amp;MATCH($B$2,'Word Vectors'!A:A,0)),INDIRECT("'Word Vectors'!B"&amp;MATCH($B$2,'Word Vectors'!A:A,0)&amp;":Z"&amp;MATCH($B$2,'Word Vectors'!A:A,0))))*SQRT(SUMPRODUCT(INDIRECT("'Word Vectors'!B584:Z584"),INDIRECT("'Word Vectors'!B584:Z584")))))</f>
        <v/>
      </c>
      <c r="VO2">
        <f>IF(OR($B$2="",ISNA(MATCH($B$2,'Word Vectors'!A:A,0)),'Word Vectors'!A585=$B$2),"",SUMPRODUCT(INDIRECT("'Word Vectors'!B"&amp;MATCH($B$2,'Word Vectors'!A:A,0)&amp;":Z"&amp;MATCH($B$2,'Word Vectors'!A:A,0)),INDIRECT("'Word Vectors'!B585:Z585"))/(SQRT(SUMPRODUCT(INDIRECT("'Word Vectors'!B"&amp;MATCH($B$2,'Word Vectors'!A:A,0)&amp;":Z"&amp;MATCH($B$2,'Word Vectors'!A:A,0)),INDIRECT("'Word Vectors'!B"&amp;MATCH($B$2,'Word Vectors'!A:A,0)&amp;":Z"&amp;MATCH($B$2,'Word Vectors'!A:A,0))))*SQRT(SUMPRODUCT(INDIRECT("'Word Vectors'!B585:Z585"),INDIRECT("'Word Vectors'!B585:Z585")))))</f>
        <v/>
      </c>
      <c r="VP2">
        <f>IF(OR($B$2="",ISNA(MATCH($B$2,'Word Vectors'!A:A,0)),'Word Vectors'!A586=$B$2),"",SUMPRODUCT(INDIRECT("'Word Vectors'!B"&amp;MATCH($B$2,'Word Vectors'!A:A,0)&amp;":Z"&amp;MATCH($B$2,'Word Vectors'!A:A,0)),INDIRECT("'Word Vectors'!B586:Z586"))/(SQRT(SUMPRODUCT(INDIRECT("'Word Vectors'!B"&amp;MATCH($B$2,'Word Vectors'!A:A,0)&amp;":Z"&amp;MATCH($B$2,'Word Vectors'!A:A,0)),INDIRECT("'Word Vectors'!B"&amp;MATCH($B$2,'Word Vectors'!A:A,0)&amp;":Z"&amp;MATCH($B$2,'Word Vectors'!A:A,0))))*SQRT(SUMPRODUCT(INDIRECT("'Word Vectors'!B586:Z586"),INDIRECT("'Word Vectors'!B586:Z586")))))</f>
        <v/>
      </c>
      <c r="VQ2">
        <f>IF(OR($B$2="",ISNA(MATCH($B$2,'Word Vectors'!A:A,0)),'Word Vectors'!A587=$B$2),"",SUMPRODUCT(INDIRECT("'Word Vectors'!B"&amp;MATCH($B$2,'Word Vectors'!A:A,0)&amp;":Z"&amp;MATCH($B$2,'Word Vectors'!A:A,0)),INDIRECT("'Word Vectors'!B587:Z587"))/(SQRT(SUMPRODUCT(INDIRECT("'Word Vectors'!B"&amp;MATCH($B$2,'Word Vectors'!A:A,0)&amp;":Z"&amp;MATCH($B$2,'Word Vectors'!A:A,0)),INDIRECT("'Word Vectors'!B"&amp;MATCH($B$2,'Word Vectors'!A:A,0)&amp;":Z"&amp;MATCH($B$2,'Word Vectors'!A:A,0))))*SQRT(SUMPRODUCT(INDIRECT("'Word Vectors'!B587:Z587"),INDIRECT("'Word Vectors'!B587:Z587")))))</f>
        <v/>
      </c>
      <c r="VR2">
        <f>IF(OR($B$2="",ISNA(MATCH($B$2,'Word Vectors'!A:A,0)),'Word Vectors'!A588=$B$2),"",SUMPRODUCT(INDIRECT("'Word Vectors'!B"&amp;MATCH($B$2,'Word Vectors'!A:A,0)&amp;":Z"&amp;MATCH($B$2,'Word Vectors'!A:A,0)),INDIRECT("'Word Vectors'!B588:Z588"))/(SQRT(SUMPRODUCT(INDIRECT("'Word Vectors'!B"&amp;MATCH($B$2,'Word Vectors'!A:A,0)&amp;":Z"&amp;MATCH($B$2,'Word Vectors'!A:A,0)),INDIRECT("'Word Vectors'!B"&amp;MATCH($B$2,'Word Vectors'!A:A,0)&amp;":Z"&amp;MATCH($B$2,'Word Vectors'!A:A,0))))*SQRT(SUMPRODUCT(INDIRECT("'Word Vectors'!B588:Z588"),INDIRECT("'Word Vectors'!B588:Z588")))))</f>
        <v/>
      </c>
      <c r="VS2">
        <f>IF(OR($B$2="",ISNA(MATCH($B$2,'Word Vectors'!A:A,0)),'Word Vectors'!A589=$B$2),"",SUMPRODUCT(INDIRECT("'Word Vectors'!B"&amp;MATCH($B$2,'Word Vectors'!A:A,0)&amp;":Z"&amp;MATCH($B$2,'Word Vectors'!A:A,0)),INDIRECT("'Word Vectors'!B589:Z589"))/(SQRT(SUMPRODUCT(INDIRECT("'Word Vectors'!B"&amp;MATCH($B$2,'Word Vectors'!A:A,0)&amp;":Z"&amp;MATCH($B$2,'Word Vectors'!A:A,0)),INDIRECT("'Word Vectors'!B"&amp;MATCH($B$2,'Word Vectors'!A:A,0)&amp;":Z"&amp;MATCH($B$2,'Word Vectors'!A:A,0))))*SQRT(SUMPRODUCT(INDIRECT("'Word Vectors'!B589:Z589"),INDIRECT("'Word Vectors'!B589:Z589")))))</f>
        <v/>
      </c>
      <c r="VT2">
        <f>IF(OR($B$2="",ISNA(MATCH($B$2,'Word Vectors'!A:A,0)),'Word Vectors'!A590=$B$2),"",SUMPRODUCT(INDIRECT("'Word Vectors'!B"&amp;MATCH($B$2,'Word Vectors'!A:A,0)&amp;":Z"&amp;MATCH($B$2,'Word Vectors'!A:A,0)),INDIRECT("'Word Vectors'!B590:Z590"))/(SQRT(SUMPRODUCT(INDIRECT("'Word Vectors'!B"&amp;MATCH($B$2,'Word Vectors'!A:A,0)&amp;":Z"&amp;MATCH($B$2,'Word Vectors'!A:A,0)),INDIRECT("'Word Vectors'!B"&amp;MATCH($B$2,'Word Vectors'!A:A,0)&amp;":Z"&amp;MATCH($B$2,'Word Vectors'!A:A,0))))*SQRT(SUMPRODUCT(INDIRECT("'Word Vectors'!B590:Z590"),INDIRECT("'Word Vectors'!B590:Z590")))))</f>
        <v/>
      </c>
      <c r="VU2">
        <f>IF(OR($B$2="",ISNA(MATCH($B$2,'Word Vectors'!A:A,0)),'Word Vectors'!A591=$B$2),"",SUMPRODUCT(INDIRECT("'Word Vectors'!B"&amp;MATCH($B$2,'Word Vectors'!A:A,0)&amp;":Z"&amp;MATCH($B$2,'Word Vectors'!A:A,0)),INDIRECT("'Word Vectors'!B591:Z591"))/(SQRT(SUMPRODUCT(INDIRECT("'Word Vectors'!B"&amp;MATCH($B$2,'Word Vectors'!A:A,0)&amp;":Z"&amp;MATCH($B$2,'Word Vectors'!A:A,0)),INDIRECT("'Word Vectors'!B"&amp;MATCH($B$2,'Word Vectors'!A:A,0)&amp;":Z"&amp;MATCH($B$2,'Word Vectors'!A:A,0))))*SQRT(SUMPRODUCT(INDIRECT("'Word Vectors'!B591:Z591"),INDIRECT("'Word Vectors'!B591:Z591")))))</f>
        <v/>
      </c>
      <c r="VV2">
        <f>IF(OR($B$2="",ISNA(MATCH($B$2,'Word Vectors'!A:A,0)),'Word Vectors'!A592=$B$2),"",SUMPRODUCT(INDIRECT("'Word Vectors'!B"&amp;MATCH($B$2,'Word Vectors'!A:A,0)&amp;":Z"&amp;MATCH($B$2,'Word Vectors'!A:A,0)),INDIRECT("'Word Vectors'!B592:Z592"))/(SQRT(SUMPRODUCT(INDIRECT("'Word Vectors'!B"&amp;MATCH($B$2,'Word Vectors'!A:A,0)&amp;":Z"&amp;MATCH($B$2,'Word Vectors'!A:A,0)),INDIRECT("'Word Vectors'!B"&amp;MATCH($B$2,'Word Vectors'!A:A,0)&amp;":Z"&amp;MATCH($B$2,'Word Vectors'!A:A,0))))*SQRT(SUMPRODUCT(INDIRECT("'Word Vectors'!B592:Z592"),INDIRECT("'Word Vectors'!B592:Z592")))))</f>
        <v/>
      </c>
      <c r="VW2">
        <f>IF(OR($B$2="",ISNA(MATCH($B$2,'Word Vectors'!A:A,0)),'Word Vectors'!A593=$B$2),"",SUMPRODUCT(INDIRECT("'Word Vectors'!B"&amp;MATCH($B$2,'Word Vectors'!A:A,0)&amp;":Z"&amp;MATCH($B$2,'Word Vectors'!A:A,0)),INDIRECT("'Word Vectors'!B593:Z593"))/(SQRT(SUMPRODUCT(INDIRECT("'Word Vectors'!B"&amp;MATCH($B$2,'Word Vectors'!A:A,0)&amp;":Z"&amp;MATCH($B$2,'Word Vectors'!A:A,0)),INDIRECT("'Word Vectors'!B"&amp;MATCH($B$2,'Word Vectors'!A:A,0)&amp;":Z"&amp;MATCH($B$2,'Word Vectors'!A:A,0))))*SQRT(SUMPRODUCT(INDIRECT("'Word Vectors'!B593:Z593"),INDIRECT("'Word Vectors'!B593:Z593")))))</f>
        <v/>
      </c>
      <c r="VX2">
        <f>IF(OR($B$2="",ISNA(MATCH($B$2,'Word Vectors'!A:A,0)),'Word Vectors'!A594=$B$2),"",SUMPRODUCT(INDIRECT("'Word Vectors'!B"&amp;MATCH($B$2,'Word Vectors'!A:A,0)&amp;":Z"&amp;MATCH($B$2,'Word Vectors'!A:A,0)),INDIRECT("'Word Vectors'!B594:Z594"))/(SQRT(SUMPRODUCT(INDIRECT("'Word Vectors'!B"&amp;MATCH($B$2,'Word Vectors'!A:A,0)&amp;":Z"&amp;MATCH($B$2,'Word Vectors'!A:A,0)),INDIRECT("'Word Vectors'!B"&amp;MATCH($B$2,'Word Vectors'!A:A,0)&amp;":Z"&amp;MATCH($B$2,'Word Vectors'!A:A,0))))*SQRT(SUMPRODUCT(INDIRECT("'Word Vectors'!B594:Z594"),INDIRECT("'Word Vectors'!B594:Z594")))))</f>
        <v/>
      </c>
      <c r="VY2">
        <f>IF(OR($B$2="",ISNA(MATCH($B$2,'Word Vectors'!A:A,0)),'Word Vectors'!A595=$B$2),"",SUMPRODUCT(INDIRECT("'Word Vectors'!B"&amp;MATCH($B$2,'Word Vectors'!A:A,0)&amp;":Z"&amp;MATCH($B$2,'Word Vectors'!A:A,0)),INDIRECT("'Word Vectors'!B595:Z595"))/(SQRT(SUMPRODUCT(INDIRECT("'Word Vectors'!B"&amp;MATCH($B$2,'Word Vectors'!A:A,0)&amp;":Z"&amp;MATCH($B$2,'Word Vectors'!A:A,0)),INDIRECT("'Word Vectors'!B"&amp;MATCH($B$2,'Word Vectors'!A:A,0)&amp;":Z"&amp;MATCH($B$2,'Word Vectors'!A:A,0))))*SQRT(SUMPRODUCT(INDIRECT("'Word Vectors'!B595:Z595"),INDIRECT("'Word Vectors'!B595:Z595")))))</f>
        <v/>
      </c>
      <c r="VZ2">
        <f>IF(OR($B$2="",ISNA(MATCH($B$2,'Word Vectors'!A:A,0)),'Word Vectors'!A596=$B$2),"",SUMPRODUCT(INDIRECT("'Word Vectors'!B"&amp;MATCH($B$2,'Word Vectors'!A:A,0)&amp;":Z"&amp;MATCH($B$2,'Word Vectors'!A:A,0)),INDIRECT("'Word Vectors'!B596:Z596"))/(SQRT(SUMPRODUCT(INDIRECT("'Word Vectors'!B"&amp;MATCH($B$2,'Word Vectors'!A:A,0)&amp;":Z"&amp;MATCH($B$2,'Word Vectors'!A:A,0)),INDIRECT("'Word Vectors'!B"&amp;MATCH($B$2,'Word Vectors'!A:A,0)&amp;":Z"&amp;MATCH($B$2,'Word Vectors'!A:A,0))))*SQRT(SUMPRODUCT(INDIRECT("'Word Vectors'!B596:Z596"),INDIRECT("'Word Vectors'!B596:Z596")))))</f>
        <v/>
      </c>
      <c r="WA2">
        <f>IF(OR($B$2="",ISNA(MATCH($B$2,'Word Vectors'!A:A,0)),'Word Vectors'!A597=$B$2),"",SUMPRODUCT(INDIRECT("'Word Vectors'!B"&amp;MATCH($B$2,'Word Vectors'!A:A,0)&amp;":Z"&amp;MATCH($B$2,'Word Vectors'!A:A,0)),INDIRECT("'Word Vectors'!B597:Z597"))/(SQRT(SUMPRODUCT(INDIRECT("'Word Vectors'!B"&amp;MATCH($B$2,'Word Vectors'!A:A,0)&amp;":Z"&amp;MATCH($B$2,'Word Vectors'!A:A,0)),INDIRECT("'Word Vectors'!B"&amp;MATCH($B$2,'Word Vectors'!A:A,0)&amp;":Z"&amp;MATCH($B$2,'Word Vectors'!A:A,0))))*SQRT(SUMPRODUCT(INDIRECT("'Word Vectors'!B597:Z597"),INDIRECT("'Word Vectors'!B597:Z597")))))</f>
        <v/>
      </c>
      <c r="WB2">
        <f>IF(OR($B$2="",ISNA(MATCH($B$2,'Word Vectors'!A:A,0)),'Word Vectors'!A598=$B$2),"",SUMPRODUCT(INDIRECT("'Word Vectors'!B"&amp;MATCH($B$2,'Word Vectors'!A:A,0)&amp;":Z"&amp;MATCH($B$2,'Word Vectors'!A:A,0)),INDIRECT("'Word Vectors'!B598:Z598"))/(SQRT(SUMPRODUCT(INDIRECT("'Word Vectors'!B"&amp;MATCH($B$2,'Word Vectors'!A:A,0)&amp;":Z"&amp;MATCH($B$2,'Word Vectors'!A:A,0)),INDIRECT("'Word Vectors'!B"&amp;MATCH($B$2,'Word Vectors'!A:A,0)&amp;":Z"&amp;MATCH($B$2,'Word Vectors'!A:A,0))))*SQRT(SUMPRODUCT(INDIRECT("'Word Vectors'!B598:Z598"),INDIRECT("'Word Vectors'!B598:Z598")))))</f>
        <v/>
      </c>
      <c r="WC2">
        <f>IF(OR($B$2="",ISNA(MATCH($B$2,'Word Vectors'!A:A,0)),'Word Vectors'!A599=$B$2),"",SUMPRODUCT(INDIRECT("'Word Vectors'!B"&amp;MATCH($B$2,'Word Vectors'!A:A,0)&amp;":Z"&amp;MATCH($B$2,'Word Vectors'!A:A,0)),INDIRECT("'Word Vectors'!B599:Z599"))/(SQRT(SUMPRODUCT(INDIRECT("'Word Vectors'!B"&amp;MATCH($B$2,'Word Vectors'!A:A,0)&amp;":Z"&amp;MATCH($B$2,'Word Vectors'!A:A,0)),INDIRECT("'Word Vectors'!B"&amp;MATCH($B$2,'Word Vectors'!A:A,0)&amp;":Z"&amp;MATCH($B$2,'Word Vectors'!A:A,0))))*SQRT(SUMPRODUCT(INDIRECT("'Word Vectors'!B599:Z599"),INDIRECT("'Word Vectors'!B599:Z599")))))</f>
        <v/>
      </c>
      <c r="WD2">
        <f>IF(OR($B$2="",ISNA(MATCH($B$2,'Word Vectors'!A:A,0)),'Word Vectors'!A600=$B$2),"",SUMPRODUCT(INDIRECT("'Word Vectors'!B"&amp;MATCH($B$2,'Word Vectors'!A:A,0)&amp;":Z"&amp;MATCH($B$2,'Word Vectors'!A:A,0)),INDIRECT("'Word Vectors'!B600:Z600"))/(SQRT(SUMPRODUCT(INDIRECT("'Word Vectors'!B"&amp;MATCH($B$2,'Word Vectors'!A:A,0)&amp;":Z"&amp;MATCH($B$2,'Word Vectors'!A:A,0)),INDIRECT("'Word Vectors'!B"&amp;MATCH($B$2,'Word Vectors'!A:A,0)&amp;":Z"&amp;MATCH($B$2,'Word Vectors'!A:A,0))))*SQRT(SUMPRODUCT(INDIRECT("'Word Vectors'!B600:Z600"),INDIRECT("'Word Vectors'!B600:Z600")))))</f>
        <v/>
      </c>
      <c r="WE2">
        <f>IF(OR($B$2="",ISNA(MATCH($B$2,'Word Vectors'!A:A,0)),'Word Vectors'!A601=$B$2),"",SUMPRODUCT(INDIRECT("'Word Vectors'!B"&amp;MATCH($B$2,'Word Vectors'!A:A,0)&amp;":Z"&amp;MATCH($B$2,'Word Vectors'!A:A,0)),INDIRECT("'Word Vectors'!B601:Z601"))/(SQRT(SUMPRODUCT(INDIRECT("'Word Vectors'!B"&amp;MATCH($B$2,'Word Vectors'!A:A,0)&amp;":Z"&amp;MATCH($B$2,'Word Vectors'!A:A,0)),INDIRECT("'Word Vectors'!B"&amp;MATCH($B$2,'Word Vectors'!A:A,0)&amp;":Z"&amp;MATCH($B$2,'Word Vectors'!A:A,0))))*SQRT(SUMPRODUCT(INDIRECT("'Word Vectors'!B601:Z601"),INDIRECT("'Word Vectors'!B601:Z601")))))</f>
        <v/>
      </c>
      <c r="WF2">
        <f>IF(OR($B$2="",ISNA(MATCH($B$2,'Word Vectors'!A:A,0)),'Word Vectors'!A602=$B$2),"",SUMPRODUCT(INDIRECT("'Word Vectors'!B"&amp;MATCH($B$2,'Word Vectors'!A:A,0)&amp;":Z"&amp;MATCH($B$2,'Word Vectors'!A:A,0)),INDIRECT("'Word Vectors'!B602:Z602"))/(SQRT(SUMPRODUCT(INDIRECT("'Word Vectors'!B"&amp;MATCH($B$2,'Word Vectors'!A:A,0)&amp;":Z"&amp;MATCH($B$2,'Word Vectors'!A:A,0)),INDIRECT("'Word Vectors'!B"&amp;MATCH($B$2,'Word Vectors'!A:A,0)&amp;":Z"&amp;MATCH($B$2,'Word Vectors'!A:A,0))))*SQRT(SUMPRODUCT(INDIRECT("'Word Vectors'!B602:Z602"),INDIRECT("'Word Vectors'!B602:Z602")))))</f>
        <v/>
      </c>
      <c r="WG2">
        <f>IF(OR($B$2="",ISNA(MATCH($B$2,'Word Vectors'!A:A,0)),'Word Vectors'!A603=$B$2),"",SUMPRODUCT(INDIRECT("'Word Vectors'!B"&amp;MATCH($B$2,'Word Vectors'!A:A,0)&amp;":Z"&amp;MATCH($B$2,'Word Vectors'!A:A,0)),INDIRECT("'Word Vectors'!B603:Z603"))/(SQRT(SUMPRODUCT(INDIRECT("'Word Vectors'!B"&amp;MATCH($B$2,'Word Vectors'!A:A,0)&amp;":Z"&amp;MATCH($B$2,'Word Vectors'!A:A,0)),INDIRECT("'Word Vectors'!B"&amp;MATCH($B$2,'Word Vectors'!A:A,0)&amp;":Z"&amp;MATCH($B$2,'Word Vectors'!A:A,0))))*SQRT(SUMPRODUCT(INDIRECT("'Word Vectors'!B603:Z603"),INDIRECT("'Word Vectors'!B603:Z603")))))</f>
        <v/>
      </c>
      <c r="WH2">
        <f>IF(OR($B$2="",ISNA(MATCH($B$2,'Word Vectors'!A:A,0)),'Word Vectors'!A604=$B$2),"",SUMPRODUCT(INDIRECT("'Word Vectors'!B"&amp;MATCH($B$2,'Word Vectors'!A:A,0)&amp;":Z"&amp;MATCH($B$2,'Word Vectors'!A:A,0)),INDIRECT("'Word Vectors'!B604:Z604"))/(SQRT(SUMPRODUCT(INDIRECT("'Word Vectors'!B"&amp;MATCH($B$2,'Word Vectors'!A:A,0)&amp;":Z"&amp;MATCH($B$2,'Word Vectors'!A:A,0)),INDIRECT("'Word Vectors'!B"&amp;MATCH($B$2,'Word Vectors'!A:A,0)&amp;":Z"&amp;MATCH($B$2,'Word Vectors'!A:A,0))))*SQRT(SUMPRODUCT(INDIRECT("'Word Vectors'!B604:Z604"),INDIRECT("'Word Vectors'!B604:Z604")))))</f>
        <v/>
      </c>
      <c r="WI2">
        <f>IF(OR($B$2="",ISNA(MATCH($B$2,'Word Vectors'!A:A,0)),'Word Vectors'!A605=$B$2),"",SUMPRODUCT(INDIRECT("'Word Vectors'!B"&amp;MATCH($B$2,'Word Vectors'!A:A,0)&amp;":Z"&amp;MATCH($B$2,'Word Vectors'!A:A,0)),INDIRECT("'Word Vectors'!B605:Z605"))/(SQRT(SUMPRODUCT(INDIRECT("'Word Vectors'!B"&amp;MATCH($B$2,'Word Vectors'!A:A,0)&amp;":Z"&amp;MATCH($B$2,'Word Vectors'!A:A,0)),INDIRECT("'Word Vectors'!B"&amp;MATCH($B$2,'Word Vectors'!A:A,0)&amp;":Z"&amp;MATCH($B$2,'Word Vectors'!A:A,0))))*SQRT(SUMPRODUCT(INDIRECT("'Word Vectors'!B605:Z605"),INDIRECT("'Word Vectors'!B605:Z605")))))</f>
        <v/>
      </c>
      <c r="WJ2">
        <f>IF(OR($B$2="",ISNA(MATCH($B$2,'Word Vectors'!A:A,0)),'Word Vectors'!A606=$B$2),"",SUMPRODUCT(INDIRECT("'Word Vectors'!B"&amp;MATCH($B$2,'Word Vectors'!A:A,0)&amp;":Z"&amp;MATCH($B$2,'Word Vectors'!A:A,0)),INDIRECT("'Word Vectors'!B606:Z606"))/(SQRT(SUMPRODUCT(INDIRECT("'Word Vectors'!B"&amp;MATCH($B$2,'Word Vectors'!A:A,0)&amp;":Z"&amp;MATCH($B$2,'Word Vectors'!A:A,0)),INDIRECT("'Word Vectors'!B"&amp;MATCH($B$2,'Word Vectors'!A:A,0)&amp;":Z"&amp;MATCH($B$2,'Word Vectors'!A:A,0))))*SQRT(SUMPRODUCT(INDIRECT("'Word Vectors'!B606:Z606"),INDIRECT("'Word Vectors'!B606:Z606")))))</f>
        <v/>
      </c>
      <c r="WK2">
        <f>IF(OR($B$2="",ISNA(MATCH($B$2,'Word Vectors'!A:A,0)),'Word Vectors'!A607=$B$2),"",SUMPRODUCT(INDIRECT("'Word Vectors'!B"&amp;MATCH($B$2,'Word Vectors'!A:A,0)&amp;":Z"&amp;MATCH($B$2,'Word Vectors'!A:A,0)),INDIRECT("'Word Vectors'!B607:Z607"))/(SQRT(SUMPRODUCT(INDIRECT("'Word Vectors'!B"&amp;MATCH($B$2,'Word Vectors'!A:A,0)&amp;":Z"&amp;MATCH($B$2,'Word Vectors'!A:A,0)),INDIRECT("'Word Vectors'!B"&amp;MATCH($B$2,'Word Vectors'!A:A,0)&amp;":Z"&amp;MATCH($B$2,'Word Vectors'!A:A,0))))*SQRT(SUMPRODUCT(INDIRECT("'Word Vectors'!B607:Z607"),INDIRECT("'Word Vectors'!B607:Z607")))))</f>
        <v/>
      </c>
      <c r="WL2">
        <f>IF(OR($B$2="",ISNA(MATCH($B$2,'Word Vectors'!A:A,0)),'Word Vectors'!A608=$B$2),"",SUMPRODUCT(INDIRECT("'Word Vectors'!B"&amp;MATCH($B$2,'Word Vectors'!A:A,0)&amp;":Z"&amp;MATCH($B$2,'Word Vectors'!A:A,0)),INDIRECT("'Word Vectors'!B608:Z608"))/(SQRT(SUMPRODUCT(INDIRECT("'Word Vectors'!B"&amp;MATCH($B$2,'Word Vectors'!A:A,0)&amp;":Z"&amp;MATCH($B$2,'Word Vectors'!A:A,0)),INDIRECT("'Word Vectors'!B"&amp;MATCH($B$2,'Word Vectors'!A:A,0)&amp;":Z"&amp;MATCH($B$2,'Word Vectors'!A:A,0))))*SQRT(SUMPRODUCT(INDIRECT("'Word Vectors'!B608:Z608"),INDIRECT("'Word Vectors'!B608:Z608")))))</f>
        <v/>
      </c>
      <c r="WM2">
        <f>IF(OR($B$2="",ISNA(MATCH($B$2,'Word Vectors'!A:A,0)),'Word Vectors'!A609=$B$2),"",SUMPRODUCT(INDIRECT("'Word Vectors'!B"&amp;MATCH($B$2,'Word Vectors'!A:A,0)&amp;":Z"&amp;MATCH($B$2,'Word Vectors'!A:A,0)),INDIRECT("'Word Vectors'!B609:Z609"))/(SQRT(SUMPRODUCT(INDIRECT("'Word Vectors'!B"&amp;MATCH($B$2,'Word Vectors'!A:A,0)&amp;":Z"&amp;MATCH($B$2,'Word Vectors'!A:A,0)),INDIRECT("'Word Vectors'!B"&amp;MATCH($B$2,'Word Vectors'!A:A,0)&amp;":Z"&amp;MATCH($B$2,'Word Vectors'!A:A,0))))*SQRT(SUMPRODUCT(INDIRECT("'Word Vectors'!B609:Z609"),INDIRECT("'Word Vectors'!B609:Z609")))))</f>
        <v/>
      </c>
      <c r="WN2">
        <f>IF(OR($B$2="",ISNA(MATCH($B$2,'Word Vectors'!A:A,0)),'Word Vectors'!A610=$B$2),"",SUMPRODUCT(INDIRECT("'Word Vectors'!B"&amp;MATCH($B$2,'Word Vectors'!A:A,0)&amp;":Z"&amp;MATCH($B$2,'Word Vectors'!A:A,0)),INDIRECT("'Word Vectors'!B610:Z610"))/(SQRT(SUMPRODUCT(INDIRECT("'Word Vectors'!B"&amp;MATCH($B$2,'Word Vectors'!A:A,0)&amp;":Z"&amp;MATCH($B$2,'Word Vectors'!A:A,0)),INDIRECT("'Word Vectors'!B"&amp;MATCH($B$2,'Word Vectors'!A:A,0)&amp;":Z"&amp;MATCH($B$2,'Word Vectors'!A:A,0))))*SQRT(SUMPRODUCT(INDIRECT("'Word Vectors'!B610:Z610"),INDIRECT("'Word Vectors'!B610:Z610")))))</f>
        <v/>
      </c>
      <c r="WO2">
        <f>IF(OR($B$2="",ISNA(MATCH($B$2,'Word Vectors'!A:A,0)),'Word Vectors'!A611=$B$2),"",SUMPRODUCT(INDIRECT("'Word Vectors'!B"&amp;MATCH($B$2,'Word Vectors'!A:A,0)&amp;":Z"&amp;MATCH($B$2,'Word Vectors'!A:A,0)),INDIRECT("'Word Vectors'!B611:Z611"))/(SQRT(SUMPRODUCT(INDIRECT("'Word Vectors'!B"&amp;MATCH($B$2,'Word Vectors'!A:A,0)&amp;":Z"&amp;MATCH($B$2,'Word Vectors'!A:A,0)),INDIRECT("'Word Vectors'!B"&amp;MATCH($B$2,'Word Vectors'!A:A,0)&amp;":Z"&amp;MATCH($B$2,'Word Vectors'!A:A,0))))*SQRT(SUMPRODUCT(INDIRECT("'Word Vectors'!B611:Z611"),INDIRECT("'Word Vectors'!B611:Z611")))))</f>
        <v/>
      </c>
      <c r="WP2">
        <f>IF(OR($B$2="",ISNA(MATCH($B$2,'Word Vectors'!A:A,0)),'Word Vectors'!A612=$B$2),"",SUMPRODUCT(INDIRECT("'Word Vectors'!B"&amp;MATCH($B$2,'Word Vectors'!A:A,0)&amp;":Z"&amp;MATCH($B$2,'Word Vectors'!A:A,0)),INDIRECT("'Word Vectors'!B612:Z612"))/(SQRT(SUMPRODUCT(INDIRECT("'Word Vectors'!B"&amp;MATCH($B$2,'Word Vectors'!A:A,0)&amp;":Z"&amp;MATCH($B$2,'Word Vectors'!A:A,0)),INDIRECT("'Word Vectors'!B"&amp;MATCH($B$2,'Word Vectors'!A:A,0)&amp;":Z"&amp;MATCH($B$2,'Word Vectors'!A:A,0))))*SQRT(SUMPRODUCT(INDIRECT("'Word Vectors'!B612:Z612"),INDIRECT("'Word Vectors'!B612:Z612")))))</f>
        <v/>
      </c>
      <c r="WQ2">
        <f>IF(OR($B$2="",ISNA(MATCH($B$2,'Word Vectors'!A:A,0)),'Word Vectors'!A613=$B$2),"",SUMPRODUCT(INDIRECT("'Word Vectors'!B"&amp;MATCH($B$2,'Word Vectors'!A:A,0)&amp;":Z"&amp;MATCH($B$2,'Word Vectors'!A:A,0)),INDIRECT("'Word Vectors'!B613:Z613"))/(SQRT(SUMPRODUCT(INDIRECT("'Word Vectors'!B"&amp;MATCH($B$2,'Word Vectors'!A:A,0)&amp;":Z"&amp;MATCH($B$2,'Word Vectors'!A:A,0)),INDIRECT("'Word Vectors'!B"&amp;MATCH($B$2,'Word Vectors'!A:A,0)&amp;":Z"&amp;MATCH($B$2,'Word Vectors'!A:A,0))))*SQRT(SUMPRODUCT(INDIRECT("'Word Vectors'!B613:Z613"),INDIRECT("'Word Vectors'!B613:Z613")))))</f>
        <v/>
      </c>
      <c r="WR2">
        <f>IF(OR($B$2="",ISNA(MATCH($B$2,'Word Vectors'!A:A,0)),'Word Vectors'!A614=$B$2),"",SUMPRODUCT(INDIRECT("'Word Vectors'!B"&amp;MATCH($B$2,'Word Vectors'!A:A,0)&amp;":Z"&amp;MATCH($B$2,'Word Vectors'!A:A,0)),INDIRECT("'Word Vectors'!B614:Z614"))/(SQRT(SUMPRODUCT(INDIRECT("'Word Vectors'!B"&amp;MATCH($B$2,'Word Vectors'!A:A,0)&amp;":Z"&amp;MATCH($B$2,'Word Vectors'!A:A,0)),INDIRECT("'Word Vectors'!B"&amp;MATCH($B$2,'Word Vectors'!A:A,0)&amp;":Z"&amp;MATCH($B$2,'Word Vectors'!A:A,0))))*SQRT(SUMPRODUCT(INDIRECT("'Word Vectors'!B614:Z614"),INDIRECT("'Word Vectors'!B614:Z614")))))</f>
        <v/>
      </c>
      <c r="WS2">
        <f>IF(OR($B$2="",ISNA(MATCH($B$2,'Word Vectors'!A:A,0)),'Word Vectors'!A615=$B$2),"",SUMPRODUCT(INDIRECT("'Word Vectors'!B"&amp;MATCH($B$2,'Word Vectors'!A:A,0)&amp;":Z"&amp;MATCH($B$2,'Word Vectors'!A:A,0)),INDIRECT("'Word Vectors'!B615:Z615"))/(SQRT(SUMPRODUCT(INDIRECT("'Word Vectors'!B"&amp;MATCH($B$2,'Word Vectors'!A:A,0)&amp;":Z"&amp;MATCH($B$2,'Word Vectors'!A:A,0)),INDIRECT("'Word Vectors'!B"&amp;MATCH($B$2,'Word Vectors'!A:A,0)&amp;":Z"&amp;MATCH($B$2,'Word Vectors'!A:A,0))))*SQRT(SUMPRODUCT(INDIRECT("'Word Vectors'!B615:Z615"),INDIRECT("'Word Vectors'!B615:Z615")))))</f>
        <v/>
      </c>
      <c r="WT2">
        <f>IF(OR($B$2="",ISNA(MATCH($B$2,'Word Vectors'!A:A,0)),'Word Vectors'!A616=$B$2),"",SUMPRODUCT(INDIRECT("'Word Vectors'!B"&amp;MATCH($B$2,'Word Vectors'!A:A,0)&amp;":Z"&amp;MATCH($B$2,'Word Vectors'!A:A,0)),INDIRECT("'Word Vectors'!B616:Z616"))/(SQRT(SUMPRODUCT(INDIRECT("'Word Vectors'!B"&amp;MATCH($B$2,'Word Vectors'!A:A,0)&amp;":Z"&amp;MATCH($B$2,'Word Vectors'!A:A,0)),INDIRECT("'Word Vectors'!B"&amp;MATCH($B$2,'Word Vectors'!A:A,0)&amp;":Z"&amp;MATCH($B$2,'Word Vectors'!A:A,0))))*SQRT(SUMPRODUCT(INDIRECT("'Word Vectors'!B616:Z616"),INDIRECT("'Word Vectors'!B616:Z616")))))</f>
        <v/>
      </c>
      <c r="WU2">
        <f>IF(OR($B$2="",ISNA(MATCH($B$2,'Word Vectors'!A:A,0)),'Word Vectors'!A617=$B$2),"",SUMPRODUCT(INDIRECT("'Word Vectors'!B"&amp;MATCH($B$2,'Word Vectors'!A:A,0)&amp;":Z"&amp;MATCH($B$2,'Word Vectors'!A:A,0)),INDIRECT("'Word Vectors'!B617:Z617"))/(SQRT(SUMPRODUCT(INDIRECT("'Word Vectors'!B"&amp;MATCH($B$2,'Word Vectors'!A:A,0)&amp;":Z"&amp;MATCH($B$2,'Word Vectors'!A:A,0)),INDIRECT("'Word Vectors'!B"&amp;MATCH($B$2,'Word Vectors'!A:A,0)&amp;":Z"&amp;MATCH($B$2,'Word Vectors'!A:A,0))))*SQRT(SUMPRODUCT(INDIRECT("'Word Vectors'!B617:Z617"),INDIRECT("'Word Vectors'!B617:Z617")))))</f>
        <v/>
      </c>
      <c r="WV2">
        <f>IF(OR($B$2="",ISNA(MATCH($B$2,'Word Vectors'!A:A,0)),'Word Vectors'!A618=$B$2),"",SUMPRODUCT(INDIRECT("'Word Vectors'!B"&amp;MATCH($B$2,'Word Vectors'!A:A,0)&amp;":Z"&amp;MATCH($B$2,'Word Vectors'!A:A,0)),INDIRECT("'Word Vectors'!B618:Z618"))/(SQRT(SUMPRODUCT(INDIRECT("'Word Vectors'!B"&amp;MATCH($B$2,'Word Vectors'!A:A,0)&amp;":Z"&amp;MATCH($B$2,'Word Vectors'!A:A,0)),INDIRECT("'Word Vectors'!B"&amp;MATCH($B$2,'Word Vectors'!A:A,0)&amp;":Z"&amp;MATCH($B$2,'Word Vectors'!A:A,0))))*SQRT(SUMPRODUCT(INDIRECT("'Word Vectors'!B618:Z618"),INDIRECT("'Word Vectors'!B618:Z618")))))</f>
        <v/>
      </c>
      <c r="WW2">
        <f>IF(OR($B$2="",ISNA(MATCH($B$2,'Word Vectors'!A:A,0)),'Word Vectors'!A619=$B$2),"",SUMPRODUCT(INDIRECT("'Word Vectors'!B"&amp;MATCH($B$2,'Word Vectors'!A:A,0)&amp;":Z"&amp;MATCH($B$2,'Word Vectors'!A:A,0)),INDIRECT("'Word Vectors'!B619:Z619"))/(SQRT(SUMPRODUCT(INDIRECT("'Word Vectors'!B"&amp;MATCH($B$2,'Word Vectors'!A:A,0)&amp;":Z"&amp;MATCH($B$2,'Word Vectors'!A:A,0)),INDIRECT("'Word Vectors'!B"&amp;MATCH($B$2,'Word Vectors'!A:A,0)&amp;":Z"&amp;MATCH($B$2,'Word Vectors'!A:A,0))))*SQRT(SUMPRODUCT(INDIRECT("'Word Vectors'!B619:Z619"),INDIRECT("'Word Vectors'!B619:Z619")))))</f>
        <v/>
      </c>
      <c r="WX2">
        <f>IF(OR($B$2="",ISNA(MATCH($B$2,'Word Vectors'!A:A,0)),'Word Vectors'!A620=$B$2),"",SUMPRODUCT(INDIRECT("'Word Vectors'!B"&amp;MATCH($B$2,'Word Vectors'!A:A,0)&amp;":Z"&amp;MATCH($B$2,'Word Vectors'!A:A,0)),INDIRECT("'Word Vectors'!B620:Z620"))/(SQRT(SUMPRODUCT(INDIRECT("'Word Vectors'!B"&amp;MATCH($B$2,'Word Vectors'!A:A,0)&amp;":Z"&amp;MATCH($B$2,'Word Vectors'!A:A,0)),INDIRECT("'Word Vectors'!B"&amp;MATCH($B$2,'Word Vectors'!A:A,0)&amp;":Z"&amp;MATCH($B$2,'Word Vectors'!A:A,0))))*SQRT(SUMPRODUCT(INDIRECT("'Word Vectors'!B620:Z620"),INDIRECT("'Word Vectors'!B620:Z620")))))</f>
        <v/>
      </c>
      <c r="WY2">
        <f>IF(OR($B$2="",ISNA(MATCH($B$2,'Word Vectors'!A:A,0)),'Word Vectors'!A621=$B$2),"",SUMPRODUCT(INDIRECT("'Word Vectors'!B"&amp;MATCH($B$2,'Word Vectors'!A:A,0)&amp;":Z"&amp;MATCH($B$2,'Word Vectors'!A:A,0)),INDIRECT("'Word Vectors'!B621:Z621"))/(SQRT(SUMPRODUCT(INDIRECT("'Word Vectors'!B"&amp;MATCH($B$2,'Word Vectors'!A:A,0)&amp;":Z"&amp;MATCH($B$2,'Word Vectors'!A:A,0)),INDIRECT("'Word Vectors'!B"&amp;MATCH($B$2,'Word Vectors'!A:A,0)&amp;":Z"&amp;MATCH($B$2,'Word Vectors'!A:A,0))))*SQRT(SUMPRODUCT(INDIRECT("'Word Vectors'!B621:Z621"),INDIRECT("'Word Vectors'!B621:Z621")))))</f>
        <v/>
      </c>
      <c r="WZ2">
        <f>IF(OR($B$2="",ISNA(MATCH($B$2,'Word Vectors'!A:A,0)),'Word Vectors'!A622=$B$2),"",SUMPRODUCT(INDIRECT("'Word Vectors'!B"&amp;MATCH($B$2,'Word Vectors'!A:A,0)&amp;":Z"&amp;MATCH($B$2,'Word Vectors'!A:A,0)),INDIRECT("'Word Vectors'!B622:Z622"))/(SQRT(SUMPRODUCT(INDIRECT("'Word Vectors'!B"&amp;MATCH($B$2,'Word Vectors'!A:A,0)&amp;":Z"&amp;MATCH($B$2,'Word Vectors'!A:A,0)),INDIRECT("'Word Vectors'!B"&amp;MATCH($B$2,'Word Vectors'!A:A,0)&amp;":Z"&amp;MATCH($B$2,'Word Vectors'!A:A,0))))*SQRT(SUMPRODUCT(INDIRECT("'Word Vectors'!B622:Z622"),INDIRECT("'Word Vectors'!B622:Z622")))))</f>
        <v/>
      </c>
      <c r="XA2">
        <f>IF(OR($B$2="",ISNA(MATCH($B$2,'Word Vectors'!A:A,0)),'Word Vectors'!A623=$B$2),"",SUMPRODUCT(INDIRECT("'Word Vectors'!B"&amp;MATCH($B$2,'Word Vectors'!A:A,0)&amp;":Z"&amp;MATCH($B$2,'Word Vectors'!A:A,0)),INDIRECT("'Word Vectors'!B623:Z623"))/(SQRT(SUMPRODUCT(INDIRECT("'Word Vectors'!B"&amp;MATCH($B$2,'Word Vectors'!A:A,0)&amp;":Z"&amp;MATCH($B$2,'Word Vectors'!A:A,0)),INDIRECT("'Word Vectors'!B"&amp;MATCH($B$2,'Word Vectors'!A:A,0)&amp;":Z"&amp;MATCH($B$2,'Word Vectors'!A:A,0))))*SQRT(SUMPRODUCT(INDIRECT("'Word Vectors'!B623:Z623"),INDIRECT("'Word Vectors'!B623:Z623")))))</f>
        <v/>
      </c>
      <c r="XB2">
        <f>IF(OR($B$2="",ISNA(MATCH($B$2,'Word Vectors'!A:A,0)),'Word Vectors'!A624=$B$2),"",SUMPRODUCT(INDIRECT("'Word Vectors'!B"&amp;MATCH($B$2,'Word Vectors'!A:A,0)&amp;":Z"&amp;MATCH($B$2,'Word Vectors'!A:A,0)),INDIRECT("'Word Vectors'!B624:Z624"))/(SQRT(SUMPRODUCT(INDIRECT("'Word Vectors'!B"&amp;MATCH($B$2,'Word Vectors'!A:A,0)&amp;":Z"&amp;MATCH($B$2,'Word Vectors'!A:A,0)),INDIRECT("'Word Vectors'!B"&amp;MATCH($B$2,'Word Vectors'!A:A,0)&amp;":Z"&amp;MATCH($B$2,'Word Vectors'!A:A,0))))*SQRT(SUMPRODUCT(INDIRECT("'Word Vectors'!B624:Z624"),INDIRECT("'Word Vectors'!B624:Z624")))))</f>
        <v/>
      </c>
      <c r="XC2">
        <f>IF(OR($B$2="",ISNA(MATCH($B$2,'Word Vectors'!A:A,0)),'Word Vectors'!A625=$B$2),"",SUMPRODUCT(INDIRECT("'Word Vectors'!B"&amp;MATCH($B$2,'Word Vectors'!A:A,0)&amp;":Z"&amp;MATCH($B$2,'Word Vectors'!A:A,0)),INDIRECT("'Word Vectors'!B625:Z625"))/(SQRT(SUMPRODUCT(INDIRECT("'Word Vectors'!B"&amp;MATCH($B$2,'Word Vectors'!A:A,0)&amp;":Z"&amp;MATCH($B$2,'Word Vectors'!A:A,0)),INDIRECT("'Word Vectors'!B"&amp;MATCH($B$2,'Word Vectors'!A:A,0)&amp;":Z"&amp;MATCH($B$2,'Word Vectors'!A:A,0))))*SQRT(SUMPRODUCT(INDIRECT("'Word Vectors'!B625:Z625"),INDIRECT("'Word Vectors'!B625:Z625")))))</f>
        <v/>
      </c>
      <c r="XD2">
        <f>IF(OR($B$2="",ISNA(MATCH($B$2,'Word Vectors'!A:A,0)),'Word Vectors'!A626=$B$2),"",SUMPRODUCT(INDIRECT("'Word Vectors'!B"&amp;MATCH($B$2,'Word Vectors'!A:A,0)&amp;":Z"&amp;MATCH($B$2,'Word Vectors'!A:A,0)),INDIRECT("'Word Vectors'!B626:Z626"))/(SQRT(SUMPRODUCT(INDIRECT("'Word Vectors'!B"&amp;MATCH($B$2,'Word Vectors'!A:A,0)&amp;":Z"&amp;MATCH($B$2,'Word Vectors'!A:A,0)),INDIRECT("'Word Vectors'!B"&amp;MATCH($B$2,'Word Vectors'!A:A,0)&amp;":Z"&amp;MATCH($B$2,'Word Vectors'!A:A,0))))*SQRT(SUMPRODUCT(INDIRECT("'Word Vectors'!B626:Z626"),INDIRECT("'Word Vectors'!B626:Z626")))))</f>
        <v/>
      </c>
      <c r="XE2">
        <f>IF(OR($B$2="",ISNA(MATCH($B$2,'Word Vectors'!A:A,0)),'Word Vectors'!A627=$B$2),"",SUMPRODUCT(INDIRECT("'Word Vectors'!B"&amp;MATCH($B$2,'Word Vectors'!A:A,0)&amp;":Z"&amp;MATCH($B$2,'Word Vectors'!A:A,0)),INDIRECT("'Word Vectors'!B627:Z627"))/(SQRT(SUMPRODUCT(INDIRECT("'Word Vectors'!B"&amp;MATCH($B$2,'Word Vectors'!A:A,0)&amp;":Z"&amp;MATCH($B$2,'Word Vectors'!A:A,0)),INDIRECT("'Word Vectors'!B"&amp;MATCH($B$2,'Word Vectors'!A:A,0)&amp;":Z"&amp;MATCH($B$2,'Word Vectors'!A:A,0))))*SQRT(SUMPRODUCT(INDIRECT("'Word Vectors'!B627:Z627"),INDIRECT("'Word Vectors'!B627:Z627")))))</f>
        <v/>
      </c>
      <c r="XF2">
        <f>IF(OR($B$2="",ISNA(MATCH($B$2,'Word Vectors'!A:A,0)),'Word Vectors'!A628=$B$2),"",SUMPRODUCT(INDIRECT("'Word Vectors'!B"&amp;MATCH($B$2,'Word Vectors'!A:A,0)&amp;":Z"&amp;MATCH($B$2,'Word Vectors'!A:A,0)),INDIRECT("'Word Vectors'!B628:Z628"))/(SQRT(SUMPRODUCT(INDIRECT("'Word Vectors'!B"&amp;MATCH($B$2,'Word Vectors'!A:A,0)&amp;":Z"&amp;MATCH($B$2,'Word Vectors'!A:A,0)),INDIRECT("'Word Vectors'!B"&amp;MATCH($B$2,'Word Vectors'!A:A,0)&amp;":Z"&amp;MATCH($B$2,'Word Vectors'!A:A,0))))*SQRT(SUMPRODUCT(INDIRECT("'Word Vectors'!B628:Z628"),INDIRECT("'Word Vectors'!B628:Z628")))))</f>
        <v/>
      </c>
      <c r="XG2">
        <f>IF(OR($B$2="",ISNA(MATCH($B$2,'Word Vectors'!A:A,0)),'Word Vectors'!A629=$B$2),"",SUMPRODUCT(INDIRECT("'Word Vectors'!B"&amp;MATCH($B$2,'Word Vectors'!A:A,0)&amp;":Z"&amp;MATCH($B$2,'Word Vectors'!A:A,0)),INDIRECT("'Word Vectors'!B629:Z629"))/(SQRT(SUMPRODUCT(INDIRECT("'Word Vectors'!B"&amp;MATCH($B$2,'Word Vectors'!A:A,0)&amp;":Z"&amp;MATCH($B$2,'Word Vectors'!A:A,0)),INDIRECT("'Word Vectors'!B"&amp;MATCH($B$2,'Word Vectors'!A:A,0)&amp;":Z"&amp;MATCH($B$2,'Word Vectors'!A:A,0))))*SQRT(SUMPRODUCT(INDIRECT("'Word Vectors'!B629:Z629"),INDIRECT("'Word Vectors'!B629:Z629")))))</f>
        <v/>
      </c>
      <c r="XH2">
        <f>IF(OR($B$2="",ISNA(MATCH($B$2,'Word Vectors'!A:A,0)),'Word Vectors'!A630=$B$2),"",SUMPRODUCT(INDIRECT("'Word Vectors'!B"&amp;MATCH($B$2,'Word Vectors'!A:A,0)&amp;":Z"&amp;MATCH($B$2,'Word Vectors'!A:A,0)),INDIRECT("'Word Vectors'!B630:Z630"))/(SQRT(SUMPRODUCT(INDIRECT("'Word Vectors'!B"&amp;MATCH($B$2,'Word Vectors'!A:A,0)&amp;":Z"&amp;MATCH($B$2,'Word Vectors'!A:A,0)),INDIRECT("'Word Vectors'!B"&amp;MATCH($B$2,'Word Vectors'!A:A,0)&amp;":Z"&amp;MATCH($B$2,'Word Vectors'!A:A,0))))*SQRT(SUMPRODUCT(INDIRECT("'Word Vectors'!B630:Z630"),INDIRECT("'Word Vectors'!B630:Z630")))))</f>
        <v/>
      </c>
      <c r="XI2">
        <f>IF(OR($B$2="",ISNA(MATCH($B$2,'Word Vectors'!A:A,0)),'Word Vectors'!A631=$B$2),"",SUMPRODUCT(INDIRECT("'Word Vectors'!B"&amp;MATCH($B$2,'Word Vectors'!A:A,0)&amp;":Z"&amp;MATCH($B$2,'Word Vectors'!A:A,0)),INDIRECT("'Word Vectors'!B631:Z631"))/(SQRT(SUMPRODUCT(INDIRECT("'Word Vectors'!B"&amp;MATCH($B$2,'Word Vectors'!A:A,0)&amp;":Z"&amp;MATCH($B$2,'Word Vectors'!A:A,0)),INDIRECT("'Word Vectors'!B"&amp;MATCH($B$2,'Word Vectors'!A:A,0)&amp;":Z"&amp;MATCH($B$2,'Word Vectors'!A:A,0))))*SQRT(SUMPRODUCT(INDIRECT("'Word Vectors'!B631:Z631"),INDIRECT("'Word Vectors'!B631:Z631")))))</f>
        <v/>
      </c>
      <c r="XJ2">
        <f>IF(OR($B$2="",ISNA(MATCH($B$2,'Word Vectors'!A:A,0)),'Word Vectors'!A632=$B$2),"",SUMPRODUCT(INDIRECT("'Word Vectors'!B"&amp;MATCH($B$2,'Word Vectors'!A:A,0)&amp;":Z"&amp;MATCH($B$2,'Word Vectors'!A:A,0)),INDIRECT("'Word Vectors'!B632:Z632"))/(SQRT(SUMPRODUCT(INDIRECT("'Word Vectors'!B"&amp;MATCH($B$2,'Word Vectors'!A:A,0)&amp;":Z"&amp;MATCH($B$2,'Word Vectors'!A:A,0)),INDIRECT("'Word Vectors'!B"&amp;MATCH($B$2,'Word Vectors'!A:A,0)&amp;":Z"&amp;MATCH($B$2,'Word Vectors'!A:A,0))))*SQRT(SUMPRODUCT(INDIRECT("'Word Vectors'!B632:Z632"),INDIRECT("'Word Vectors'!B632:Z632")))))</f>
        <v/>
      </c>
      <c r="XK2">
        <f>IF(OR($B$2="",ISNA(MATCH($B$2,'Word Vectors'!A:A,0)),'Word Vectors'!A633=$B$2),"",SUMPRODUCT(INDIRECT("'Word Vectors'!B"&amp;MATCH($B$2,'Word Vectors'!A:A,0)&amp;":Z"&amp;MATCH($B$2,'Word Vectors'!A:A,0)),INDIRECT("'Word Vectors'!B633:Z633"))/(SQRT(SUMPRODUCT(INDIRECT("'Word Vectors'!B"&amp;MATCH($B$2,'Word Vectors'!A:A,0)&amp;":Z"&amp;MATCH($B$2,'Word Vectors'!A:A,0)),INDIRECT("'Word Vectors'!B"&amp;MATCH($B$2,'Word Vectors'!A:A,0)&amp;":Z"&amp;MATCH($B$2,'Word Vectors'!A:A,0))))*SQRT(SUMPRODUCT(INDIRECT("'Word Vectors'!B633:Z633"),INDIRECT("'Word Vectors'!B633:Z633")))))</f>
        <v/>
      </c>
      <c r="XL2">
        <f>IF(OR($B$2="",ISNA(MATCH($B$2,'Word Vectors'!A:A,0)),'Word Vectors'!A634=$B$2),"",SUMPRODUCT(INDIRECT("'Word Vectors'!B"&amp;MATCH($B$2,'Word Vectors'!A:A,0)&amp;":Z"&amp;MATCH($B$2,'Word Vectors'!A:A,0)),INDIRECT("'Word Vectors'!B634:Z634"))/(SQRT(SUMPRODUCT(INDIRECT("'Word Vectors'!B"&amp;MATCH($B$2,'Word Vectors'!A:A,0)&amp;":Z"&amp;MATCH($B$2,'Word Vectors'!A:A,0)),INDIRECT("'Word Vectors'!B"&amp;MATCH($B$2,'Word Vectors'!A:A,0)&amp;":Z"&amp;MATCH($B$2,'Word Vectors'!A:A,0))))*SQRT(SUMPRODUCT(INDIRECT("'Word Vectors'!B634:Z634"),INDIRECT("'Word Vectors'!B634:Z634")))))</f>
        <v/>
      </c>
      <c r="XM2">
        <f>IF(OR($B$2="",ISNA(MATCH($B$2,'Word Vectors'!A:A,0)),'Word Vectors'!A635=$B$2),"",SUMPRODUCT(INDIRECT("'Word Vectors'!B"&amp;MATCH($B$2,'Word Vectors'!A:A,0)&amp;":Z"&amp;MATCH($B$2,'Word Vectors'!A:A,0)),INDIRECT("'Word Vectors'!B635:Z635"))/(SQRT(SUMPRODUCT(INDIRECT("'Word Vectors'!B"&amp;MATCH($B$2,'Word Vectors'!A:A,0)&amp;":Z"&amp;MATCH($B$2,'Word Vectors'!A:A,0)),INDIRECT("'Word Vectors'!B"&amp;MATCH($B$2,'Word Vectors'!A:A,0)&amp;":Z"&amp;MATCH($B$2,'Word Vectors'!A:A,0))))*SQRT(SUMPRODUCT(INDIRECT("'Word Vectors'!B635:Z635"),INDIRECT("'Word Vectors'!B635:Z635")))))</f>
        <v/>
      </c>
      <c r="XN2">
        <f>IF(OR($B$2="",ISNA(MATCH($B$2,'Word Vectors'!A:A,0)),'Word Vectors'!A636=$B$2),"",SUMPRODUCT(INDIRECT("'Word Vectors'!B"&amp;MATCH($B$2,'Word Vectors'!A:A,0)&amp;":Z"&amp;MATCH($B$2,'Word Vectors'!A:A,0)),INDIRECT("'Word Vectors'!B636:Z636"))/(SQRT(SUMPRODUCT(INDIRECT("'Word Vectors'!B"&amp;MATCH($B$2,'Word Vectors'!A:A,0)&amp;":Z"&amp;MATCH($B$2,'Word Vectors'!A:A,0)),INDIRECT("'Word Vectors'!B"&amp;MATCH($B$2,'Word Vectors'!A:A,0)&amp;":Z"&amp;MATCH($B$2,'Word Vectors'!A:A,0))))*SQRT(SUMPRODUCT(INDIRECT("'Word Vectors'!B636:Z636"),INDIRECT("'Word Vectors'!B636:Z636")))))</f>
        <v/>
      </c>
      <c r="XO2">
        <f>IF(OR($B$2="",ISNA(MATCH($B$2,'Word Vectors'!A:A,0)),'Word Vectors'!A637=$B$2),"",SUMPRODUCT(INDIRECT("'Word Vectors'!B"&amp;MATCH($B$2,'Word Vectors'!A:A,0)&amp;":Z"&amp;MATCH($B$2,'Word Vectors'!A:A,0)),INDIRECT("'Word Vectors'!B637:Z637"))/(SQRT(SUMPRODUCT(INDIRECT("'Word Vectors'!B"&amp;MATCH($B$2,'Word Vectors'!A:A,0)&amp;":Z"&amp;MATCH($B$2,'Word Vectors'!A:A,0)),INDIRECT("'Word Vectors'!B"&amp;MATCH($B$2,'Word Vectors'!A:A,0)&amp;":Z"&amp;MATCH($B$2,'Word Vectors'!A:A,0))))*SQRT(SUMPRODUCT(INDIRECT("'Word Vectors'!B637:Z637"),INDIRECT("'Word Vectors'!B637:Z637")))))</f>
        <v/>
      </c>
      <c r="XP2">
        <f>IF(OR($B$2="",ISNA(MATCH($B$2,'Word Vectors'!A:A,0)),'Word Vectors'!A638=$B$2),"",SUMPRODUCT(INDIRECT("'Word Vectors'!B"&amp;MATCH($B$2,'Word Vectors'!A:A,0)&amp;":Z"&amp;MATCH($B$2,'Word Vectors'!A:A,0)),INDIRECT("'Word Vectors'!B638:Z638"))/(SQRT(SUMPRODUCT(INDIRECT("'Word Vectors'!B"&amp;MATCH($B$2,'Word Vectors'!A:A,0)&amp;":Z"&amp;MATCH($B$2,'Word Vectors'!A:A,0)),INDIRECT("'Word Vectors'!B"&amp;MATCH($B$2,'Word Vectors'!A:A,0)&amp;":Z"&amp;MATCH($B$2,'Word Vectors'!A:A,0))))*SQRT(SUMPRODUCT(INDIRECT("'Word Vectors'!B638:Z638"),INDIRECT("'Word Vectors'!B638:Z638")))))</f>
        <v/>
      </c>
      <c r="XQ2">
        <f>IF(OR($B$2="",ISNA(MATCH($B$2,'Word Vectors'!A:A,0)),'Word Vectors'!A639=$B$2),"",SUMPRODUCT(INDIRECT("'Word Vectors'!B"&amp;MATCH($B$2,'Word Vectors'!A:A,0)&amp;":Z"&amp;MATCH($B$2,'Word Vectors'!A:A,0)),INDIRECT("'Word Vectors'!B639:Z639"))/(SQRT(SUMPRODUCT(INDIRECT("'Word Vectors'!B"&amp;MATCH($B$2,'Word Vectors'!A:A,0)&amp;":Z"&amp;MATCH($B$2,'Word Vectors'!A:A,0)),INDIRECT("'Word Vectors'!B"&amp;MATCH($B$2,'Word Vectors'!A:A,0)&amp;":Z"&amp;MATCH($B$2,'Word Vectors'!A:A,0))))*SQRT(SUMPRODUCT(INDIRECT("'Word Vectors'!B639:Z639"),INDIRECT("'Word Vectors'!B639:Z639")))))</f>
        <v/>
      </c>
      <c r="XR2">
        <f>IF(OR($B$2="",ISNA(MATCH($B$2,'Word Vectors'!A:A,0)),'Word Vectors'!A640=$B$2),"",SUMPRODUCT(INDIRECT("'Word Vectors'!B"&amp;MATCH($B$2,'Word Vectors'!A:A,0)&amp;":Z"&amp;MATCH($B$2,'Word Vectors'!A:A,0)),INDIRECT("'Word Vectors'!B640:Z640"))/(SQRT(SUMPRODUCT(INDIRECT("'Word Vectors'!B"&amp;MATCH($B$2,'Word Vectors'!A:A,0)&amp;":Z"&amp;MATCH($B$2,'Word Vectors'!A:A,0)),INDIRECT("'Word Vectors'!B"&amp;MATCH($B$2,'Word Vectors'!A:A,0)&amp;":Z"&amp;MATCH($B$2,'Word Vectors'!A:A,0))))*SQRT(SUMPRODUCT(INDIRECT("'Word Vectors'!B640:Z640"),INDIRECT("'Word Vectors'!B640:Z640")))))</f>
        <v/>
      </c>
      <c r="XS2">
        <f>IF(OR($B$2="",ISNA(MATCH($B$2,'Word Vectors'!A:A,0)),'Word Vectors'!A641=$B$2),"",SUMPRODUCT(INDIRECT("'Word Vectors'!B"&amp;MATCH($B$2,'Word Vectors'!A:A,0)&amp;":Z"&amp;MATCH($B$2,'Word Vectors'!A:A,0)),INDIRECT("'Word Vectors'!B641:Z641"))/(SQRT(SUMPRODUCT(INDIRECT("'Word Vectors'!B"&amp;MATCH($B$2,'Word Vectors'!A:A,0)&amp;":Z"&amp;MATCH($B$2,'Word Vectors'!A:A,0)),INDIRECT("'Word Vectors'!B"&amp;MATCH($B$2,'Word Vectors'!A:A,0)&amp;":Z"&amp;MATCH($B$2,'Word Vectors'!A:A,0))))*SQRT(SUMPRODUCT(INDIRECT("'Word Vectors'!B641:Z641"),INDIRECT("'Word Vectors'!B641:Z641")))))</f>
        <v/>
      </c>
      <c r="XT2">
        <f>IF(OR($B$2="",ISNA(MATCH($B$2,'Word Vectors'!A:A,0)),'Word Vectors'!A642=$B$2),"",SUMPRODUCT(INDIRECT("'Word Vectors'!B"&amp;MATCH($B$2,'Word Vectors'!A:A,0)&amp;":Z"&amp;MATCH($B$2,'Word Vectors'!A:A,0)),INDIRECT("'Word Vectors'!B642:Z642"))/(SQRT(SUMPRODUCT(INDIRECT("'Word Vectors'!B"&amp;MATCH($B$2,'Word Vectors'!A:A,0)&amp;":Z"&amp;MATCH($B$2,'Word Vectors'!A:A,0)),INDIRECT("'Word Vectors'!B"&amp;MATCH($B$2,'Word Vectors'!A:A,0)&amp;":Z"&amp;MATCH($B$2,'Word Vectors'!A:A,0))))*SQRT(SUMPRODUCT(INDIRECT("'Word Vectors'!B642:Z642"),INDIRECT("'Word Vectors'!B642:Z642")))))</f>
        <v/>
      </c>
      <c r="XU2">
        <f>IF(OR($B$2="",ISNA(MATCH($B$2,'Word Vectors'!A:A,0)),'Word Vectors'!A643=$B$2),"",SUMPRODUCT(INDIRECT("'Word Vectors'!B"&amp;MATCH($B$2,'Word Vectors'!A:A,0)&amp;":Z"&amp;MATCH($B$2,'Word Vectors'!A:A,0)),INDIRECT("'Word Vectors'!B643:Z643"))/(SQRT(SUMPRODUCT(INDIRECT("'Word Vectors'!B"&amp;MATCH($B$2,'Word Vectors'!A:A,0)&amp;":Z"&amp;MATCH($B$2,'Word Vectors'!A:A,0)),INDIRECT("'Word Vectors'!B"&amp;MATCH($B$2,'Word Vectors'!A:A,0)&amp;":Z"&amp;MATCH($B$2,'Word Vectors'!A:A,0))))*SQRT(SUMPRODUCT(INDIRECT("'Word Vectors'!B643:Z643"),INDIRECT("'Word Vectors'!B643:Z643")))))</f>
        <v/>
      </c>
      <c r="XV2">
        <f>IF(OR($B$2="",ISNA(MATCH($B$2,'Word Vectors'!A:A,0)),'Word Vectors'!A644=$B$2),"",SUMPRODUCT(INDIRECT("'Word Vectors'!B"&amp;MATCH($B$2,'Word Vectors'!A:A,0)&amp;":Z"&amp;MATCH($B$2,'Word Vectors'!A:A,0)),INDIRECT("'Word Vectors'!B644:Z644"))/(SQRT(SUMPRODUCT(INDIRECT("'Word Vectors'!B"&amp;MATCH($B$2,'Word Vectors'!A:A,0)&amp;":Z"&amp;MATCH($B$2,'Word Vectors'!A:A,0)),INDIRECT("'Word Vectors'!B"&amp;MATCH($B$2,'Word Vectors'!A:A,0)&amp;":Z"&amp;MATCH($B$2,'Word Vectors'!A:A,0))))*SQRT(SUMPRODUCT(INDIRECT("'Word Vectors'!B644:Z644"),INDIRECT("'Word Vectors'!B644:Z644")))))</f>
        <v/>
      </c>
      <c r="XW2">
        <f>IF(OR($B$2="",ISNA(MATCH($B$2,'Word Vectors'!A:A,0)),'Word Vectors'!A645=$B$2),"",SUMPRODUCT(INDIRECT("'Word Vectors'!B"&amp;MATCH($B$2,'Word Vectors'!A:A,0)&amp;":Z"&amp;MATCH($B$2,'Word Vectors'!A:A,0)),INDIRECT("'Word Vectors'!B645:Z645"))/(SQRT(SUMPRODUCT(INDIRECT("'Word Vectors'!B"&amp;MATCH($B$2,'Word Vectors'!A:A,0)&amp;":Z"&amp;MATCH($B$2,'Word Vectors'!A:A,0)),INDIRECT("'Word Vectors'!B"&amp;MATCH($B$2,'Word Vectors'!A:A,0)&amp;":Z"&amp;MATCH($B$2,'Word Vectors'!A:A,0))))*SQRT(SUMPRODUCT(INDIRECT("'Word Vectors'!B645:Z645"),INDIRECT("'Word Vectors'!B645:Z645")))))</f>
        <v/>
      </c>
      <c r="XX2">
        <f>IF(OR($B$2="",ISNA(MATCH($B$2,'Word Vectors'!A:A,0)),'Word Vectors'!A646=$B$2),"",SUMPRODUCT(INDIRECT("'Word Vectors'!B"&amp;MATCH($B$2,'Word Vectors'!A:A,0)&amp;":Z"&amp;MATCH($B$2,'Word Vectors'!A:A,0)),INDIRECT("'Word Vectors'!B646:Z646"))/(SQRT(SUMPRODUCT(INDIRECT("'Word Vectors'!B"&amp;MATCH($B$2,'Word Vectors'!A:A,0)&amp;":Z"&amp;MATCH($B$2,'Word Vectors'!A:A,0)),INDIRECT("'Word Vectors'!B"&amp;MATCH($B$2,'Word Vectors'!A:A,0)&amp;":Z"&amp;MATCH($B$2,'Word Vectors'!A:A,0))))*SQRT(SUMPRODUCT(INDIRECT("'Word Vectors'!B646:Z646"),INDIRECT("'Word Vectors'!B646:Z646")))))</f>
        <v/>
      </c>
      <c r="XY2">
        <f>IF(OR($B$2="",ISNA(MATCH($B$2,'Word Vectors'!A:A,0)),'Word Vectors'!A647=$B$2),"",SUMPRODUCT(INDIRECT("'Word Vectors'!B"&amp;MATCH($B$2,'Word Vectors'!A:A,0)&amp;":Z"&amp;MATCH($B$2,'Word Vectors'!A:A,0)),INDIRECT("'Word Vectors'!B647:Z647"))/(SQRT(SUMPRODUCT(INDIRECT("'Word Vectors'!B"&amp;MATCH($B$2,'Word Vectors'!A:A,0)&amp;":Z"&amp;MATCH($B$2,'Word Vectors'!A:A,0)),INDIRECT("'Word Vectors'!B"&amp;MATCH($B$2,'Word Vectors'!A:A,0)&amp;":Z"&amp;MATCH($B$2,'Word Vectors'!A:A,0))))*SQRT(SUMPRODUCT(INDIRECT("'Word Vectors'!B647:Z647"),INDIRECT("'Word Vectors'!B647:Z647")))))</f>
        <v/>
      </c>
      <c r="XZ2">
        <f>IF(OR($B$2="",ISNA(MATCH($B$2,'Word Vectors'!A:A,0)),'Word Vectors'!A648=$B$2),"",SUMPRODUCT(INDIRECT("'Word Vectors'!B"&amp;MATCH($B$2,'Word Vectors'!A:A,0)&amp;":Z"&amp;MATCH($B$2,'Word Vectors'!A:A,0)),INDIRECT("'Word Vectors'!B648:Z648"))/(SQRT(SUMPRODUCT(INDIRECT("'Word Vectors'!B"&amp;MATCH($B$2,'Word Vectors'!A:A,0)&amp;":Z"&amp;MATCH($B$2,'Word Vectors'!A:A,0)),INDIRECT("'Word Vectors'!B"&amp;MATCH($B$2,'Word Vectors'!A:A,0)&amp;":Z"&amp;MATCH($B$2,'Word Vectors'!A:A,0))))*SQRT(SUMPRODUCT(INDIRECT("'Word Vectors'!B648:Z648"),INDIRECT("'Word Vectors'!B648:Z648")))))</f>
        <v/>
      </c>
      <c r="YA2">
        <f>IF(OR($B$2="",ISNA(MATCH($B$2,'Word Vectors'!A:A,0)),'Word Vectors'!A649=$B$2),"",SUMPRODUCT(INDIRECT("'Word Vectors'!B"&amp;MATCH($B$2,'Word Vectors'!A:A,0)&amp;":Z"&amp;MATCH($B$2,'Word Vectors'!A:A,0)),INDIRECT("'Word Vectors'!B649:Z649"))/(SQRT(SUMPRODUCT(INDIRECT("'Word Vectors'!B"&amp;MATCH($B$2,'Word Vectors'!A:A,0)&amp;":Z"&amp;MATCH($B$2,'Word Vectors'!A:A,0)),INDIRECT("'Word Vectors'!B"&amp;MATCH($B$2,'Word Vectors'!A:A,0)&amp;":Z"&amp;MATCH($B$2,'Word Vectors'!A:A,0))))*SQRT(SUMPRODUCT(INDIRECT("'Word Vectors'!B649:Z649"),INDIRECT("'Word Vectors'!B649:Z649")))))</f>
        <v/>
      </c>
      <c r="YB2">
        <f>IF(OR($B$2="",ISNA(MATCH($B$2,'Word Vectors'!A:A,0)),'Word Vectors'!A650=$B$2),"",SUMPRODUCT(INDIRECT("'Word Vectors'!B"&amp;MATCH($B$2,'Word Vectors'!A:A,0)&amp;":Z"&amp;MATCH($B$2,'Word Vectors'!A:A,0)),INDIRECT("'Word Vectors'!B650:Z650"))/(SQRT(SUMPRODUCT(INDIRECT("'Word Vectors'!B"&amp;MATCH($B$2,'Word Vectors'!A:A,0)&amp;":Z"&amp;MATCH($B$2,'Word Vectors'!A:A,0)),INDIRECT("'Word Vectors'!B"&amp;MATCH($B$2,'Word Vectors'!A:A,0)&amp;":Z"&amp;MATCH($B$2,'Word Vectors'!A:A,0))))*SQRT(SUMPRODUCT(INDIRECT("'Word Vectors'!B650:Z650"),INDIRECT("'Word Vectors'!B650:Z650")))))</f>
        <v/>
      </c>
      <c r="YC2">
        <f>IF(OR($B$2="",ISNA(MATCH($B$2,'Word Vectors'!A:A,0)),'Word Vectors'!A651=$B$2),"",SUMPRODUCT(INDIRECT("'Word Vectors'!B"&amp;MATCH($B$2,'Word Vectors'!A:A,0)&amp;":Z"&amp;MATCH($B$2,'Word Vectors'!A:A,0)),INDIRECT("'Word Vectors'!B651:Z651"))/(SQRT(SUMPRODUCT(INDIRECT("'Word Vectors'!B"&amp;MATCH($B$2,'Word Vectors'!A:A,0)&amp;":Z"&amp;MATCH($B$2,'Word Vectors'!A:A,0)),INDIRECT("'Word Vectors'!B"&amp;MATCH($B$2,'Word Vectors'!A:A,0)&amp;":Z"&amp;MATCH($B$2,'Word Vectors'!A:A,0))))*SQRT(SUMPRODUCT(INDIRECT("'Word Vectors'!B651:Z651"),INDIRECT("'Word Vectors'!B651:Z651")))))</f>
        <v/>
      </c>
      <c r="YD2">
        <f>IF(OR($B$2="",ISNA(MATCH($B$2,'Word Vectors'!A:A,0)),'Word Vectors'!A652=$B$2),"",SUMPRODUCT(INDIRECT("'Word Vectors'!B"&amp;MATCH($B$2,'Word Vectors'!A:A,0)&amp;":Z"&amp;MATCH($B$2,'Word Vectors'!A:A,0)),INDIRECT("'Word Vectors'!B652:Z652"))/(SQRT(SUMPRODUCT(INDIRECT("'Word Vectors'!B"&amp;MATCH($B$2,'Word Vectors'!A:A,0)&amp;":Z"&amp;MATCH($B$2,'Word Vectors'!A:A,0)),INDIRECT("'Word Vectors'!B"&amp;MATCH($B$2,'Word Vectors'!A:A,0)&amp;":Z"&amp;MATCH($B$2,'Word Vectors'!A:A,0))))*SQRT(SUMPRODUCT(INDIRECT("'Word Vectors'!B652:Z652"),INDIRECT("'Word Vectors'!B652:Z652")))))</f>
        <v/>
      </c>
      <c r="YE2">
        <f>IF(OR($B$2="",ISNA(MATCH($B$2,'Word Vectors'!A:A,0)),'Word Vectors'!A653=$B$2),"",SUMPRODUCT(INDIRECT("'Word Vectors'!B"&amp;MATCH($B$2,'Word Vectors'!A:A,0)&amp;":Z"&amp;MATCH($B$2,'Word Vectors'!A:A,0)),INDIRECT("'Word Vectors'!B653:Z653"))/(SQRT(SUMPRODUCT(INDIRECT("'Word Vectors'!B"&amp;MATCH($B$2,'Word Vectors'!A:A,0)&amp;":Z"&amp;MATCH($B$2,'Word Vectors'!A:A,0)),INDIRECT("'Word Vectors'!B"&amp;MATCH($B$2,'Word Vectors'!A:A,0)&amp;":Z"&amp;MATCH($B$2,'Word Vectors'!A:A,0))))*SQRT(SUMPRODUCT(INDIRECT("'Word Vectors'!B653:Z653"),INDIRECT("'Word Vectors'!B653:Z653")))))</f>
        <v/>
      </c>
      <c r="YF2">
        <f>IF(OR($B$2="",ISNA(MATCH($B$2,'Word Vectors'!A:A,0)),'Word Vectors'!A654=$B$2),"",SUMPRODUCT(INDIRECT("'Word Vectors'!B"&amp;MATCH($B$2,'Word Vectors'!A:A,0)&amp;":Z"&amp;MATCH($B$2,'Word Vectors'!A:A,0)),INDIRECT("'Word Vectors'!B654:Z654"))/(SQRT(SUMPRODUCT(INDIRECT("'Word Vectors'!B"&amp;MATCH($B$2,'Word Vectors'!A:A,0)&amp;":Z"&amp;MATCH($B$2,'Word Vectors'!A:A,0)),INDIRECT("'Word Vectors'!B"&amp;MATCH($B$2,'Word Vectors'!A:A,0)&amp;":Z"&amp;MATCH($B$2,'Word Vectors'!A:A,0))))*SQRT(SUMPRODUCT(INDIRECT("'Word Vectors'!B654:Z654"),INDIRECT("'Word Vectors'!B654:Z654")))))</f>
        <v/>
      </c>
      <c r="YG2">
        <f>IF(OR($B$2="",ISNA(MATCH($B$2,'Word Vectors'!A:A,0)),'Word Vectors'!A655=$B$2),"",SUMPRODUCT(INDIRECT("'Word Vectors'!B"&amp;MATCH($B$2,'Word Vectors'!A:A,0)&amp;":Z"&amp;MATCH($B$2,'Word Vectors'!A:A,0)),INDIRECT("'Word Vectors'!B655:Z655"))/(SQRT(SUMPRODUCT(INDIRECT("'Word Vectors'!B"&amp;MATCH($B$2,'Word Vectors'!A:A,0)&amp;":Z"&amp;MATCH($B$2,'Word Vectors'!A:A,0)),INDIRECT("'Word Vectors'!B"&amp;MATCH($B$2,'Word Vectors'!A:A,0)&amp;":Z"&amp;MATCH($B$2,'Word Vectors'!A:A,0))))*SQRT(SUMPRODUCT(INDIRECT("'Word Vectors'!B655:Z655"),INDIRECT("'Word Vectors'!B655:Z655")))))</f>
        <v/>
      </c>
      <c r="YH2">
        <f>IF(OR($B$2="",ISNA(MATCH($B$2,'Word Vectors'!A:A,0)),'Word Vectors'!A656=$B$2),"",SUMPRODUCT(INDIRECT("'Word Vectors'!B"&amp;MATCH($B$2,'Word Vectors'!A:A,0)&amp;":Z"&amp;MATCH($B$2,'Word Vectors'!A:A,0)),INDIRECT("'Word Vectors'!B656:Z656"))/(SQRT(SUMPRODUCT(INDIRECT("'Word Vectors'!B"&amp;MATCH($B$2,'Word Vectors'!A:A,0)&amp;":Z"&amp;MATCH($B$2,'Word Vectors'!A:A,0)),INDIRECT("'Word Vectors'!B"&amp;MATCH($B$2,'Word Vectors'!A:A,0)&amp;":Z"&amp;MATCH($B$2,'Word Vectors'!A:A,0))))*SQRT(SUMPRODUCT(INDIRECT("'Word Vectors'!B656:Z656"),INDIRECT("'Word Vectors'!B656:Z656")))))</f>
        <v/>
      </c>
      <c r="YI2">
        <f>IF(OR($B$2="",ISNA(MATCH($B$2,'Word Vectors'!A:A,0)),'Word Vectors'!A657=$B$2),"",SUMPRODUCT(INDIRECT("'Word Vectors'!B"&amp;MATCH($B$2,'Word Vectors'!A:A,0)&amp;":Z"&amp;MATCH($B$2,'Word Vectors'!A:A,0)),INDIRECT("'Word Vectors'!B657:Z657"))/(SQRT(SUMPRODUCT(INDIRECT("'Word Vectors'!B"&amp;MATCH($B$2,'Word Vectors'!A:A,0)&amp;":Z"&amp;MATCH($B$2,'Word Vectors'!A:A,0)),INDIRECT("'Word Vectors'!B"&amp;MATCH($B$2,'Word Vectors'!A:A,0)&amp;":Z"&amp;MATCH($B$2,'Word Vectors'!A:A,0))))*SQRT(SUMPRODUCT(INDIRECT("'Word Vectors'!B657:Z657"),INDIRECT("'Word Vectors'!B657:Z657")))))</f>
        <v/>
      </c>
      <c r="YJ2">
        <f>IF(OR($B$2="",ISNA(MATCH($B$2,'Word Vectors'!A:A,0)),'Word Vectors'!A658=$B$2),"",SUMPRODUCT(INDIRECT("'Word Vectors'!B"&amp;MATCH($B$2,'Word Vectors'!A:A,0)&amp;":Z"&amp;MATCH($B$2,'Word Vectors'!A:A,0)),INDIRECT("'Word Vectors'!B658:Z658"))/(SQRT(SUMPRODUCT(INDIRECT("'Word Vectors'!B"&amp;MATCH($B$2,'Word Vectors'!A:A,0)&amp;":Z"&amp;MATCH($B$2,'Word Vectors'!A:A,0)),INDIRECT("'Word Vectors'!B"&amp;MATCH($B$2,'Word Vectors'!A:A,0)&amp;":Z"&amp;MATCH($B$2,'Word Vectors'!A:A,0))))*SQRT(SUMPRODUCT(INDIRECT("'Word Vectors'!B658:Z658"),INDIRECT("'Word Vectors'!B658:Z658")))))</f>
        <v/>
      </c>
      <c r="YK2">
        <f>IF(OR($B$2="",ISNA(MATCH($B$2,'Word Vectors'!A:A,0)),'Word Vectors'!A659=$B$2),"",SUMPRODUCT(INDIRECT("'Word Vectors'!B"&amp;MATCH($B$2,'Word Vectors'!A:A,0)&amp;":Z"&amp;MATCH($B$2,'Word Vectors'!A:A,0)),INDIRECT("'Word Vectors'!B659:Z659"))/(SQRT(SUMPRODUCT(INDIRECT("'Word Vectors'!B"&amp;MATCH($B$2,'Word Vectors'!A:A,0)&amp;":Z"&amp;MATCH($B$2,'Word Vectors'!A:A,0)),INDIRECT("'Word Vectors'!B"&amp;MATCH($B$2,'Word Vectors'!A:A,0)&amp;":Z"&amp;MATCH($B$2,'Word Vectors'!A:A,0))))*SQRT(SUMPRODUCT(INDIRECT("'Word Vectors'!B659:Z659"),INDIRECT("'Word Vectors'!B659:Z659")))))</f>
        <v/>
      </c>
      <c r="YL2">
        <f>IF(OR($B$2="",ISNA(MATCH($B$2,'Word Vectors'!A:A,0)),'Word Vectors'!A660=$B$2),"",SUMPRODUCT(INDIRECT("'Word Vectors'!B"&amp;MATCH($B$2,'Word Vectors'!A:A,0)&amp;":Z"&amp;MATCH($B$2,'Word Vectors'!A:A,0)),INDIRECT("'Word Vectors'!B660:Z660"))/(SQRT(SUMPRODUCT(INDIRECT("'Word Vectors'!B"&amp;MATCH($B$2,'Word Vectors'!A:A,0)&amp;":Z"&amp;MATCH($B$2,'Word Vectors'!A:A,0)),INDIRECT("'Word Vectors'!B"&amp;MATCH($B$2,'Word Vectors'!A:A,0)&amp;":Z"&amp;MATCH($B$2,'Word Vectors'!A:A,0))))*SQRT(SUMPRODUCT(INDIRECT("'Word Vectors'!B660:Z660"),INDIRECT("'Word Vectors'!B660:Z660")))))</f>
        <v/>
      </c>
      <c r="YM2">
        <f>IF(OR($B$2="",ISNA(MATCH($B$2,'Word Vectors'!A:A,0)),'Word Vectors'!A661=$B$2),"",SUMPRODUCT(INDIRECT("'Word Vectors'!B"&amp;MATCH($B$2,'Word Vectors'!A:A,0)&amp;":Z"&amp;MATCH($B$2,'Word Vectors'!A:A,0)),INDIRECT("'Word Vectors'!B661:Z661"))/(SQRT(SUMPRODUCT(INDIRECT("'Word Vectors'!B"&amp;MATCH($B$2,'Word Vectors'!A:A,0)&amp;":Z"&amp;MATCH($B$2,'Word Vectors'!A:A,0)),INDIRECT("'Word Vectors'!B"&amp;MATCH($B$2,'Word Vectors'!A:A,0)&amp;":Z"&amp;MATCH($B$2,'Word Vectors'!A:A,0))))*SQRT(SUMPRODUCT(INDIRECT("'Word Vectors'!B661:Z661"),INDIRECT("'Word Vectors'!B661:Z661")))))</f>
        <v/>
      </c>
      <c r="YN2">
        <f>IF(OR($B$2="",ISNA(MATCH($B$2,'Word Vectors'!A:A,0)),'Word Vectors'!A662=$B$2),"",SUMPRODUCT(INDIRECT("'Word Vectors'!B"&amp;MATCH($B$2,'Word Vectors'!A:A,0)&amp;":Z"&amp;MATCH($B$2,'Word Vectors'!A:A,0)),INDIRECT("'Word Vectors'!B662:Z662"))/(SQRT(SUMPRODUCT(INDIRECT("'Word Vectors'!B"&amp;MATCH($B$2,'Word Vectors'!A:A,0)&amp;":Z"&amp;MATCH($B$2,'Word Vectors'!A:A,0)),INDIRECT("'Word Vectors'!B"&amp;MATCH($B$2,'Word Vectors'!A:A,0)&amp;":Z"&amp;MATCH($B$2,'Word Vectors'!A:A,0))))*SQRT(SUMPRODUCT(INDIRECT("'Word Vectors'!B662:Z662"),INDIRECT("'Word Vectors'!B662:Z662")))))</f>
        <v/>
      </c>
      <c r="YO2">
        <f>IF(OR($B$2="",ISNA(MATCH($B$2,'Word Vectors'!A:A,0)),'Word Vectors'!A663=$B$2),"",SUMPRODUCT(INDIRECT("'Word Vectors'!B"&amp;MATCH($B$2,'Word Vectors'!A:A,0)&amp;":Z"&amp;MATCH($B$2,'Word Vectors'!A:A,0)),INDIRECT("'Word Vectors'!B663:Z663"))/(SQRT(SUMPRODUCT(INDIRECT("'Word Vectors'!B"&amp;MATCH($B$2,'Word Vectors'!A:A,0)&amp;":Z"&amp;MATCH($B$2,'Word Vectors'!A:A,0)),INDIRECT("'Word Vectors'!B"&amp;MATCH($B$2,'Word Vectors'!A:A,0)&amp;":Z"&amp;MATCH($B$2,'Word Vectors'!A:A,0))))*SQRT(SUMPRODUCT(INDIRECT("'Word Vectors'!B663:Z663"),INDIRECT("'Word Vectors'!B663:Z663")))))</f>
        <v/>
      </c>
      <c r="YP2">
        <f>IF(OR($B$2="",ISNA(MATCH($B$2,'Word Vectors'!A:A,0)),'Word Vectors'!A664=$B$2),"",SUMPRODUCT(INDIRECT("'Word Vectors'!B"&amp;MATCH($B$2,'Word Vectors'!A:A,0)&amp;":Z"&amp;MATCH($B$2,'Word Vectors'!A:A,0)),INDIRECT("'Word Vectors'!B664:Z664"))/(SQRT(SUMPRODUCT(INDIRECT("'Word Vectors'!B"&amp;MATCH($B$2,'Word Vectors'!A:A,0)&amp;":Z"&amp;MATCH($B$2,'Word Vectors'!A:A,0)),INDIRECT("'Word Vectors'!B"&amp;MATCH($B$2,'Word Vectors'!A:A,0)&amp;":Z"&amp;MATCH($B$2,'Word Vectors'!A:A,0))))*SQRT(SUMPRODUCT(INDIRECT("'Word Vectors'!B664:Z664"),INDIRECT("'Word Vectors'!B664:Z664")))))</f>
        <v/>
      </c>
      <c r="YQ2">
        <f>IF(OR($B$2="",ISNA(MATCH($B$2,'Word Vectors'!A:A,0)),'Word Vectors'!A665=$B$2),"",SUMPRODUCT(INDIRECT("'Word Vectors'!B"&amp;MATCH($B$2,'Word Vectors'!A:A,0)&amp;":Z"&amp;MATCH($B$2,'Word Vectors'!A:A,0)),INDIRECT("'Word Vectors'!B665:Z665"))/(SQRT(SUMPRODUCT(INDIRECT("'Word Vectors'!B"&amp;MATCH($B$2,'Word Vectors'!A:A,0)&amp;":Z"&amp;MATCH($B$2,'Word Vectors'!A:A,0)),INDIRECT("'Word Vectors'!B"&amp;MATCH($B$2,'Word Vectors'!A:A,0)&amp;":Z"&amp;MATCH($B$2,'Word Vectors'!A:A,0))))*SQRT(SUMPRODUCT(INDIRECT("'Word Vectors'!B665:Z665"),INDIRECT("'Word Vectors'!B665:Z665")))))</f>
        <v/>
      </c>
      <c r="YR2">
        <f>IF(OR($B$2="",ISNA(MATCH($B$2,'Word Vectors'!A:A,0)),'Word Vectors'!A666=$B$2),"",SUMPRODUCT(INDIRECT("'Word Vectors'!B"&amp;MATCH($B$2,'Word Vectors'!A:A,0)&amp;":Z"&amp;MATCH($B$2,'Word Vectors'!A:A,0)),INDIRECT("'Word Vectors'!B666:Z666"))/(SQRT(SUMPRODUCT(INDIRECT("'Word Vectors'!B"&amp;MATCH($B$2,'Word Vectors'!A:A,0)&amp;":Z"&amp;MATCH($B$2,'Word Vectors'!A:A,0)),INDIRECT("'Word Vectors'!B"&amp;MATCH($B$2,'Word Vectors'!A:A,0)&amp;":Z"&amp;MATCH($B$2,'Word Vectors'!A:A,0))))*SQRT(SUMPRODUCT(INDIRECT("'Word Vectors'!B666:Z666"),INDIRECT("'Word Vectors'!B666:Z666")))))</f>
        <v/>
      </c>
      <c r="YS2">
        <f>IF(OR($B$2="",ISNA(MATCH($B$2,'Word Vectors'!A:A,0)),'Word Vectors'!A667=$B$2),"",SUMPRODUCT(INDIRECT("'Word Vectors'!B"&amp;MATCH($B$2,'Word Vectors'!A:A,0)&amp;":Z"&amp;MATCH($B$2,'Word Vectors'!A:A,0)),INDIRECT("'Word Vectors'!B667:Z667"))/(SQRT(SUMPRODUCT(INDIRECT("'Word Vectors'!B"&amp;MATCH($B$2,'Word Vectors'!A:A,0)&amp;":Z"&amp;MATCH($B$2,'Word Vectors'!A:A,0)),INDIRECT("'Word Vectors'!B"&amp;MATCH($B$2,'Word Vectors'!A:A,0)&amp;":Z"&amp;MATCH($B$2,'Word Vectors'!A:A,0))))*SQRT(SUMPRODUCT(INDIRECT("'Word Vectors'!B667:Z667"),INDIRECT("'Word Vectors'!B667:Z667")))))</f>
        <v/>
      </c>
      <c r="YT2">
        <f>IF(OR($B$2="",ISNA(MATCH($B$2,'Word Vectors'!A:A,0)),'Word Vectors'!A668=$B$2),"",SUMPRODUCT(INDIRECT("'Word Vectors'!B"&amp;MATCH($B$2,'Word Vectors'!A:A,0)&amp;":Z"&amp;MATCH($B$2,'Word Vectors'!A:A,0)),INDIRECT("'Word Vectors'!B668:Z668"))/(SQRT(SUMPRODUCT(INDIRECT("'Word Vectors'!B"&amp;MATCH($B$2,'Word Vectors'!A:A,0)&amp;":Z"&amp;MATCH($B$2,'Word Vectors'!A:A,0)),INDIRECT("'Word Vectors'!B"&amp;MATCH($B$2,'Word Vectors'!A:A,0)&amp;":Z"&amp;MATCH($B$2,'Word Vectors'!A:A,0))))*SQRT(SUMPRODUCT(INDIRECT("'Word Vectors'!B668:Z668"),INDIRECT("'Word Vectors'!B668:Z668")))))</f>
        <v/>
      </c>
      <c r="YU2">
        <f>IF(OR($B$2="",ISNA(MATCH($B$2,'Word Vectors'!A:A,0)),'Word Vectors'!A669=$B$2),"",SUMPRODUCT(INDIRECT("'Word Vectors'!B"&amp;MATCH($B$2,'Word Vectors'!A:A,0)&amp;":Z"&amp;MATCH($B$2,'Word Vectors'!A:A,0)),INDIRECT("'Word Vectors'!B669:Z669"))/(SQRT(SUMPRODUCT(INDIRECT("'Word Vectors'!B"&amp;MATCH($B$2,'Word Vectors'!A:A,0)&amp;":Z"&amp;MATCH($B$2,'Word Vectors'!A:A,0)),INDIRECT("'Word Vectors'!B"&amp;MATCH($B$2,'Word Vectors'!A:A,0)&amp;":Z"&amp;MATCH($B$2,'Word Vectors'!A:A,0))))*SQRT(SUMPRODUCT(INDIRECT("'Word Vectors'!B669:Z669"),INDIRECT("'Word Vectors'!B669:Z669")))))</f>
        <v/>
      </c>
      <c r="YV2">
        <f>IF(OR($B$2="",ISNA(MATCH($B$2,'Word Vectors'!A:A,0)),'Word Vectors'!A670=$B$2),"",SUMPRODUCT(INDIRECT("'Word Vectors'!B"&amp;MATCH($B$2,'Word Vectors'!A:A,0)&amp;":Z"&amp;MATCH($B$2,'Word Vectors'!A:A,0)),INDIRECT("'Word Vectors'!B670:Z670"))/(SQRT(SUMPRODUCT(INDIRECT("'Word Vectors'!B"&amp;MATCH($B$2,'Word Vectors'!A:A,0)&amp;":Z"&amp;MATCH($B$2,'Word Vectors'!A:A,0)),INDIRECT("'Word Vectors'!B"&amp;MATCH($B$2,'Word Vectors'!A:A,0)&amp;":Z"&amp;MATCH($B$2,'Word Vectors'!A:A,0))))*SQRT(SUMPRODUCT(INDIRECT("'Word Vectors'!B670:Z670"),INDIRECT("'Word Vectors'!B670:Z670")))))</f>
        <v/>
      </c>
      <c r="YW2">
        <f>IF(OR($B$2="",ISNA(MATCH($B$2,'Word Vectors'!A:A,0)),'Word Vectors'!A671=$B$2),"",SUMPRODUCT(INDIRECT("'Word Vectors'!B"&amp;MATCH($B$2,'Word Vectors'!A:A,0)&amp;":Z"&amp;MATCH($B$2,'Word Vectors'!A:A,0)),INDIRECT("'Word Vectors'!B671:Z671"))/(SQRT(SUMPRODUCT(INDIRECT("'Word Vectors'!B"&amp;MATCH($B$2,'Word Vectors'!A:A,0)&amp;":Z"&amp;MATCH($B$2,'Word Vectors'!A:A,0)),INDIRECT("'Word Vectors'!B"&amp;MATCH($B$2,'Word Vectors'!A:A,0)&amp;":Z"&amp;MATCH($B$2,'Word Vectors'!A:A,0))))*SQRT(SUMPRODUCT(INDIRECT("'Word Vectors'!B671:Z671"),INDIRECT("'Word Vectors'!B671:Z671")))))</f>
        <v/>
      </c>
      <c r="YX2">
        <f>IF(OR($B$2="",ISNA(MATCH($B$2,'Word Vectors'!A:A,0)),'Word Vectors'!A672=$B$2),"",SUMPRODUCT(INDIRECT("'Word Vectors'!B"&amp;MATCH($B$2,'Word Vectors'!A:A,0)&amp;":Z"&amp;MATCH($B$2,'Word Vectors'!A:A,0)),INDIRECT("'Word Vectors'!B672:Z672"))/(SQRT(SUMPRODUCT(INDIRECT("'Word Vectors'!B"&amp;MATCH($B$2,'Word Vectors'!A:A,0)&amp;":Z"&amp;MATCH($B$2,'Word Vectors'!A:A,0)),INDIRECT("'Word Vectors'!B"&amp;MATCH($B$2,'Word Vectors'!A:A,0)&amp;":Z"&amp;MATCH($B$2,'Word Vectors'!A:A,0))))*SQRT(SUMPRODUCT(INDIRECT("'Word Vectors'!B672:Z672"),INDIRECT("'Word Vectors'!B672:Z672")))))</f>
        <v/>
      </c>
      <c r="YY2">
        <f>IF(OR($B$2="",ISNA(MATCH($B$2,'Word Vectors'!A:A,0)),'Word Vectors'!A673=$B$2),"",SUMPRODUCT(INDIRECT("'Word Vectors'!B"&amp;MATCH($B$2,'Word Vectors'!A:A,0)&amp;":Z"&amp;MATCH($B$2,'Word Vectors'!A:A,0)),INDIRECT("'Word Vectors'!B673:Z673"))/(SQRT(SUMPRODUCT(INDIRECT("'Word Vectors'!B"&amp;MATCH($B$2,'Word Vectors'!A:A,0)&amp;":Z"&amp;MATCH($B$2,'Word Vectors'!A:A,0)),INDIRECT("'Word Vectors'!B"&amp;MATCH($B$2,'Word Vectors'!A:A,0)&amp;":Z"&amp;MATCH($B$2,'Word Vectors'!A:A,0))))*SQRT(SUMPRODUCT(INDIRECT("'Word Vectors'!B673:Z673"),INDIRECT("'Word Vectors'!B673:Z673")))))</f>
        <v/>
      </c>
      <c r="YZ2">
        <f>IF(OR($B$2="",ISNA(MATCH($B$2,'Word Vectors'!A:A,0)),'Word Vectors'!A674=$B$2),"",SUMPRODUCT(INDIRECT("'Word Vectors'!B"&amp;MATCH($B$2,'Word Vectors'!A:A,0)&amp;":Z"&amp;MATCH($B$2,'Word Vectors'!A:A,0)),INDIRECT("'Word Vectors'!B674:Z674"))/(SQRT(SUMPRODUCT(INDIRECT("'Word Vectors'!B"&amp;MATCH($B$2,'Word Vectors'!A:A,0)&amp;":Z"&amp;MATCH($B$2,'Word Vectors'!A:A,0)),INDIRECT("'Word Vectors'!B"&amp;MATCH($B$2,'Word Vectors'!A:A,0)&amp;":Z"&amp;MATCH($B$2,'Word Vectors'!A:A,0))))*SQRT(SUMPRODUCT(INDIRECT("'Word Vectors'!B674:Z674"),INDIRECT("'Word Vectors'!B674:Z674")))))</f>
        <v/>
      </c>
      <c r="ZA2">
        <f>IF(OR($B$2="",ISNA(MATCH($B$2,'Word Vectors'!A:A,0)),'Word Vectors'!A675=$B$2),"",SUMPRODUCT(INDIRECT("'Word Vectors'!B"&amp;MATCH($B$2,'Word Vectors'!A:A,0)&amp;":Z"&amp;MATCH($B$2,'Word Vectors'!A:A,0)),INDIRECT("'Word Vectors'!B675:Z675"))/(SQRT(SUMPRODUCT(INDIRECT("'Word Vectors'!B"&amp;MATCH($B$2,'Word Vectors'!A:A,0)&amp;":Z"&amp;MATCH($B$2,'Word Vectors'!A:A,0)),INDIRECT("'Word Vectors'!B"&amp;MATCH($B$2,'Word Vectors'!A:A,0)&amp;":Z"&amp;MATCH($B$2,'Word Vectors'!A:A,0))))*SQRT(SUMPRODUCT(INDIRECT("'Word Vectors'!B675:Z675"),INDIRECT("'Word Vectors'!B675:Z675")))))</f>
        <v/>
      </c>
      <c r="ZB2">
        <f>IF(OR($B$2="",ISNA(MATCH($B$2,'Word Vectors'!A:A,0)),'Word Vectors'!A676=$B$2),"",SUMPRODUCT(INDIRECT("'Word Vectors'!B"&amp;MATCH($B$2,'Word Vectors'!A:A,0)&amp;":Z"&amp;MATCH($B$2,'Word Vectors'!A:A,0)),INDIRECT("'Word Vectors'!B676:Z676"))/(SQRT(SUMPRODUCT(INDIRECT("'Word Vectors'!B"&amp;MATCH($B$2,'Word Vectors'!A:A,0)&amp;":Z"&amp;MATCH($B$2,'Word Vectors'!A:A,0)),INDIRECT("'Word Vectors'!B"&amp;MATCH($B$2,'Word Vectors'!A:A,0)&amp;":Z"&amp;MATCH($B$2,'Word Vectors'!A:A,0))))*SQRT(SUMPRODUCT(INDIRECT("'Word Vectors'!B676:Z676"),INDIRECT("'Word Vectors'!B676:Z676")))))</f>
        <v/>
      </c>
      <c r="ZC2">
        <f>IF(OR($B$2="",ISNA(MATCH($B$2,'Word Vectors'!A:A,0)),'Word Vectors'!A677=$B$2),"",SUMPRODUCT(INDIRECT("'Word Vectors'!B"&amp;MATCH($B$2,'Word Vectors'!A:A,0)&amp;":Z"&amp;MATCH($B$2,'Word Vectors'!A:A,0)),INDIRECT("'Word Vectors'!B677:Z677"))/(SQRT(SUMPRODUCT(INDIRECT("'Word Vectors'!B"&amp;MATCH($B$2,'Word Vectors'!A:A,0)&amp;":Z"&amp;MATCH($B$2,'Word Vectors'!A:A,0)),INDIRECT("'Word Vectors'!B"&amp;MATCH($B$2,'Word Vectors'!A:A,0)&amp;":Z"&amp;MATCH($B$2,'Word Vectors'!A:A,0))))*SQRT(SUMPRODUCT(INDIRECT("'Word Vectors'!B677:Z677"),INDIRECT("'Word Vectors'!B677:Z677")))))</f>
        <v/>
      </c>
      <c r="ZD2">
        <f>IF(OR($B$2="",ISNA(MATCH($B$2,'Word Vectors'!A:A,0)),'Word Vectors'!A678=$B$2),"",SUMPRODUCT(INDIRECT("'Word Vectors'!B"&amp;MATCH($B$2,'Word Vectors'!A:A,0)&amp;":Z"&amp;MATCH($B$2,'Word Vectors'!A:A,0)),INDIRECT("'Word Vectors'!B678:Z678"))/(SQRT(SUMPRODUCT(INDIRECT("'Word Vectors'!B"&amp;MATCH($B$2,'Word Vectors'!A:A,0)&amp;":Z"&amp;MATCH($B$2,'Word Vectors'!A:A,0)),INDIRECT("'Word Vectors'!B"&amp;MATCH($B$2,'Word Vectors'!A:A,0)&amp;":Z"&amp;MATCH($B$2,'Word Vectors'!A:A,0))))*SQRT(SUMPRODUCT(INDIRECT("'Word Vectors'!B678:Z678"),INDIRECT("'Word Vectors'!B678:Z678")))))</f>
        <v/>
      </c>
      <c r="ZE2">
        <f>IF(OR($B$2="",ISNA(MATCH($B$2,'Word Vectors'!A:A,0)),'Word Vectors'!A679=$B$2),"",SUMPRODUCT(INDIRECT("'Word Vectors'!B"&amp;MATCH($B$2,'Word Vectors'!A:A,0)&amp;":Z"&amp;MATCH($B$2,'Word Vectors'!A:A,0)),INDIRECT("'Word Vectors'!B679:Z679"))/(SQRT(SUMPRODUCT(INDIRECT("'Word Vectors'!B"&amp;MATCH($B$2,'Word Vectors'!A:A,0)&amp;":Z"&amp;MATCH($B$2,'Word Vectors'!A:A,0)),INDIRECT("'Word Vectors'!B"&amp;MATCH($B$2,'Word Vectors'!A:A,0)&amp;":Z"&amp;MATCH($B$2,'Word Vectors'!A:A,0))))*SQRT(SUMPRODUCT(INDIRECT("'Word Vectors'!B679:Z679"),INDIRECT("'Word Vectors'!B679:Z679")))))</f>
        <v/>
      </c>
      <c r="ZF2">
        <f>IF(OR($B$2="",ISNA(MATCH($B$2,'Word Vectors'!A:A,0)),'Word Vectors'!A680=$B$2),"",SUMPRODUCT(INDIRECT("'Word Vectors'!B"&amp;MATCH($B$2,'Word Vectors'!A:A,0)&amp;":Z"&amp;MATCH($B$2,'Word Vectors'!A:A,0)),INDIRECT("'Word Vectors'!B680:Z680"))/(SQRT(SUMPRODUCT(INDIRECT("'Word Vectors'!B"&amp;MATCH($B$2,'Word Vectors'!A:A,0)&amp;":Z"&amp;MATCH($B$2,'Word Vectors'!A:A,0)),INDIRECT("'Word Vectors'!B"&amp;MATCH($B$2,'Word Vectors'!A:A,0)&amp;":Z"&amp;MATCH($B$2,'Word Vectors'!A:A,0))))*SQRT(SUMPRODUCT(INDIRECT("'Word Vectors'!B680:Z680"),INDIRECT("'Word Vectors'!B680:Z680")))))</f>
        <v/>
      </c>
      <c r="ZG2">
        <f>IF(OR($B$2="",ISNA(MATCH($B$2,'Word Vectors'!A:A,0)),'Word Vectors'!A681=$B$2),"",SUMPRODUCT(INDIRECT("'Word Vectors'!B"&amp;MATCH($B$2,'Word Vectors'!A:A,0)&amp;":Z"&amp;MATCH($B$2,'Word Vectors'!A:A,0)),INDIRECT("'Word Vectors'!B681:Z681"))/(SQRT(SUMPRODUCT(INDIRECT("'Word Vectors'!B"&amp;MATCH($B$2,'Word Vectors'!A:A,0)&amp;":Z"&amp;MATCH($B$2,'Word Vectors'!A:A,0)),INDIRECT("'Word Vectors'!B"&amp;MATCH($B$2,'Word Vectors'!A:A,0)&amp;":Z"&amp;MATCH($B$2,'Word Vectors'!A:A,0))))*SQRT(SUMPRODUCT(INDIRECT("'Word Vectors'!B681:Z681"),INDIRECT("'Word Vectors'!B681:Z681")))))</f>
        <v/>
      </c>
      <c r="ZH2">
        <f>IF(OR($B$2="",ISNA(MATCH($B$2,'Word Vectors'!A:A,0)),'Word Vectors'!A682=$B$2),"",SUMPRODUCT(INDIRECT("'Word Vectors'!B"&amp;MATCH($B$2,'Word Vectors'!A:A,0)&amp;":Z"&amp;MATCH($B$2,'Word Vectors'!A:A,0)),INDIRECT("'Word Vectors'!B682:Z682"))/(SQRT(SUMPRODUCT(INDIRECT("'Word Vectors'!B"&amp;MATCH($B$2,'Word Vectors'!A:A,0)&amp;":Z"&amp;MATCH($B$2,'Word Vectors'!A:A,0)),INDIRECT("'Word Vectors'!B"&amp;MATCH($B$2,'Word Vectors'!A:A,0)&amp;":Z"&amp;MATCH($B$2,'Word Vectors'!A:A,0))))*SQRT(SUMPRODUCT(INDIRECT("'Word Vectors'!B682:Z682"),INDIRECT("'Word Vectors'!B682:Z682")))))</f>
        <v/>
      </c>
      <c r="ZI2">
        <f>IF(OR($B$2="",ISNA(MATCH($B$2,'Word Vectors'!A:A,0)),'Word Vectors'!A683=$B$2),"",SUMPRODUCT(INDIRECT("'Word Vectors'!B"&amp;MATCH($B$2,'Word Vectors'!A:A,0)&amp;":Z"&amp;MATCH($B$2,'Word Vectors'!A:A,0)),INDIRECT("'Word Vectors'!B683:Z683"))/(SQRT(SUMPRODUCT(INDIRECT("'Word Vectors'!B"&amp;MATCH($B$2,'Word Vectors'!A:A,0)&amp;":Z"&amp;MATCH($B$2,'Word Vectors'!A:A,0)),INDIRECT("'Word Vectors'!B"&amp;MATCH($B$2,'Word Vectors'!A:A,0)&amp;":Z"&amp;MATCH($B$2,'Word Vectors'!A:A,0))))*SQRT(SUMPRODUCT(INDIRECT("'Word Vectors'!B683:Z683"),INDIRECT("'Word Vectors'!B683:Z683")))))</f>
        <v/>
      </c>
      <c r="ZJ2">
        <f>IF(OR($B$2="",ISNA(MATCH($B$2,'Word Vectors'!A:A,0)),'Word Vectors'!A684=$B$2),"",SUMPRODUCT(INDIRECT("'Word Vectors'!B"&amp;MATCH($B$2,'Word Vectors'!A:A,0)&amp;":Z"&amp;MATCH($B$2,'Word Vectors'!A:A,0)),INDIRECT("'Word Vectors'!B684:Z684"))/(SQRT(SUMPRODUCT(INDIRECT("'Word Vectors'!B"&amp;MATCH($B$2,'Word Vectors'!A:A,0)&amp;":Z"&amp;MATCH($B$2,'Word Vectors'!A:A,0)),INDIRECT("'Word Vectors'!B"&amp;MATCH($B$2,'Word Vectors'!A:A,0)&amp;":Z"&amp;MATCH($B$2,'Word Vectors'!A:A,0))))*SQRT(SUMPRODUCT(INDIRECT("'Word Vectors'!B684:Z684"),INDIRECT("'Word Vectors'!B684:Z684")))))</f>
        <v/>
      </c>
      <c r="ZK2">
        <f>IF(OR($B$2="",ISNA(MATCH($B$2,'Word Vectors'!A:A,0)),'Word Vectors'!A685=$B$2),"",SUMPRODUCT(INDIRECT("'Word Vectors'!B"&amp;MATCH($B$2,'Word Vectors'!A:A,0)&amp;":Z"&amp;MATCH($B$2,'Word Vectors'!A:A,0)),INDIRECT("'Word Vectors'!B685:Z685"))/(SQRT(SUMPRODUCT(INDIRECT("'Word Vectors'!B"&amp;MATCH($B$2,'Word Vectors'!A:A,0)&amp;":Z"&amp;MATCH($B$2,'Word Vectors'!A:A,0)),INDIRECT("'Word Vectors'!B"&amp;MATCH($B$2,'Word Vectors'!A:A,0)&amp;":Z"&amp;MATCH($B$2,'Word Vectors'!A:A,0))))*SQRT(SUMPRODUCT(INDIRECT("'Word Vectors'!B685:Z685"),INDIRECT("'Word Vectors'!B685:Z685")))))</f>
        <v/>
      </c>
      <c r="ZL2">
        <f>IF(OR($B$2="",ISNA(MATCH($B$2,'Word Vectors'!A:A,0)),'Word Vectors'!A686=$B$2),"",SUMPRODUCT(INDIRECT("'Word Vectors'!B"&amp;MATCH($B$2,'Word Vectors'!A:A,0)&amp;":Z"&amp;MATCH($B$2,'Word Vectors'!A:A,0)),INDIRECT("'Word Vectors'!B686:Z686"))/(SQRT(SUMPRODUCT(INDIRECT("'Word Vectors'!B"&amp;MATCH($B$2,'Word Vectors'!A:A,0)&amp;":Z"&amp;MATCH($B$2,'Word Vectors'!A:A,0)),INDIRECT("'Word Vectors'!B"&amp;MATCH($B$2,'Word Vectors'!A:A,0)&amp;":Z"&amp;MATCH($B$2,'Word Vectors'!A:A,0))))*SQRT(SUMPRODUCT(INDIRECT("'Word Vectors'!B686:Z686"),INDIRECT("'Word Vectors'!B686:Z686")))))</f>
        <v/>
      </c>
      <c r="ZM2">
        <f>IF(OR($B$2="",ISNA(MATCH($B$2,'Word Vectors'!A:A,0)),'Word Vectors'!A687=$B$2),"",SUMPRODUCT(INDIRECT("'Word Vectors'!B"&amp;MATCH($B$2,'Word Vectors'!A:A,0)&amp;":Z"&amp;MATCH($B$2,'Word Vectors'!A:A,0)),INDIRECT("'Word Vectors'!B687:Z687"))/(SQRT(SUMPRODUCT(INDIRECT("'Word Vectors'!B"&amp;MATCH($B$2,'Word Vectors'!A:A,0)&amp;":Z"&amp;MATCH($B$2,'Word Vectors'!A:A,0)),INDIRECT("'Word Vectors'!B"&amp;MATCH($B$2,'Word Vectors'!A:A,0)&amp;":Z"&amp;MATCH($B$2,'Word Vectors'!A:A,0))))*SQRT(SUMPRODUCT(INDIRECT("'Word Vectors'!B687:Z687"),INDIRECT("'Word Vectors'!B687:Z687")))))</f>
        <v/>
      </c>
      <c r="ZN2">
        <f>IF(OR($B$2="",ISNA(MATCH($B$2,'Word Vectors'!A:A,0)),'Word Vectors'!A688=$B$2),"",SUMPRODUCT(INDIRECT("'Word Vectors'!B"&amp;MATCH($B$2,'Word Vectors'!A:A,0)&amp;":Z"&amp;MATCH($B$2,'Word Vectors'!A:A,0)),INDIRECT("'Word Vectors'!B688:Z688"))/(SQRT(SUMPRODUCT(INDIRECT("'Word Vectors'!B"&amp;MATCH($B$2,'Word Vectors'!A:A,0)&amp;":Z"&amp;MATCH($B$2,'Word Vectors'!A:A,0)),INDIRECT("'Word Vectors'!B"&amp;MATCH($B$2,'Word Vectors'!A:A,0)&amp;":Z"&amp;MATCH($B$2,'Word Vectors'!A:A,0))))*SQRT(SUMPRODUCT(INDIRECT("'Word Vectors'!B688:Z688"),INDIRECT("'Word Vectors'!B688:Z688")))))</f>
        <v/>
      </c>
      <c r="ZO2">
        <f>IF(OR($B$2="",ISNA(MATCH($B$2,'Word Vectors'!A:A,0)),'Word Vectors'!A689=$B$2),"",SUMPRODUCT(INDIRECT("'Word Vectors'!B"&amp;MATCH($B$2,'Word Vectors'!A:A,0)&amp;":Z"&amp;MATCH($B$2,'Word Vectors'!A:A,0)),INDIRECT("'Word Vectors'!B689:Z689"))/(SQRT(SUMPRODUCT(INDIRECT("'Word Vectors'!B"&amp;MATCH($B$2,'Word Vectors'!A:A,0)&amp;":Z"&amp;MATCH($B$2,'Word Vectors'!A:A,0)),INDIRECT("'Word Vectors'!B"&amp;MATCH($B$2,'Word Vectors'!A:A,0)&amp;":Z"&amp;MATCH($B$2,'Word Vectors'!A:A,0))))*SQRT(SUMPRODUCT(INDIRECT("'Word Vectors'!B689:Z689"),INDIRECT("'Word Vectors'!B689:Z689")))))</f>
        <v/>
      </c>
      <c r="ZP2">
        <f>IF(OR($B$2="",ISNA(MATCH($B$2,'Word Vectors'!A:A,0)),'Word Vectors'!A690=$B$2),"",SUMPRODUCT(INDIRECT("'Word Vectors'!B"&amp;MATCH($B$2,'Word Vectors'!A:A,0)&amp;":Z"&amp;MATCH($B$2,'Word Vectors'!A:A,0)),INDIRECT("'Word Vectors'!B690:Z690"))/(SQRT(SUMPRODUCT(INDIRECT("'Word Vectors'!B"&amp;MATCH($B$2,'Word Vectors'!A:A,0)&amp;":Z"&amp;MATCH($B$2,'Word Vectors'!A:A,0)),INDIRECT("'Word Vectors'!B"&amp;MATCH($B$2,'Word Vectors'!A:A,0)&amp;":Z"&amp;MATCH($B$2,'Word Vectors'!A:A,0))))*SQRT(SUMPRODUCT(INDIRECT("'Word Vectors'!B690:Z690"),INDIRECT("'Word Vectors'!B690:Z690")))))</f>
        <v/>
      </c>
      <c r="ZQ2">
        <f>IF(OR($B$2="",ISNA(MATCH($B$2,'Word Vectors'!A:A,0)),'Word Vectors'!A691=$B$2),"",SUMPRODUCT(INDIRECT("'Word Vectors'!B"&amp;MATCH($B$2,'Word Vectors'!A:A,0)&amp;":Z"&amp;MATCH($B$2,'Word Vectors'!A:A,0)),INDIRECT("'Word Vectors'!B691:Z691"))/(SQRT(SUMPRODUCT(INDIRECT("'Word Vectors'!B"&amp;MATCH($B$2,'Word Vectors'!A:A,0)&amp;":Z"&amp;MATCH($B$2,'Word Vectors'!A:A,0)),INDIRECT("'Word Vectors'!B"&amp;MATCH($B$2,'Word Vectors'!A:A,0)&amp;":Z"&amp;MATCH($B$2,'Word Vectors'!A:A,0))))*SQRT(SUMPRODUCT(INDIRECT("'Word Vectors'!B691:Z691"),INDIRECT("'Word Vectors'!B691:Z691")))))</f>
        <v/>
      </c>
      <c r="ZR2">
        <f>IF(OR($B$2="",ISNA(MATCH($B$2,'Word Vectors'!A:A,0)),'Word Vectors'!A692=$B$2),"",SUMPRODUCT(INDIRECT("'Word Vectors'!B"&amp;MATCH($B$2,'Word Vectors'!A:A,0)&amp;":Z"&amp;MATCH($B$2,'Word Vectors'!A:A,0)),INDIRECT("'Word Vectors'!B692:Z692"))/(SQRT(SUMPRODUCT(INDIRECT("'Word Vectors'!B"&amp;MATCH($B$2,'Word Vectors'!A:A,0)&amp;":Z"&amp;MATCH($B$2,'Word Vectors'!A:A,0)),INDIRECT("'Word Vectors'!B"&amp;MATCH($B$2,'Word Vectors'!A:A,0)&amp;":Z"&amp;MATCH($B$2,'Word Vectors'!A:A,0))))*SQRT(SUMPRODUCT(INDIRECT("'Word Vectors'!B692:Z692"),INDIRECT("'Word Vectors'!B692:Z692")))))</f>
        <v/>
      </c>
      <c r="ZS2">
        <f>IF(OR($B$2="",ISNA(MATCH($B$2,'Word Vectors'!A:A,0)),'Word Vectors'!A693=$B$2),"",SUMPRODUCT(INDIRECT("'Word Vectors'!B"&amp;MATCH($B$2,'Word Vectors'!A:A,0)&amp;":Z"&amp;MATCH($B$2,'Word Vectors'!A:A,0)),INDIRECT("'Word Vectors'!B693:Z693"))/(SQRT(SUMPRODUCT(INDIRECT("'Word Vectors'!B"&amp;MATCH($B$2,'Word Vectors'!A:A,0)&amp;":Z"&amp;MATCH($B$2,'Word Vectors'!A:A,0)),INDIRECT("'Word Vectors'!B"&amp;MATCH($B$2,'Word Vectors'!A:A,0)&amp;":Z"&amp;MATCH($B$2,'Word Vectors'!A:A,0))))*SQRT(SUMPRODUCT(INDIRECT("'Word Vectors'!B693:Z693"),INDIRECT("'Word Vectors'!B693:Z693")))))</f>
        <v/>
      </c>
      <c r="ZT2">
        <f>IF(OR($B$2="",ISNA(MATCH($B$2,'Word Vectors'!A:A,0)),'Word Vectors'!A694=$B$2),"",SUMPRODUCT(INDIRECT("'Word Vectors'!B"&amp;MATCH($B$2,'Word Vectors'!A:A,0)&amp;":Z"&amp;MATCH($B$2,'Word Vectors'!A:A,0)),INDIRECT("'Word Vectors'!B694:Z694"))/(SQRT(SUMPRODUCT(INDIRECT("'Word Vectors'!B"&amp;MATCH($B$2,'Word Vectors'!A:A,0)&amp;":Z"&amp;MATCH($B$2,'Word Vectors'!A:A,0)),INDIRECT("'Word Vectors'!B"&amp;MATCH($B$2,'Word Vectors'!A:A,0)&amp;":Z"&amp;MATCH($B$2,'Word Vectors'!A:A,0))))*SQRT(SUMPRODUCT(INDIRECT("'Word Vectors'!B694:Z694"),INDIRECT("'Word Vectors'!B694:Z694")))))</f>
        <v/>
      </c>
      <c r="ZU2">
        <f>IF(OR($B$2="",ISNA(MATCH($B$2,'Word Vectors'!A:A,0)),'Word Vectors'!A695=$B$2),"",SUMPRODUCT(INDIRECT("'Word Vectors'!B"&amp;MATCH($B$2,'Word Vectors'!A:A,0)&amp;":Z"&amp;MATCH($B$2,'Word Vectors'!A:A,0)),INDIRECT("'Word Vectors'!B695:Z695"))/(SQRT(SUMPRODUCT(INDIRECT("'Word Vectors'!B"&amp;MATCH($B$2,'Word Vectors'!A:A,0)&amp;":Z"&amp;MATCH($B$2,'Word Vectors'!A:A,0)),INDIRECT("'Word Vectors'!B"&amp;MATCH($B$2,'Word Vectors'!A:A,0)&amp;":Z"&amp;MATCH($B$2,'Word Vectors'!A:A,0))))*SQRT(SUMPRODUCT(INDIRECT("'Word Vectors'!B695:Z695"),INDIRECT("'Word Vectors'!B695:Z695")))))</f>
        <v/>
      </c>
      <c r="ZV2">
        <f>IF(OR($B$2="",ISNA(MATCH($B$2,'Word Vectors'!A:A,0)),'Word Vectors'!A696=$B$2),"",SUMPRODUCT(INDIRECT("'Word Vectors'!B"&amp;MATCH($B$2,'Word Vectors'!A:A,0)&amp;":Z"&amp;MATCH($B$2,'Word Vectors'!A:A,0)),INDIRECT("'Word Vectors'!B696:Z696"))/(SQRT(SUMPRODUCT(INDIRECT("'Word Vectors'!B"&amp;MATCH($B$2,'Word Vectors'!A:A,0)&amp;":Z"&amp;MATCH($B$2,'Word Vectors'!A:A,0)),INDIRECT("'Word Vectors'!B"&amp;MATCH($B$2,'Word Vectors'!A:A,0)&amp;":Z"&amp;MATCH($B$2,'Word Vectors'!A:A,0))))*SQRT(SUMPRODUCT(INDIRECT("'Word Vectors'!B696:Z696"),INDIRECT("'Word Vectors'!B696:Z696")))))</f>
        <v/>
      </c>
      <c r="ZW2">
        <f>IF(OR($B$2="",ISNA(MATCH($B$2,'Word Vectors'!A:A,0)),'Word Vectors'!A697=$B$2),"",SUMPRODUCT(INDIRECT("'Word Vectors'!B"&amp;MATCH($B$2,'Word Vectors'!A:A,0)&amp;":Z"&amp;MATCH($B$2,'Word Vectors'!A:A,0)),INDIRECT("'Word Vectors'!B697:Z697"))/(SQRT(SUMPRODUCT(INDIRECT("'Word Vectors'!B"&amp;MATCH($B$2,'Word Vectors'!A:A,0)&amp;":Z"&amp;MATCH($B$2,'Word Vectors'!A:A,0)),INDIRECT("'Word Vectors'!B"&amp;MATCH($B$2,'Word Vectors'!A:A,0)&amp;":Z"&amp;MATCH($B$2,'Word Vectors'!A:A,0))))*SQRT(SUMPRODUCT(INDIRECT("'Word Vectors'!B697:Z697"),INDIRECT("'Word Vectors'!B697:Z697")))))</f>
        <v/>
      </c>
      <c r="ZX2">
        <f>IF(OR($B$2="",ISNA(MATCH($B$2,'Word Vectors'!A:A,0)),'Word Vectors'!A698=$B$2),"",SUMPRODUCT(INDIRECT("'Word Vectors'!B"&amp;MATCH($B$2,'Word Vectors'!A:A,0)&amp;":Z"&amp;MATCH($B$2,'Word Vectors'!A:A,0)),INDIRECT("'Word Vectors'!B698:Z698"))/(SQRT(SUMPRODUCT(INDIRECT("'Word Vectors'!B"&amp;MATCH($B$2,'Word Vectors'!A:A,0)&amp;":Z"&amp;MATCH($B$2,'Word Vectors'!A:A,0)),INDIRECT("'Word Vectors'!B"&amp;MATCH($B$2,'Word Vectors'!A:A,0)&amp;":Z"&amp;MATCH($B$2,'Word Vectors'!A:A,0))))*SQRT(SUMPRODUCT(INDIRECT("'Word Vectors'!B698:Z698"),INDIRECT("'Word Vectors'!B698:Z698")))))</f>
        <v/>
      </c>
      <c r="ZY2">
        <f>IF(OR($B$2="",ISNA(MATCH($B$2,'Word Vectors'!A:A,0)),'Word Vectors'!A699=$B$2),"",SUMPRODUCT(INDIRECT("'Word Vectors'!B"&amp;MATCH($B$2,'Word Vectors'!A:A,0)&amp;":Z"&amp;MATCH($B$2,'Word Vectors'!A:A,0)),INDIRECT("'Word Vectors'!B699:Z699"))/(SQRT(SUMPRODUCT(INDIRECT("'Word Vectors'!B"&amp;MATCH($B$2,'Word Vectors'!A:A,0)&amp;":Z"&amp;MATCH($B$2,'Word Vectors'!A:A,0)),INDIRECT("'Word Vectors'!B"&amp;MATCH($B$2,'Word Vectors'!A:A,0)&amp;":Z"&amp;MATCH($B$2,'Word Vectors'!A:A,0))))*SQRT(SUMPRODUCT(INDIRECT("'Word Vectors'!B699:Z699"),INDIRECT("'Word Vectors'!B699:Z699")))))</f>
        <v/>
      </c>
      <c r="ZZ2">
        <f>IF(OR($B$2="",ISNA(MATCH($B$2,'Word Vectors'!A:A,0)),'Word Vectors'!A700=$B$2),"",SUMPRODUCT(INDIRECT("'Word Vectors'!B"&amp;MATCH($B$2,'Word Vectors'!A:A,0)&amp;":Z"&amp;MATCH($B$2,'Word Vectors'!A:A,0)),INDIRECT("'Word Vectors'!B700:Z700"))/(SQRT(SUMPRODUCT(INDIRECT("'Word Vectors'!B"&amp;MATCH($B$2,'Word Vectors'!A:A,0)&amp;":Z"&amp;MATCH($B$2,'Word Vectors'!A:A,0)),INDIRECT("'Word Vectors'!B"&amp;MATCH($B$2,'Word Vectors'!A:A,0)&amp;":Z"&amp;MATCH($B$2,'Word Vectors'!A:A,0))))*SQRT(SUMPRODUCT(INDIRECT("'Word Vectors'!B700:Z700"),INDIRECT("'Word Vectors'!B700:Z700")))))</f>
        <v/>
      </c>
      <c r="AAA2">
        <f>IF(OR($B$2="",ISNA(MATCH($B$2,'Word Vectors'!A:A,0)),'Word Vectors'!A701=$B$2),"",SUMPRODUCT(INDIRECT("'Word Vectors'!B"&amp;MATCH($B$2,'Word Vectors'!A:A,0)&amp;":Z"&amp;MATCH($B$2,'Word Vectors'!A:A,0)),INDIRECT("'Word Vectors'!B701:Z701"))/(SQRT(SUMPRODUCT(INDIRECT("'Word Vectors'!B"&amp;MATCH($B$2,'Word Vectors'!A:A,0)&amp;":Z"&amp;MATCH($B$2,'Word Vectors'!A:A,0)),INDIRECT("'Word Vectors'!B"&amp;MATCH($B$2,'Word Vectors'!A:A,0)&amp;":Z"&amp;MATCH($B$2,'Word Vectors'!A:A,0))))*SQRT(SUMPRODUCT(INDIRECT("'Word Vectors'!B701:Z701"),INDIRECT("'Word Vectors'!B701:Z701")))))</f>
        <v/>
      </c>
      <c r="AAB2">
        <f>IF(OR($B$2="",ISNA(MATCH($B$2,'Word Vectors'!A:A,0)),'Word Vectors'!A702=$B$2),"",SUMPRODUCT(INDIRECT("'Word Vectors'!B"&amp;MATCH($B$2,'Word Vectors'!A:A,0)&amp;":Z"&amp;MATCH($B$2,'Word Vectors'!A:A,0)),INDIRECT("'Word Vectors'!B702:Z702"))/(SQRT(SUMPRODUCT(INDIRECT("'Word Vectors'!B"&amp;MATCH($B$2,'Word Vectors'!A:A,0)&amp;":Z"&amp;MATCH($B$2,'Word Vectors'!A:A,0)),INDIRECT("'Word Vectors'!B"&amp;MATCH($B$2,'Word Vectors'!A:A,0)&amp;":Z"&amp;MATCH($B$2,'Word Vectors'!A:A,0))))*SQRT(SUMPRODUCT(INDIRECT("'Word Vectors'!B702:Z702"),INDIRECT("'Word Vectors'!B702:Z702")))))</f>
        <v/>
      </c>
      <c r="AAC2">
        <f>IF(OR($B$2="",ISNA(MATCH($B$2,'Word Vectors'!A:A,0)),'Word Vectors'!A703=$B$2),"",SUMPRODUCT(INDIRECT("'Word Vectors'!B"&amp;MATCH($B$2,'Word Vectors'!A:A,0)&amp;":Z"&amp;MATCH($B$2,'Word Vectors'!A:A,0)),INDIRECT("'Word Vectors'!B703:Z703"))/(SQRT(SUMPRODUCT(INDIRECT("'Word Vectors'!B"&amp;MATCH($B$2,'Word Vectors'!A:A,0)&amp;":Z"&amp;MATCH($B$2,'Word Vectors'!A:A,0)),INDIRECT("'Word Vectors'!B"&amp;MATCH($B$2,'Word Vectors'!A:A,0)&amp;":Z"&amp;MATCH($B$2,'Word Vectors'!A:A,0))))*SQRT(SUMPRODUCT(INDIRECT("'Word Vectors'!B703:Z703"),INDIRECT("'Word Vectors'!B703:Z703")))))</f>
        <v/>
      </c>
      <c r="AAD2">
        <f>IF(OR($B$2="",ISNA(MATCH($B$2,'Word Vectors'!A:A,0)),'Word Vectors'!A704=$B$2),"",SUMPRODUCT(INDIRECT("'Word Vectors'!B"&amp;MATCH($B$2,'Word Vectors'!A:A,0)&amp;":Z"&amp;MATCH($B$2,'Word Vectors'!A:A,0)),INDIRECT("'Word Vectors'!B704:Z704"))/(SQRT(SUMPRODUCT(INDIRECT("'Word Vectors'!B"&amp;MATCH($B$2,'Word Vectors'!A:A,0)&amp;":Z"&amp;MATCH($B$2,'Word Vectors'!A:A,0)),INDIRECT("'Word Vectors'!B"&amp;MATCH($B$2,'Word Vectors'!A:A,0)&amp;":Z"&amp;MATCH($B$2,'Word Vectors'!A:A,0))))*SQRT(SUMPRODUCT(INDIRECT("'Word Vectors'!B704:Z704"),INDIRECT("'Word Vectors'!B704:Z704")))))</f>
        <v/>
      </c>
      <c r="AAE2">
        <f>IF(OR($B$2="",ISNA(MATCH($B$2,'Word Vectors'!A:A,0)),'Word Vectors'!A705=$B$2),"",SUMPRODUCT(INDIRECT("'Word Vectors'!B"&amp;MATCH($B$2,'Word Vectors'!A:A,0)&amp;":Z"&amp;MATCH($B$2,'Word Vectors'!A:A,0)),INDIRECT("'Word Vectors'!B705:Z705"))/(SQRT(SUMPRODUCT(INDIRECT("'Word Vectors'!B"&amp;MATCH($B$2,'Word Vectors'!A:A,0)&amp;":Z"&amp;MATCH($B$2,'Word Vectors'!A:A,0)),INDIRECT("'Word Vectors'!B"&amp;MATCH($B$2,'Word Vectors'!A:A,0)&amp;":Z"&amp;MATCH($B$2,'Word Vectors'!A:A,0))))*SQRT(SUMPRODUCT(INDIRECT("'Word Vectors'!B705:Z705"),INDIRECT("'Word Vectors'!B705:Z705")))))</f>
        <v/>
      </c>
      <c r="AAF2">
        <f>IF(OR($B$2="",ISNA(MATCH($B$2,'Word Vectors'!A:A,0)),'Word Vectors'!A706=$B$2),"",SUMPRODUCT(INDIRECT("'Word Vectors'!B"&amp;MATCH($B$2,'Word Vectors'!A:A,0)&amp;":Z"&amp;MATCH($B$2,'Word Vectors'!A:A,0)),INDIRECT("'Word Vectors'!B706:Z706"))/(SQRT(SUMPRODUCT(INDIRECT("'Word Vectors'!B"&amp;MATCH($B$2,'Word Vectors'!A:A,0)&amp;":Z"&amp;MATCH($B$2,'Word Vectors'!A:A,0)),INDIRECT("'Word Vectors'!B"&amp;MATCH($B$2,'Word Vectors'!A:A,0)&amp;":Z"&amp;MATCH($B$2,'Word Vectors'!A:A,0))))*SQRT(SUMPRODUCT(INDIRECT("'Word Vectors'!B706:Z706"),INDIRECT("'Word Vectors'!B706:Z706")))))</f>
        <v/>
      </c>
      <c r="AAG2">
        <f>IF(OR($B$2="",ISNA(MATCH($B$2,'Word Vectors'!A:A,0)),'Word Vectors'!A707=$B$2),"",SUMPRODUCT(INDIRECT("'Word Vectors'!B"&amp;MATCH($B$2,'Word Vectors'!A:A,0)&amp;":Z"&amp;MATCH($B$2,'Word Vectors'!A:A,0)),INDIRECT("'Word Vectors'!B707:Z707"))/(SQRT(SUMPRODUCT(INDIRECT("'Word Vectors'!B"&amp;MATCH($B$2,'Word Vectors'!A:A,0)&amp;":Z"&amp;MATCH($B$2,'Word Vectors'!A:A,0)),INDIRECT("'Word Vectors'!B"&amp;MATCH($B$2,'Word Vectors'!A:A,0)&amp;":Z"&amp;MATCH($B$2,'Word Vectors'!A:A,0))))*SQRT(SUMPRODUCT(INDIRECT("'Word Vectors'!B707:Z707"),INDIRECT("'Word Vectors'!B707:Z707")))))</f>
        <v/>
      </c>
      <c r="AAH2">
        <f>IF(OR($B$2="",ISNA(MATCH($B$2,'Word Vectors'!A:A,0)),'Word Vectors'!A708=$B$2),"",SUMPRODUCT(INDIRECT("'Word Vectors'!B"&amp;MATCH($B$2,'Word Vectors'!A:A,0)&amp;":Z"&amp;MATCH($B$2,'Word Vectors'!A:A,0)),INDIRECT("'Word Vectors'!B708:Z708"))/(SQRT(SUMPRODUCT(INDIRECT("'Word Vectors'!B"&amp;MATCH($B$2,'Word Vectors'!A:A,0)&amp;":Z"&amp;MATCH($B$2,'Word Vectors'!A:A,0)),INDIRECT("'Word Vectors'!B"&amp;MATCH($B$2,'Word Vectors'!A:A,0)&amp;":Z"&amp;MATCH($B$2,'Word Vectors'!A:A,0))))*SQRT(SUMPRODUCT(INDIRECT("'Word Vectors'!B708:Z708"),INDIRECT("'Word Vectors'!B708:Z708")))))</f>
        <v/>
      </c>
      <c r="AAI2">
        <f>IF(OR($B$2="",ISNA(MATCH($B$2,'Word Vectors'!A:A,0)),'Word Vectors'!A709=$B$2),"",SUMPRODUCT(INDIRECT("'Word Vectors'!B"&amp;MATCH($B$2,'Word Vectors'!A:A,0)&amp;":Z"&amp;MATCH($B$2,'Word Vectors'!A:A,0)),INDIRECT("'Word Vectors'!B709:Z709"))/(SQRT(SUMPRODUCT(INDIRECT("'Word Vectors'!B"&amp;MATCH($B$2,'Word Vectors'!A:A,0)&amp;":Z"&amp;MATCH($B$2,'Word Vectors'!A:A,0)),INDIRECT("'Word Vectors'!B"&amp;MATCH($B$2,'Word Vectors'!A:A,0)&amp;":Z"&amp;MATCH($B$2,'Word Vectors'!A:A,0))))*SQRT(SUMPRODUCT(INDIRECT("'Word Vectors'!B709:Z709"),INDIRECT("'Word Vectors'!B709:Z709")))))</f>
        <v/>
      </c>
      <c r="AAJ2">
        <f>IF(OR($B$2="",ISNA(MATCH($B$2,'Word Vectors'!A:A,0)),'Word Vectors'!A710=$B$2),"",SUMPRODUCT(INDIRECT("'Word Vectors'!B"&amp;MATCH($B$2,'Word Vectors'!A:A,0)&amp;":Z"&amp;MATCH($B$2,'Word Vectors'!A:A,0)),INDIRECT("'Word Vectors'!B710:Z710"))/(SQRT(SUMPRODUCT(INDIRECT("'Word Vectors'!B"&amp;MATCH($B$2,'Word Vectors'!A:A,0)&amp;":Z"&amp;MATCH($B$2,'Word Vectors'!A:A,0)),INDIRECT("'Word Vectors'!B"&amp;MATCH($B$2,'Word Vectors'!A:A,0)&amp;":Z"&amp;MATCH($B$2,'Word Vectors'!A:A,0))))*SQRT(SUMPRODUCT(INDIRECT("'Word Vectors'!B710:Z710"),INDIRECT("'Word Vectors'!B710:Z710")))))</f>
        <v/>
      </c>
      <c r="AAK2">
        <f>IF(OR($B$2="",ISNA(MATCH($B$2,'Word Vectors'!A:A,0)),'Word Vectors'!A711=$B$2),"",SUMPRODUCT(INDIRECT("'Word Vectors'!B"&amp;MATCH($B$2,'Word Vectors'!A:A,0)&amp;":Z"&amp;MATCH($B$2,'Word Vectors'!A:A,0)),INDIRECT("'Word Vectors'!B711:Z711"))/(SQRT(SUMPRODUCT(INDIRECT("'Word Vectors'!B"&amp;MATCH($B$2,'Word Vectors'!A:A,0)&amp;":Z"&amp;MATCH($B$2,'Word Vectors'!A:A,0)),INDIRECT("'Word Vectors'!B"&amp;MATCH($B$2,'Word Vectors'!A:A,0)&amp;":Z"&amp;MATCH($B$2,'Word Vectors'!A:A,0))))*SQRT(SUMPRODUCT(INDIRECT("'Word Vectors'!B711:Z711"),INDIRECT("'Word Vectors'!B711:Z711")))))</f>
        <v/>
      </c>
      <c r="AAL2">
        <f>IF(OR($B$2="",ISNA(MATCH($B$2,'Word Vectors'!A:A,0)),'Word Vectors'!A712=$B$2),"",SUMPRODUCT(INDIRECT("'Word Vectors'!B"&amp;MATCH($B$2,'Word Vectors'!A:A,0)&amp;":Z"&amp;MATCH($B$2,'Word Vectors'!A:A,0)),INDIRECT("'Word Vectors'!B712:Z712"))/(SQRT(SUMPRODUCT(INDIRECT("'Word Vectors'!B"&amp;MATCH($B$2,'Word Vectors'!A:A,0)&amp;":Z"&amp;MATCH($B$2,'Word Vectors'!A:A,0)),INDIRECT("'Word Vectors'!B"&amp;MATCH($B$2,'Word Vectors'!A:A,0)&amp;":Z"&amp;MATCH($B$2,'Word Vectors'!A:A,0))))*SQRT(SUMPRODUCT(INDIRECT("'Word Vectors'!B712:Z712"),INDIRECT("'Word Vectors'!B712:Z712")))))</f>
        <v/>
      </c>
      <c r="AAM2">
        <f>IF(OR($B$2="",ISNA(MATCH($B$2,'Word Vectors'!A:A,0)),'Word Vectors'!A713=$B$2),"",SUMPRODUCT(INDIRECT("'Word Vectors'!B"&amp;MATCH($B$2,'Word Vectors'!A:A,0)&amp;":Z"&amp;MATCH($B$2,'Word Vectors'!A:A,0)),INDIRECT("'Word Vectors'!B713:Z713"))/(SQRT(SUMPRODUCT(INDIRECT("'Word Vectors'!B"&amp;MATCH($B$2,'Word Vectors'!A:A,0)&amp;":Z"&amp;MATCH($B$2,'Word Vectors'!A:A,0)),INDIRECT("'Word Vectors'!B"&amp;MATCH($B$2,'Word Vectors'!A:A,0)&amp;":Z"&amp;MATCH($B$2,'Word Vectors'!A:A,0))))*SQRT(SUMPRODUCT(INDIRECT("'Word Vectors'!B713:Z713"),INDIRECT("'Word Vectors'!B713:Z713")))))</f>
        <v/>
      </c>
      <c r="AAN2">
        <f>IF(OR($B$2="",ISNA(MATCH($B$2,'Word Vectors'!A:A,0)),'Word Vectors'!A714=$B$2),"",SUMPRODUCT(INDIRECT("'Word Vectors'!B"&amp;MATCH($B$2,'Word Vectors'!A:A,0)&amp;":Z"&amp;MATCH($B$2,'Word Vectors'!A:A,0)),INDIRECT("'Word Vectors'!B714:Z714"))/(SQRT(SUMPRODUCT(INDIRECT("'Word Vectors'!B"&amp;MATCH($B$2,'Word Vectors'!A:A,0)&amp;":Z"&amp;MATCH($B$2,'Word Vectors'!A:A,0)),INDIRECT("'Word Vectors'!B"&amp;MATCH($B$2,'Word Vectors'!A:A,0)&amp;":Z"&amp;MATCH($B$2,'Word Vectors'!A:A,0))))*SQRT(SUMPRODUCT(INDIRECT("'Word Vectors'!B714:Z714"),INDIRECT("'Word Vectors'!B714:Z714")))))</f>
        <v/>
      </c>
      <c r="AAO2">
        <f>IF(OR($B$2="",ISNA(MATCH($B$2,'Word Vectors'!A:A,0)),'Word Vectors'!A715=$B$2),"",SUMPRODUCT(INDIRECT("'Word Vectors'!B"&amp;MATCH($B$2,'Word Vectors'!A:A,0)&amp;":Z"&amp;MATCH($B$2,'Word Vectors'!A:A,0)),INDIRECT("'Word Vectors'!B715:Z715"))/(SQRT(SUMPRODUCT(INDIRECT("'Word Vectors'!B"&amp;MATCH($B$2,'Word Vectors'!A:A,0)&amp;":Z"&amp;MATCH($B$2,'Word Vectors'!A:A,0)),INDIRECT("'Word Vectors'!B"&amp;MATCH($B$2,'Word Vectors'!A:A,0)&amp;":Z"&amp;MATCH($B$2,'Word Vectors'!A:A,0))))*SQRT(SUMPRODUCT(INDIRECT("'Word Vectors'!B715:Z715"),INDIRECT("'Word Vectors'!B715:Z715")))))</f>
        <v/>
      </c>
      <c r="AAP2">
        <f>IF(OR($B$2="",ISNA(MATCH($B$2,'Word Vectors'!A:A,0)),'Word Vectors'!A716=$B$2),"",SUMPRODUCT(INDIRECT("'Word Vectors'!B"&amp;MATCH($B$2,'Word Vectors'!A:A,0)&amp;":Z"&amp;MATCH($B$2,'Word Vectors'!A:A,0)),INDIRECT("'Word Vectors'!B716:Z716"))/(SQRT(SUMPRODUCT(INDIRECT("'Word Vectors'!B"&amp;MATCH($B$2,'Word Vectors'!A:A,0)&amp;":Z"&amp;MATCH($B$2,'Word Vectors'!A:A,0)),INDIRECT("'Word Vectors'!B"&amp;MATCH($B$2,'Word Vectors'!A:A,0)&amp;":Z"&amp;MATCH($B$2,'Word Vectors'!A:A,0))))*SQRT(SUMPRODUCT(INDIRECT("'Word Vectors'!B716:Z716"),INDIRECT("'Word Vectors'!B716:Z716")))))</f>
        <v/>
      </c>
      <c r="AAQ2">
        <f>IF(OR($B$2="",ISNA(MATCH($B$2,'Word Vectors'!A:A,0)),'Word Vectors'!A717=$B$2),"",SUMPRODUCT(INDIRECT("'Word Vectors'!B"&amp;MATCH($B$2,'Word Vectors'!A:A,0)&amp;":Z"&amp;MATCH($B$2,'Word Vectors'!A:A,0)),INDIRECT("'Word Vectors'!B717:Z717"))/(SQRT(SUMPRODUCT(INDIRECT("'Word Vectors'!B"&amp;MATCH($B$2,'Word Vectors'!A:A,0)&amp;":Z"&amp;MATCH($B$2,'Word Vectors'!A:A,0)),INDIRECT("'Word Vectors'!B"&amp;MATCH($B$2,'Word Vectors'!A:A,0)&amp;":Z"&amp;MATCH($B$2,'Word Vectors'!A:A,0))))*SQRT(SUMPRODUCT(INDIRECT("'Word Vectors'!B717:Z717"),INDIRECT("'Word Vectors'!B717:Z717")))))</f>
        <v/>
      </c>
      <c r="AAR2">
        <f>IF(OR($B$2="",ISNA(MATCH($B$2,'Word Vectors'!A:A,0)),'Word Vectors'!A718=$B$2),"",SUMPRODUCT(INDIRECT("'Word Vectors'!B"&amp;MATCH($B$2,'Word Vectors'!A:A,0)&amp;":Z"&amp;MATCH($B$2,'Word Vectors'!A:A,0)),INDIRECT("'Word Vectors'!B718:Z718"))/(SQRT(SUMPRODUCT(INDIRECT("'Word Vectors'!B"&amp;MATCH($B$2,'Word Vectors'!A:A,0)&amp;":Z"&amp;MATCH($B$2,'Word Vectors'!A:A,0)),INDIRECT("'Word Vectors'!B"&amp;MATCH($B$2,'Word Vectors'!A:A,0)&amp;":Z"&amp;MATCH($B$2,'Word Vectors'!A:A,0))))*SQRT(SUMPRODUCT(INDIRECT("'Word Vectors'!B718:Z718"),INDIRECT("'Word Vectors'!B718:Z718")))))</f>
        <v/>
      </c>
      <c r="AAS2">
        <f>IF(OR($B$2="",ISNA(MATCH($B$2,'Word Vectors'!A:A,0)),'Word Vectors'!A719=$B$2),"",SUMPRODUCT(INDIRECT("'Word Vectors'!B"&amp;MATCH($B$2,'Word Vectors'!A:A,0)&amp;":Z"&amp;MATCH($B$2,'Word Vectors'!A:A,0)),INDIRECT("'Word Vectors'!B719:Z719"))/(SQRT(SUMPRODUCT(INDIRECT("'Word Vectors'!B"&amp;MATCH($B$2,'Word Vectors'!A:A,0)&amp;":Z"&amp;MATCH($B$2,'Word Vectors'!A:A,0)),INDIRECT("'Word Vectors'!B"&amp;MATCH($B$2,'Word Vectors'!A:A,0)&amp;":Z"&amp;MATCH($B$2,'Word Vectors'!A:A,0))))*SQRT(SUMPRODUCT(INDIRECT("'Word Vectors'!B719:Z719"),INDIRECT("'Word Vectors'!B719:Z719")))))</f>
        <v/>
      </c>
      <c r="AAT2">
        <f>IF(OR($B$2="",ISNA(MATCH($B$2,'Word Vectors'!A:A,0)),'Word Vectors'!A720=$B$2),"",SUMPRODUCT(INDIRECT("'Word Vectors'!B"&amp;MATCH($B$2,'Word Vectors'!A:A,0)&amp;":Z"&amp;MATCH($B$2,'Word Vectors'!A:A,0)),INDIRECT("'Word Vectors'!B720:Z720"))/(SQRT(SUMPRODUCT(INDIRECT("'Word Vectors'!B"&amp;MATCH($B$2,'Word Vectors'!A:A,0)&amp;":Z"&amp;MATCH($B$2,'Word Vectors'!A:A,0)),INDIRECT("'Word Vectors'!B"&amp;MATCH($B$2,'Word Vectors'!A:A,0)&amp;":Z"&amp;MATCH($B$2,'Word Vectors'!A:A,0))))*SQRT(SUMPRODUCT(INDIRECT("'Word Vectors'!B720:Z720"),INDIRECT("'Word Vectors'!B720:Z720")))))</f>
        <v/>
      </c>
      <c r="AAU2">
        <f>IF(OR($B$2="",ISNA(MATCH($B$2,'Word Vectors'!A:A,0)),'Word Vectors'!A721=$B$2),"",SUMPRODUCT(INDIRECT("'Word Vectors'!B"&amp;MATCH($B$2,'Word Vectors'!A:A,0)&amp;":Z"&amp;MATCH($B$2,'Word Vectors'!A:A,0)),INDIRECT("'Word Vectors'!B721:Z721"))/(SQRT(SUMPRODUCT(INDIRECT("'Word Vectors'!B"&amp;MATCH($B$2,'Word Vectors'!A:A,0)&amp;":Z"&amp;MATCH($B$2,'Word Vectors'!A:A,0)),INDIRECT("'Word Vectors'!B"&amp;MATCH($B$2,'Word Vectors'!A:A,0)&amp;":Z"&amp;MATCH($B$2,'Word Vectors'!A:A,0))))*SQRT(SUMPRODUCT(INDIRECT("'Word Vectors'!B721:Z721"),INDIRECT("'Word Vectors'!B721:Z721")))))</f>
        <v/>
      </c>
      <c r="AAV2">
        <f>IF(OR($B$2="",ISNA(MATCH($B$2,'Word Vectors'!A:A,0)),'Word Vectors'!A722=$B$2),"",SUMPRODUCT(INDIRECT("'Word Vectors'!B"&amp;MATCH($B$2,'Word Vectors'!A:A,0)&amp;":Z"&amp;MATCH($B$2,'Word Vectors'!A:A,0)),INDIRECT("'Word Vectors'!B722:Z722"))/(SQRT(SUMPRODUCT(INDIRECT("'Word Vectors'!B"&amp;MATCH($B$2,'Word Vectors'!A:A,0)&amp;":Z"&amp;MATCH($B$2,'Word Vectors'!A:A,0)),INDIRECT("'Word Vectors'!B"&amp;MATCH($B$2,'Word Vectors'!A:A,0)&amp;":Z"&amp;MATCH($B$2,'Word Vectors'!A:A,0))))*SQRT(SUMPRODUCT(INDIRECT("'Word Vectors'!B722:Z722"),INDIRECT("'Word Vectors'!B722:Z722")))))</f>
        <v/>
      </c>
      <c r="AAW2">
        <f>IF(OR($B$2="",ISNA(MATCH($B$2,'Word Vectors'!A:A,0)),'Word Vectors'!A723=$B$2),"",SUMPRODUCT(INDIRECT("'Word Vectors'!B"&amp;MATCH($B$2,'Word Vectors'!A:A,0)&amp;":Z"&amp;MATCH($B$2,'Word Vectors'!A:A,0)),INDIRECT("'Word Vectors'!B723:Z723"))/(SQRT(SUMPRODUCT(INDIRECT("'Word Vectors'!B"&amp;MATCH($B$2,'Word Vectors'!A:A,0)&amp;":Z"&amp;MATCH($B$2,'Word Vectors'!A:A,0)),INDIRECT("'Word Vectors'!B"&amp;MATCH($B$2,'Word Vectors'!A:A,0)&amp;":Z"&amp;MATCH($B$2,'Word Vectors'!A:A,0))))*SQRT(SUMPRODUCT(INDIRECT("'Word Vectors'!B723:Z723"),INDIRECT("'Word Vectors'!B723:Z723")))))</f>
        <v/>
      </c>
      <c r="AAX2">
        <f>IF(OR($B$2="",ISNA(MATCH($B$2,'Word Vectors'!A:A,0)),'Word Vectors'!A724=$B$2),"",SUMPRODUCT(INDIRECT("'Word Vectors'!B"&amp;MATCH($B$2,'Word Vectors'!A:A,0)&amp;":Z"&amp;MATCH($B$2,'Word Vectors'!A:A,0)),INDIRECT("'Word Vectors'!B724:Z724"))/(SQRT(SUMPRODUCT(INDIRECT("'Word Vectors'!B"&amp;MATCH($B$2,'Word Vectors'!A:A,0)&amp;":Z"&amp;MATCH($B$2,'Word Vectors'!A:A,0)),INDIRECT("'Word Vectors'!B"&amp;MATCH($B$2,'Word Vectors'!A:A,0)&amp;":Z"&amp;MATCH($B$2,'Word Vectors'!A:A,0))))*SQRT(SUMPRODUCT(INDIRECT("'Word Vectors'!B724:Z724"),INDIRECT("'Word Vectors'!B724:Z724")))))</f>
        <v/>
      </c>
      <c r="AAY2">
        <f>IF(OR($B$2="",ISNA(MATCH($B$2,'Word Vectors'!A:A,0)),'Word Vectors'!A725=$B$2),"",SUMPRODUCT(INDIRECT("'Word Vectors'!B"&amp;MATCH($B$2,'Word Vectors'!A:A,0)&amp;":Z"&amp;MATCH($B$2,'Word Vectors'!A:A,0)),INDIRECT("'Word Vectors'!B725:Z725"))/(SQRT(SUMPRODUCT(INDIRECT("'Word Vectors'!B"&amp;MATCH($B$2,'Word Vectors'!A:A,0)&amp;":Z"&amp;MATCH($B$2,'Word Vectors'!A:A,0)),INDIRECT("'Word Vectors'!B"&amp;MATCH($B$2,'Word Vectors'!A:A,0)&amp;":Z"&amp;MATCH($B$2,'Word Vectors'!A:A,0))))*SQRT(SUMPRODUCT(INDIRECT("'Word Vectors'!B725:Z725"),INDIRECT("'Word Vectors'!B725:Z725")))))</f>
        <v/>
      </c>
      <c r="AAZ2">
        <f>IF(OR($B$2="",ISNA(MATCH($B$2,'Word Vectors'!A:A,0)),'Word Vectors'!A726=$B$2),"",SUMPRODUCT(INDIRECT("'Word Vectors'!B"&amp;MATCH($B$2,'Word Vectors'!A:A,0)&amp;":Z"&amp;MATCH($B$2,'Word Vectors'!A:A,0)),INDIRECT("'Word Vectors'!B726:Z726"))/(SQRT(SUMPRODUCT(INDIRECT("'Word Vectors'!B"&amp;MATCH($B$2,'Word Vectors'!A:A,0)&amp;":Z"&amp;MATCH($B$2,'Word Vectors'!A:A,0)),INDIRECT("'Word Vectors'!B"&amp;MATCH($B$2,'Word Vectors'!A:A,0)&amp;":Z"&amp;MATCH($B$2,'Word Vectors'!A:A,0))))*SQRT(SUMPRODUCT(INDIRECT("'Word Vectors'!B726:Z726"),INDIRECT("'Word Vectors'!B726:Z726")))))</f>
        <v/>
      </c>
      <c r="ABA2">
        <f>IF(OR($B$2="",ISNA(MATCH($B$2,'Word Vectors'!A:A,0)),'Word Vectors'!A727=$B$2),"",SUMPRODUCT(INDIRECT("'Word Vectors'!B"&amp;MATCH($B$2,'Word Vectors'!A:A,0)&amp;":Z"&amp;MATCH($B$2,'Word Vectors'!A:A,0)),INDIRECT("'Word Vectors'!B727:Z727"))/(SQRT(SUMPRODUCT(INDIRECT("'Word Vectors'!B"&amp;MATCH($B$2,'Word Vectors'!A:A,0)&amp;":Z"&amp;MATCH($B$2,'Word Vectors'!A:A,0)),INDIRECT("'Word Vectors'!B"&amp;MATCH($B$2,'Word Vectors'!A:A,0)&amp;":Z"&amp;MATCH($B$2,'Word Vectors'!A:A,0))))*SQRT(SUMPRODUCT(INDIRECT("'Word Vectors'!B727:Z727"),INDIRECT("'Word Vectors'!B727:Z727")))))</f>
        <v/>
      </c>
      <c r="ABB2">
        <f>IF(OR($B$2="",ISNA(MATCH($B$2,'Word Vectors'!A:A,0)),'Word Vectors'!A728=$B$2),"",SUMPRODUCT(INDIRECT("'Word Vectors'!B"&amp;MATCH($B$2,'Word Vectors'!A:A,0)&amp;":Z"&amp;MATCH($B$2,'Word Vectors'!A:A,0)),INDIRECT("'Word Vectors'!B728:Z728"))/(SQRT(SUMPRODUCT(INDIRECT("'Word Vectors'!B"&amp;MATCH($B$2,'Word Vectors'!A:A,0)&amp;":Z"&amp;MATCH($B$2,'Word Vectors'!A:A,0)),INDIRECT("'Word Vectors'!B"&amp;MATCH($B$2,'Word Vectors'!A:A,0)&amp;":Z"&amp;MATCH($B$2,'Word Vectors'!A:A,0))))*SQRT(SUMPRODUCT(INDIRECT("'Word Vectors'!B728:Z728"),INDIRECT("'Word Vectors'!B728:Z728")))))</f>
        <v/>
      </c>
      <c r="ABC2">
        <f>IF(OR($B$2="",ISNA(MATCH($B$2,'Word Vectors'!A:A,0)),'Word Vectors'!A729=$B$2),"",SUMPRODUCT(INDIRECT("'Word Vectors'!B"&amp;MATCH($B$2,'Word Vectors'!A:A,0)&amp;":Z"&amp;MATCH($B$2,'Word Vectors'!A:A,0)),INDIRECT("'Word Vectors'!B729:Z729"))/(SQRT(SUMPRODUCT(INDIRECT("'Word Vectors'!B"&amp;MATCH($B$2,'Word Vectors'!A:A,0)&amp;":Z"&amp;MATCH($B$2,'Word Vectors'!A:A,0)),INDIRECT("'Word Vectors'!B"&amp;MATCH($B$2,'Word Vectors'!A:A,0)&amp;":Z"&amp;MATCH($B$2,'Word Vectors'!A:A,0))))*SQRT(SUMPRODUCT(INDIRECT("'Word Vectors'!B729:Z729"),INDIRECT("'Word Vectors'!B729:Z729")))))</f>
        <v/>
      </c>
      <c r="ABD2">
        <f>IF(OR($B$2="",ISNA(MATCH($B$2,'Word Vectors'!A:A,0)),'Word Vectors'!A730=$B$2),"",SUMPRODUCT(INDIRECT("'Word Vectors'!B"&amp;MATCH($B$2,'Word Vectors'!A:A,0)&amp;":Z"&amp;MATCH($B$2,'Word Vectors'!A:A,0)),INDIRECT("'Word Vectors'!B730:Z730"))/(SQRT(SUMPRODUCT(INDIRECT("'Word Vectors'!B"&amp;MATCH($B$2,'Word Vectors'!A:A,0)&amp;":Z"&amp;MATCH($B$2,'Word Vectors'!A:A,0)),INDIRECT("'Word Vectors'!B"&amp;MATCH($B$2,'Word Vectors'!A:A,0)&amp;":Z"&amp;MATCH($B$2,'Word Vectors'!A:A,0))))*SQRT(SUMPRODUCT(INDIRECT("'Word Vectors'!B730:Z730"),INDIRECT("'Word Vectors'!B730:Z730")))))</f>
        <v/>
      </c>
      <c r="ABE2">
        <f>IF(OR($B$2="",ISNA(MATCH($B$2,'Word Vectors'!A:A,0)),'Word Vectors'!A731=$B$2),"",SUMPRODUCT(INDIRECT("'Word Vectors'!B"&amp;MATCH($B$2,'Word Vectors'!A:A,0)&amp;":Z"&amp;MATCH($B$2,'Word Vectors'!A:A,0)),INDIRECT("'Word Vectors'!B731:Z731"))/(SQRT(SUMPRODUCT(INDIRECT("'Word Vectors'!B"&amp;MATCH($B$2,'Word Vectors'!A:A,0)&amp;":Z"&amp;MATCH($B$2,'Word Vectors'!A:A,0)),INDIRECT("'Word Vectors'!B"&amp;MATCH($B$2,'Word Vectors'!A:A,0)&amp;":Z"&amp;MATCH($B$2,'Word Vectors'!A:A,0))))*SQRT(SUMPRODUCT(INDIRECT("'Word Vectors'!B731:Z731"),INDIRECT("'Word Vectors'!B731:Z731")))))</f>
        <v/>
      </c>
      <c r="ABF2">
        <f>IF(OR($B$2="",ISNA(MATCH($B$2,'Word Vectors'!A:A,0)),'Word Vectors'!A732=$B$2),"",SUMPRODUCT(INDIRECT("'Word Vectors'!B"&amp;MATCH($B$2,'Word Vectors'!A:A,0)&amp;":Z"&amp;MATCH($B$2,'Word Vectors'!A:A,0)),INDIRECT("'Word Vectors'!B732:Z732"))/(SQRT(SUMPRODUCT(INDIRECT("'Word Vectors'!B"&amp;MATCH($B$2,'Word Vectors'!A:A,0)&amp;":Z"&amp;MATCH($B$2,'Word Vectors'!A:A,0)),INDIRECT("'Word Vectors'!B"&amp;MATCH($B$2,'Word Vectors'!A:A,0)&amp;":Z"&amp;MATCH($B$2,'Word Vectors'!A:A,0))))*SQRT(SUMPRODUCT(INDIRECT("'Word Vectors'!B732:Z732"),INDIRECT("'Word Vectors'!B732:Z732")))))</f>
        <v/>
      </c>
      <c r="ABG2">
        <f>IF(OR($B$2="",ISNA(MATCH($B$2,'Word Vectors'!A:A,0)),'Word Vectors'!A733=$B$2),"",SUMPRODUCT(INDIRECT("'Word Vectors'!B"&amp;MATCH($B$2,'Word Vectors'!A:A,0)&amp;":Z"&amp;MATCH($B$2,'Word Vectors'!A:A,0)),INDIRECT("'Word Vectors'!B733:Z733"))/(SQRT(SUMPRODUCT(INDIRECT("'Word Vectors'!B"&amp;MATCH($B$2,'Word Vectors'!A:A,0)&amp;":Z"&amp;MATCH($B$2,'Word Vectors'!A:A,0)),INDIRECT("'Word Vectors'!B"&amp;MATCH($B$2,'Word Vectors'!A:A,0)&amp;":Z"&amp;MATCH($B$2,'Word Vectors'!A:A,0))))*SQRT(SUMPRODUCT(INDIRECT("'Word Vectors'!B733:Z733"),INDIRECT("'Word Vectors'!B733:Z733")))))</f>
        <v/>
      </c>
      <c r="ABH2">
        <f>IF(OR($B$2="",ISNA(MATCH($B$2,'Word Vectors'!A:A,0)),'Word Vectors'!A734=$B$2),"",SUMPRODUCT(INDIRECT("'Word Vectors'!B"&amp;MATCH($B$2,'Word Vectors'!A:A,0)&amp;":Z"&amp;MATCH($B$2,'Word Vectors'!A:A,0)),INDIRECT("'Word Vectors'!B734:Z734"))/(SQRT(SUMPRODUCT(INDIRECT("'Word Vectors'!B"&amp;MATCH($B$2,'Word Vectors'!A:A,0)&amp;":Z"&amp;MATCH($B$2,'Word Vectors'!A:A,0)),INDIRECT("'Word Vectors'!B"&amp;MATCH($B$2,'Word Vectors'!A:A,0)&amp;":Z"&amp;MATCH($B$2,'Word Vectors'!A:A,0))))*SQRT(SUMPRODUCT(INDIRECT("'Word Vectors'!B734:Z734"),INDIRECT("'Word Vectors'!B734:Z734")))))</f>
        <v/>
      </c>
      <c r="ABI2">
        <f>IF(OR($B$2="",ISNA(MATCH($B$2,'Word Vectors'!A:A,0)),'Word Vectors'!A735=$B$2),"",SUMPRODUCT(INDIRECT("'Word Vectors'!B"&amp;MATCH($B$2,'Word Vectors'!A:A,0)&amp;":Z"&amp;MATCH($B$2,'Word Vectors'!A:A,0)),INDIRECT("'Word Vectors'!B735:Z735"))/(SQRT(SUMPRODUCT(INDIRECT("'Word Vectors'!B"&amp;MATCH($B$2,'Word Vectors'!A:A,0)&amp;":Z"&amp;MATCH($B$2,'Word Vectors'!A:A,0)),INDIRECT("'Word Vectors'!B"&amp;MATCH($B$2,'Word Vectors'!A:A,0)&amp;":Z"&amp;MATCH($B$2,'Word Vectors'!A:A,0))))*SQRT(SUMPRODUCT(INDIRECT("'Word Vectors'!B735:Z735"),INDIRECT("'Word Vectors'!B735:Z735")))))</f>
        <v/>
      </c>
      <c r="ABJ2">
        <f>IF(OR($B$2="",ISNA(MATCH($B$2,'Word Vectors'!A:A,0)),'Word Vectors'!A736=$B$2),"",SUMPRODUCT(INDIRECT("'Word Vectors'!B"&amp;MATCH($B$2,'Word Vectors'!A:A,0)&amp;":Z"&amp;MATCH($B$2,'Word Vectors'!A:A,0)),INDIRECT("'Word Vectors'!B736:Z736"))/(SQRT(SUMPRODUCT(INDIRECT("'Word Vectors'!B"&amp;MATCH($B$2,'Word Vectors'!A:A,0)&amp;":Z"&amp;MATCH($B$2,'Word Vectors'!A:A,0)),INDIRECT("'Word Vectors'!B"&amp;MATCH($B$2,'Word Vectors'!A:A,0)&amp;":Z"&amp;MATCH($B$2,'Word Vectors'!A:A,0))))*SQRT(SUMPRODUCT(INDIRECT("'Word Vectors'!B736:Z736"),INDIRECT("'Word Vectors'!B736:Z736")))))</f>
        <v/>
      </c>
      <c r="ABK2">
        <f>IF(OR($B$2="",ISNA(MATCH($B$2,'Word Vectors'!A:A,0)),'Word Vectors'!A737=$B$2),"",SUMPRODUCT(INDIRECT("'Word Vectors'!B"&amp;MATCH($B$2,'Word Vectors'!A:A,0)&amp;":Z"&amp;MATCH($B$2,'Word Vectors'!A:A,0)),INDIRECT("'Word Vectors'!B737:Z737"))/(SQRT(SUMPRODUCT(INDIRECT("'Word Vectors'!B"&amp;MATCH($B$2,'Word Vectors'!A:A,0)&amp;":Z"&amp;MATCH($B$2,'Word Vectors'!A:A,0)),INDIRECT("'Word Vectors'!B"&amp;MATCH($B$2,'Word Vectors'!A:A,0)&amp;":Z"&amp;MATCH($B$2,'Word Vectors'!A:A,0))))*SQRT(SUMPRODUCT(INDIRECT("'Word Vectors'!B737:Z737"),INDIRECT("'Word Vectors'!B737:Z737")))))</f>
        <v/>
      </c>
      <c r="ABL2">
        <f>IF(OR($B$2="",ISNA(MATCH($B$2,'Word Vectors'!A:A,0)),'Word Vectors'!A738=$B$2),"",SUMPRODUCT(INDIRECT("'Word Vectors'!B"&amp;MATCH($B$2,'Word Vectors'!A:A,0)&amp;":Z"&amp;MATCH($B$2,'Word Vectors'!A:A,0)),INDIRECT("'Word Vectors'!B738:Z738"))/(SQRT(SUMPRODUCT(INDIRECT("'Word Vectors'!B"&amp;MATCH($B$2,'Word Vectors'!A:A,0)&amp;":Z"&amp;MATCH($B$2,'Word Vectors'!A:A,0)),INDIRECT("'Word Vectors'!B"&amp;MATCH($B$2,'Word Vectors'!A:A,0)&amp;":Z"&amp;MATCH($B$2,'Word Vectors'!A:A,0))))*SQRT(SUMPRODUCT(INDIRECT("'Word Vectors'!B738:Z738"),INDIRECT("'Word Vectors'!B738:Z738")))))</f>
        <v/>
      </c>
      <c r="ABM2">
        <f>IF(OR($B$2="",ISNA(MATCH($B$2,'Word Vectors'!A:A,0)),'Word Vectors'!A739=$B$2),"",SUMPRODUCT(INDIRECT("'Word Vectors'!B"&amp;MATCH($B$2,'Word Vectors'!A:A,0)&amp;":Z"&amp;MATCH($B$2,'Word Vectors'!A:A,0)),INDIRECT("'Word Vectors'!B739:Z739"))/(SQRT(SUMPRODUCT(INDIRECT("'Word Vectors'!B"&amp;MATCH($B$2,'Word Vectors'!A:A,0)&amp;":Z"&amp;MATCH($B$2,'Word Vectors'!A:A,0)),INDIRECT("'Word Vectors'!B"&amp;MATCH($B$2,'Word Vectors'!A:A,0)&amp;":Z"&amp;MATCH($B$2,'Word Vectors'!A:A,0))))*SQRT(SUMPRODUCT(INDIRECT("'Word Vectors'!B739:Z739"),INDIRECT("'Word Vectors'!B739:Z739")))))</f>
        <v/>
      </c>
      <c r="ABN2">
        <f>IF(OR($B$2="",ISNA(MATCH($B$2,'Word Vectors'!A:A,0)),'Word Vectors'!A740=$B$2),"",SUMPRODUCT(INDIRECT("'Word Vectors'!B"&amp;MATCH($B$2,'Word Vectors'!A:A,0)&amp;":Z"&amp;MATCH($B$2,'Word Vectors'!A:A,0)),INDIRECT("'Word Vectors'!B740:Z740"))/(SQRT(SUMPRODUCT(INDIRECT("'Word Vectors'!B"&amp;MATCH($B$2,'Word Vectors'!A:A,0)&amp;":Z"&amp;MATCH($B$2,'Word Vectors'!A:A,0)),INDIRECT("'Word Vectors'!B"&amp;MATCH($B$2,'Word Vectors'!A:A,0)&amp;":Z"&amp;MATCH($B$2,'Word Vectors'!A:A,0))))*SQRT(SUMPRODUCT(INDIRECT("'Word Vectors'!B740:Z740"),INDIRECT("'Word Vectors'!B740:Z740")))))</f>
        <v/>
      </c>
      <c r="ABO2">
        <f>IF(OR($B$2="",ISNA(MATCH($B$2,'Word Vectors'!A:A,0)),'Word Vectors'!A741=$B$2),"",SUMPRODUCT(INDIRECT("'Word Vectors'!B"&amp;MATCH($B$2,'Word Vectors'!A:A,0)&amp;":Z"&amp;MATCH($B$2,'Word Vectors'!A:A,0)),INDIRECT("'Word Vectors'!B741:Z741"))/(SQRT(SUMPRODUCT(INDIRECT("'Word Vectors'!B"&amp;MATCH($B$2,'Word Vectors'!A:A,0)&amp;":Z"&amp;MATCH($B$2,'Word Vectors'!A:A,0)),INDIRECT("'Word Vectors'!B"&amp;MATCH($B$2,'Word Vectors'!A:A,0)&amp;":Z"&amp;MATCH($B$2,'Word Vectors'!A:A,0))))*SQRT(SUMPRODUCT(INDIRECT("'Word Vectors'!B741:Z741"),INDIRECT("'Word Vectors'!B741:Z741")))))</f>
        <v/>
      </c>
      <c r="ABP2">
        <f>IF(OR($B$2="",ISNA(MATCH($B$2,'Word Vectors'!A:A,0)),'Word Vectors'!A742=$B$2),"",SUMPRODUCT(INDIRECT("'Word Vectors'!B"&amp;MATCH($B$2,'Word Vectors'!A:A,0)&amp;":Z"&amp;MATCH($B$2,'Word Vectors'!A:A,0)),INDIRECT("'Word Vectors'!B742:Z742"))/(SQRT(SUMPRODUCT(INDIRECT("'Word Vectors'!B"&amp;MATCH($B$2,'Word Vectors'!A:A,0)&amp;":Z"&amp;MATCH($B$2,'Word Vectors'!A:A,0)),INDIRECT("'Word Vectors'!B"&amp;MATCH($B$2,'Word Vectors'!A:A,0)&amp;":Z"&amp;MATCH($B$2,'Word Vectors'!A:A,0))))*SQRT(SUMPRODUCT(INDIRECT("'Word Vectors'!B742:Z742"),INDIRECT("'Word Vectors'!B742:Z742")))))</f>
        <v/>
      </c>
      <c r="ABQ2">
        <f>IF(OR($B$2="",ISNA(MATCH($B$2,'Word Vectors'!A:A,0)),'Word Vectors'!A743=$B$2),"",SUMPRODUCT(INDIRECT("'Word Vectors'!B"&amp;MATCH($B$2,'Word Vectors'!A:A,0)&amp;":Z"&amp;MATCH($B$2,'Word Vectors'!A:A,0)),INDIRECT("'Word Vectors'!B743:Z743"))/(SQRT(SUMPRODUCT(INDIRECT("'Word Vectors'!B"&amp;MATCH($B$2,'Word Vectors'!A:A,0)&amp;":Z"&amp;MATCH($B$2,'Word Vectors'!A:A,0)),INDIRECT("'Word Vectors'!B"&amp;MATCH($B$2,'Word Vectors'!A:A,0)&amp;":Z"&amp;MATCH($B$2,'Word Vectors'!A:A,0))))*SQRT(SUMPRODUCT(INDIRECT("'Word Vectors'!B743:Z743"),INDIRECT("'Word Vectors'!B743:Z743")))))</f>
        <v/>
      </c>
      <c r="ABR2">
        <f>IF(OR($B$2="",ISNA(MATCH($B$2,'Word Vectors'!A:A,0)),'Word Vectors'!A744=$B$2),"",SUMPRODUCT(INDIRECT("'Word Vectors'!B"&amp;MATCH($B$2,'Word Vectors'!A:A,0)&amp;":Z"&amp;MATCH($B$2,'Word Vectors'!A:A,0)),INDIRECT("'Word Vectors'!B744:Z744"))/(SQRT(SUMPRODUCT(INDIRECT("'Word Vectors'!B"&amp;MATCH($B$2,'Word Vectors'!A:A,0)&amp;":Z"&amp;MATCH($B$2,'Word Vectors'!A:A,0)),INDIRECT("'Word Vectors'!B"&amp;MATCH($B$2,'Word Vectors'!A:A,0)&amp;":Z"&amp;MATCH($B$2,'Word Vectors'!A:A,0))))*SQRT(SUMPRODUCT(INDIRECT("'Word Vectors'!B744:Z744"),INDIRECT("'Word Vectors'!B744:Z744")))))</f>
        <v/>
      </c>
      <c r="ABS2">
        <f>IF(OR($B$2="",ISNA(MATCH($B$2,'Word Vectors'!A:A,0)),'Word Vectors'!A745=$B$2),"",SUMPRODUCT(INDIRECT("'Word Vectors'!B"&amp;MATCH($B$2,'Word Vectors'!A:A,0)&amp;":Z"&amp;MATCH($B$2,'Word Vectors'!A:A,0)),INDIRECT("'Word Vectors'!B745:Z745"))/(SQRT(SUMPRODUCT(INDIRECT("'Word Vectors'!B"&amp;MATCH($B$2,'Word Vectors'!A:A,0)&amp;":Z"&amp;MATCH($B$2,'Word Vectors'!A:A,0)),INDIRECT("'Word Vectors'!B"&amp;MATCH($B$2,'Word Vectors'!A:A,0)&amp;":Z"&amp;MATCH($B$2,'Word Vectors'!A:A,0))))*SQRT(SUMPRODUCT(INDIRECT("'Word Vectors'!B745:Z745"),INDIRECT("'Word Vectors'!B745:Z745")))))</f>
        <v/>
      </c>
      <c r="ABT2">
        <f>IF(OR($B$2="",ISNA(MATCH($B$2,'Word Vectors'!A:A,0)),'Word Vectors'!A746=$B$2),"",SUMPRODUCT(INDIRECT("'Word Vectors'!B"&amp;MATCH($B$2,'Word Vectors'!A:A,0)&amp;":Z"&amp;MATCH($B$2,'Word Vectors'!A:A,0)),INDIRECT("'Word Vectors'!B746:Z746"))/(SQRT(SUMPRODUCT(INDIRECT("'Word Vectors'!B"&amp;MATCH($B$2,'Word Vectors'!A:A,0)&amp;":Z"&amp;MATCH($B$2,'Word Vectors'!A:A,0)),INDIRECT("'Word Vectors'!B"&amp;MATCH($B$2,'Word Vectors'!A:A,0)&amp;":Z"&amp;MATCH($B$2,'Word Vectors'!A:A,0))))*SQRT(SUMPRODUCT(INDIRECT("'Word Vectors'!B746:Z746"),INDIRECT("'Word Vectors'!B746:Z746")))))</f>
        <v/>
      </c>
      <c r="ABU2">
        <f>IF(OR($B$2="",ISNA(MATCH($B$2,'Word Vectors'!A:A,0)),'Word Vectors'!A747=$B$2),"",SUMPRODUCT(INDIRECT("'Word Vectors'!B"&amp;MATCH($B$2,'Word Vectors'!A:A,0)&amp;":Z"&amp;MATCH($B$2,'Word Vectors'!A:A,0)),INDIRECT("'Word Vectors'!B747:Z747"))/(SQRT(SUMPRODUCT(INDIRECT("'Word Vectors'!B"&amp;MATCH($B$2,'Word Vectors'!A:A,0)&amp;":Z"&amp;MATCH($B$2,'Word Vectors'!A:A,0)),INDIRECT("'Word Vectors'!B"&amp;MATCH($B$2,'Word Vectors'!A:A,0)&amp;":Z"&amp;MATCH($B$2,'Word Vectors'!A:A,0))))*SQRT(SUMPRODUCT(INDIRECT("'Word Vectors'!B747:Z747"),INDIRECT("'Word Vectors'!B747:Z747")))))</f>
        <v/>
      </c>
      <c r="ABV2">
        <f>IF(OR($B$2="",ISNA(MATCH($B$2,'Word Vectors'!A:A,0)),'Word Vectors'!A748=$B$2),"",SUMPRODUCT(INDIRECT("'Word Vectors'!B"&amp;MATCH($B$2,'Word Vectors'!A:A,0)&amp;":Z"&amp;MATCH($B$2,'Word Vectors'!A:A,0)),INDIRECT("'Word Vectors'!B748:Z748"))/(SQRT(SUMPRODUCT(INDIRECT("'Word Vectors'!B"&amp;MATCH($B$2,'Word Vectors'!A:A,0)&amp;":Z"&amp;MATCH($B$2,'Word Vectors'!A:A,0)),INDIRECT("'Word Vectors'!B"&amp;MATCH($B$2,'Word Vectors'!A:A,0)&amp;":Z"&amp;MATCH($B$2,'Word Vectors'!A:A,0))))*SQRT(SUMPRODUCT(INDIRECT("'Word Vectors'!B748:Z748"),INDIRECT("'Word Vectors'!B748:Z748")))))</f>
        <v/>
      </c>
      <c r="ABW2">
        <f>IF(OR($B$2="",ISNA(MATCH($B$2,'Word Vectors'!A:A,0)),'Word Vectors'!A749=$B$2),"",SUMPRODUCT(INDIRECT("'Word Vectors'!B"&amp;MATCH($B$2,'Word Vectors'!A:A,0)&amp;":Z"&amp;MATCH($B$2,'Word Vectors'!A:A,0)),INDIRECT("'Word Vectors'!B749:Z749"))/(SQRT(SUMPRODUCT(INDIRECT("'Word Vectors'!B"&amp;MATCH($B$2,'Word Vectors'!A:A,0)&amp;":Z"&amp;MATCH($B$2,'Word Vectors'!A:A,0)),INDIRECT("'Word Vectors'!B"&amp;MATCH($B$2,'Word Vectors'!A:A,0)&amp;":Z"&amp;MATCH($B$2,'Word Vectors'!A:A,0))))*SQRT(SUMPRODUCT(INDIRECT("'Word Vectors'!B749:Z749"),INDIRECT("'Word Vectors'!B749:Z749")))))</f>
        <v/>
      </c>
      <c r="ABX2">
        <f>IF(OR($B$2="",ISNA(MATCH($B$2,'Word Vectors'!A:A,0)),'Word Vectors'!A750=$B$2),"",SUMPRODUCT(INDIRECT("'Word Vectors'!B"&amp;MATCH($B$2,'Word Vectors'!A:A,0)&amp;":Z"&amp;MATCH($B$2,'Word Vectors'!A:A,0)),INDIRECT("'Word Vectors'!B750:Z750"))/(SQRT(SUMPRODUCT(INDIRECT("'Word Vectors'!B"&amp;MATCH($B$2,'Word Vectors'!A:A,0)&amp;":Z"&amp;MATCH($B$2,'Word Vectors'!A:A,0)),INDIRECT("'Word Vectors'!B"&amp;MATCH($B$2,'Word Vectors'!A:A,0)&amp;":Z"&amp;MATCH($B$2,'Word Vectors'!A:A,0))))*SQRT(SUMPRODUCT(INDIRECT("'Word Vectors'!B750:Z750"),INDIRECT("'Word Vectors'!B750:Z750")))))</f>
        <v/>
      </c>
      <c r="ABY2">
        <f>IF(OR($B$2="",ISNA(MATCH($B$2,'Word Vectors'!A:A,0)),'Word Vectors'!A751=$B$2),"",SUMPRODUCT(INDIRECT("'Word Vectors'!B"&amp;MATCH($B$2,'Word Vectors'!A:A,0)&amp;":Z"&amp;MATCH($B$2,'Word Vectors'!A:A,0)),INDIRECT("'Word Vectors'!B751:Z751"))/(SQRT(SUMPRODUCT(INDIRECT("'Word Vectors'!B"&amp;MATCH($B$2,'Word Vectors'!A:A,0)&amp;":Z"&amp;MATCH($B$2,'Word Vectors'!A:A,0)),INDIRECT("'Word Vectors'!B"&amp;MATCH($B$2,'Word Vectors'!A:A,0)&amp;":Z"&amp;MATCH($B$2,'Word Vectors'!A:A,0))))*SQRT(SUMPRODUCT(INDIRECT("'Word Vectors'!B751:Z751"),INDIRECT("'Word Vectors'!B751:Z751")))))</f>
        <v/>
      </c>
      <c r="ABZ2">
        <f>IF(OR($B$2="",ISNA(MATCH($B$2,'Word Vectors'!A:A,0)),'Word Vectors'!A752=$B$2),"",SUMPRODUCT(INDIRECT("'Word Vectors'!B"&amp;MATCH($B$2,'Word Vectors'!A:A,0)&amp;":Z"&amp;MATCH($B$2,'Word Vectors'!A:A,0)),INDIRECT("'Word Vectors'!B752:Z752"))/(SQRT(SUMPRODUCT(INDIRECT("'Word Vectors'!B"&amp;MATCH($B$2,'Word Vectors'!A:A,0)&amp;":Z"&amp;MATCH($B$2,'Word Vectors'!A:A,0)),INDIRECT("'Word Vectors'!B"&amp;MATCH($B$2,'Word Vectors'!A:A,0)&amp;":Z"&amp;MATCH($B$2,'Word Vectors'!A:A,0))))*SQRT(SUMPRODUCT(INDIRECT("'Word Vectors'!B752:Z752"),INDIRECT("'Word Vectors'!B752:Z752")))))</f>
        <v/>
      </c>
      <c r="ACA2">
        <f>IF(OR($B$2="",ISNA(MATCH($B$2,'Word Vectors'!A:A,0)),'Word Vectors'!A753=$B$2),"",SUMPRODUCT(INDIRECT("'Word Vectors'!B"&amp;MATCH($B$2,'Word Vectors'!A:A,0)&amp;":Z"&amp;MATCH($B$2,'Word Vectors'!A:A,0)),INDIRECT("'Word Vectors'!B753:Z753"))/(SQRT(SUMPRODUCT(INDIRECT("'Word Vectors'!B"&amp;MATCH($B$2,'Word Vectors'!A:A,0)&amp;":Z"&amp;MATCH($B$2,'Word Vectors'!A:A,0)),INDIRECT("'Word Vectors'!B"&amp;MATCH($B$2,'Word Vectors'!A:A,0)&amp;":Z"&amp;MATCH($B$2,'Word Vectors'!A:A,0))))*SQRT(SUMPRODUCT(INDIRECT("'Word Vectors'!B753:Z753"),INDIRECT("'Word Vectors'!B753:Z753")))))</f>
        <v/>
      </c>
      <c r="ACB2">
        <f>IF(OR($B$2="",ISNA(MATCH($B$2,'Word Vectors'!A:A,0)),'Word Vectors'!A754=$B$2),"",SUMPRODUCT(INDIRECT("'Word Vectors'!B"&amp;MATCH($B$2,'Word Vectors'!A:A,0)&amp;":Z"&amp;MATCH($B$2,'Word Vectors'!A:A,0)),INDIRECT("'Word Vectors'!B754:Z754"))/(SQRT(SUMPRODUCT(INDIRECT("'Word Vectors'!B"&amp;MATCH($B$2,'Word Vectors'!A:A,0)&amp;":Z"&amp;MATCH($B$2,'Word Vectors'!A:A,0)),INDIRECT("'Word Vectors'!B"&amp;MATCH($B$2,'Word Vectors'!A:A,0)&amp;":Z"&amp;MATCH($B$2,'Word Vectors'!A:A,0))))*SQRT(SUMPRODUCT(INDIRECT("'Word Vectors'!B754:Z754"),INDIRECT("'Word Vectors'!B754:Z754")))))</f>
        <v/>
      </c>
      <c r="ACC2">
        <f>IF(OR($B$2="",ISNA(MATCH($B$2,'Word Vectors'!A:A,0)),'Word Vectors'!A755=$B$2),"",SUMPRODUCT(INDIRECT("'Word Vectors'!B"&amp;MATCH($B$2,'Word Vectors'!A:A,0)&amp;":Z"&amp;MATCH($B$2,'Word Vectors'!A:A,0)),INDIRECT("'Word Vectors'!B755:Z755"))/(SQRT(SUMPRODUCT(INDIRECT("'Word Vectors'!B"&amp;MATCH($B$2,'Word Vectors'!A:A,0)&amp;":Z"&amp;MATCH($B$2,'Word Vectors'!A:A,0)),INDIRECT("'Word Vectors'!B"&amp;MATCH($B$2,'Word Vectors'!A:A,0)&amp;":Z"&amp;MATCH($B$2,'Word Vectors'!A:A,0))))*SQRT(SUMPRODUCT(INDIRECT("'Word Vectors'!B755:Z755"),INDIRECT("'Word Vectors'!B755:Z755")))))</f>
        <v/>
      </c>
      <c r="ACD2">
        <f>IF(OR($B$2="",ISNA(MATCH($B$2,'Word Vectors'!A:A,0)),'Word Vectors'!A756=$B$2),"",SUMPRODUCT(INDIRECT("'Word Vectors'!B"&amp;MATCH($B$2,'Word Vectors'!A:A,0)&amp;":Z"&amp;MATCH($B$2,'Word Vectors'!A:A,0)),INDIRECT("'Word Vectors'!B756:Z756"))/(SQRT(SUMPRODUCT(INDIRECT("'Word Vectors'!B"&amp;MATCH($B$2,'Word Vectors'!A:A,0)&amp;":Z"&amp;MATCH($B$2,'Word Vectors'!A:A,0)),INDIRECT("'Word Vectors'!B"&amp;MATCH($B$2,'Word Vectors'!A:A,0)&amp;":Z"&amp;MATCH($B$2,'Word Vectors'!A:A,0))))*SQRT(SUMPRODUCT(INDIRECT("'Word Vectors'!B756:Z756"),INDIRECT("'Word Vectors'!B756:Z756")))))</f>
        <v/>
      </c>
      <c r="ACE2">
        <f>IF(OR($B$2="",ISNA(MATCH($B$2,'Word Vectors'!A:A,0)),'Word Vectors'!A757=$B$2),"",SUMPRODUCT(INDIRECT("'Word Vectors'!B"&amp;MATCH($B$2,'Word Vectors'!A:A,0)&amp;":Z"&amp;MATCH($B$2,'Word Vectors'!A:A,0)),INDIRECT("'Word Vectors'!B757:Z757"))/(SQRT(SUMPRODUCT(INDIRECT("'Word Vectors'!B"&amp;MATCH($B$2,'Word Vectors'!A:A,0)&amp;":Z"&amp;MATCH($B$2,'Word Vectors'!A:A,0)),INDIRECT("'Word Vectors'!B"&amp;MATCH($B$2,'Word Vectors'!A:A,0)&amp;":Z"&amp;MATCH($B$2,'Word Vectors'!A:A,0))))*SQRT(SUMPRODUCT(INDIRECT("'Word Vectors'!B757:Z757"),INDIRECT("'Word Vectors'!B757:Z757")))))</f>
        <v/>
      </c>
      <c r="ACF2">
        <f>IF(OR($B$2="",ISNA(MATCH($B$2,'Word Vectors'!A:A,0)),'Word Vectors'!A758=$B$2),"",SUMPRODUCT(INDIRECT("'Word Vectors'!B"&amp;MATCH($B$2,'Word Vectors'!A:A,0)&amp;":Z"&amp;MATCH($B$2,'Word Vectors'!A:A,0)),INDIRECT("'Word Vectors'!B758:Z758"))/(SQRT(SUMPRODUCT(INDIRECT("'Word Vectors'!B"&amp;MATCH($B$2,'Word Vectors'!A:A,0)&amp;":Z"&amp;MATCH($B$2,'Word Vectors'!A:A,0)),INDIRECT("'Word Vectors'!B"&amp;MATCH($B$2,'Word Vectors'!A:A,0)&amp;":Z"&amp;MATCH($B$2,'Word Vectors'!A:A,0))))*SQRT(SUMPRODUCT(INDIRECT("'Word Vectors'!B758:Z758"),INDIRECT("'Word Vectors'!B758:Z758")))))</f>
        <v/>
      </c>
      <c r="ACG2">
        <f>IF(OR($B$2="",ISNA(MATCH($B$2,'Word Vectors'!A:A,0)),'Word Vectors'!A759=$B$2),"",SUMPRODUCT(INDIRECT("'Word Vectors'!B"&amp;MATCH($B$2,'Word Vectors'!A:A,0)&amp;":Z"&amp;MATCH($B$2,'Word Vectors'!A:A,0)),INDIRECT("'Word Vectors'!B759:Z759"))/(SQRT(SUMPRODUCT(INDIRECT("'Word Vectors'!B"&amp;MATCH($B$2,'Word Vectors'!A:A,0)&amp;":Z"&amp;MATCH($B$2,'Word Vectors'!A:A,0)),INDIRECT("'Word Vectors'!B"&amp;MATCH($B$2,'Word Vectors'!A:A,0)&amp;":Z"&amp;MATCH($B$2,'Word Vectors'!A:A,0))))*SQRT(SUMPRODUCT(INDIRECT("'Word Vectors'!B759:Z759"),INDIRECT("'Word Vectors'!B759:Z759")))))</f>
        <v/>
      </c>
      <c r="ACH2">
        <f>IF(OR($B$2="",ISNA(MATCH($B$2,'Word Vectors'!A:A,0)),'Word Vectors'!A760=$B$2),"",SUMPRODUCT(INDIRECT("'Word Vectors'!B"&amp;MATCH($B$2,'Word Vectors'!A:A,0)&amp;":Z"&amp;MATCH($B$2,'Word Vectors'!A:A,0)),INDIRECT("'Word Vectors'!B760:Z760"))/(SQRT(SUMPRODUCT(INDIRECT("'Word Vectors'!B"&amp;MATCH($B$2,'Word Vectors'!A:A,0)&amp;":Z"&amp;MATCH($B$2,'Word Vectors'!A:A,0)),INDIRECT("'Word Vectors'!B"&amp;MATCH($B$2,'Word Vectors'!A:A,0)&amp;":Z"&amp;MATCH($B$2,'Word Vectors'!A:A,0))))*SQRT(SUMPRODUCT(INDIRECT("'Word Vectors'!B760:Z760"),INDIRECT("'Word Vectors'!B760:Z760")))))</f>
        <v/>
      </c>
      <c r="ACI2">
        <f>IF(OR($B$2="",ISNA(MATCH($B$2,'Word Vectors'!A:A,0)),'Word Vectors'!A761=$B$2),"",SUMPRODUCT(INDIRECT("'Word Vectors'!B"&amp;MATCH($B$2,'Word Vectors'!A:A,0)&amp;":Z"&amp;MATCH($B$2,'Word Vectors'!A:A,0)),INDIRECT("'Word Vectors'!B761:Z761"))/(SQRT(SUMPRODUCT(INDIRECT("'Word Vectors'!B"&amp;MATCH($B$2,'Word Vectors'!A:A,0)&amp;":Z"&amp;MATCH($B$2,'Word Vectors'!A:A,0)),INDIRECT("'Word Vectors'!B"&amp;MATCH($B$2,'Word Vectors'!A:A,0)&amp;":Z"&amp;MATCH($B$2,'Word Vectors'!A:A,0))))*SQRT(SUMPRODUCT(INDIRECT("'Word Vectors'!B761:Z761"),INDIRECT("'Word Vectors'!B761:Z761")))))</f>
        <v/>
      </c>
      <c r="ACJ2">
        <f>IF(OR($B$2="",ISNA(MATCH($B$2,'Word Vectors'!A:A,0)),'Word Vectors'!A762=$B$2),"",SUMPRODUCT(INDIRECT("'Word Vectors'!B"&amp;MATCH($B$2,'Word Vectors'!A:A,0)&amp;":Z"&amp;MATCH($B$2,'Word Vectors'!A:A,0)),INDIRECT("'Word Vectors'!B762:Z762"))/(SQRT(SUMPRODUCT(INDIRECT("'Word Vectors'!B"&amp;MATCH($B$2,'Word Vectors'!A:A,0)&amp;":Z"&amp;MATCH($B$2,'Word Vectors'!A:A,0)),INDIRECT("'Word Vectors'!B"&amp;MATCH($B$2,'Word Vectors'!A:A,0)&amp;":Z"&amp;MATCH($B$2,'Word Vectors'!A:A,0))))*SQRT(SUMPRODUCT(INDIRECT("'Word Vectors'!B762:Z762"),INDIRECT("'Word Vectors'!B762:Z762")))))</f>
        <v/>
      </c>
      <c r="ACK2">
        <f>IF(OR($B$2="",ISNA(MATCH($B$2,'Word Vectors'!A:A,0)),'Word Vectors'!A763=$B$2),"",SUMPRODUCT(INDIRECT("'Word Vectors'!B"&amp;MATCH($B$2,'Word Vectors'!A:A,0)&amp;":Z"&amp;MATCH($B$2,'Word Vectors'!A:A,0)),INDIRECT("'Word Vectors'!B763:Z763"))/(SQRT(SUMPRODUCT(INDIRECT("'Word Vectors'!B"&amp;MATCH($B$2,'Word Vectors'!A:A,0)&amp;":Z"&amp;MATCH($B$2,'Word Vectors'!A:A,0)),INDIRECT("'Word Vectors'!B"&amp;MATCH($B$2,'Word Vectors'!A:A,0)&amp;":Z"&amp;MATCH($B$2,'Word Vectors'!A:A,0))))*SQRT(SUMPRODUCT(INDIRECT("'Word Vectors'!B763:Z763"),INDIRECT("'Word Vectors'!B763:Z763")))))</f>
        <v/>
      </c>
      <c r="ACL2">
        <f>IF(OR($B$2="",ISNA(MATCH($B$2,'Word Vectors'!A:A,0)),'Word Vectors'!A764=$B$2),"",SUMPRODUCT(INDIRECT("'Word Vectors'!B"&amp;MATCH($B$2,'Word Vectors'!A:A,0)&amp;":Z"&amp;MATCH($B$2,'Word Vectors'!A:A,0)),INDIRECT("'Word Vectors'!B764:Z764"))/(SQRT(SUMPRODUCT(INDIRECT("'Word Vectors'!B"&amp;MATCH($B$2,'Word Vectors'!A:A,0)&amp;":Z"&amp;MATCH($B$2,'Word Vectors'!A:A,0)),INDIRECT("'Word Vectors'!B"&amp;MATCH($B$2,'Word Vectors'!A:A,0)&amp;":Z"&amp;MATCH($B$2,'Word Vectors'!A:A,0))))*SQRT(SUMPRODUCT(INDIRECT("'Word Vectors'!B764:Z764"),INDIRECT("'Word Vectors'!B764:Z764")))))</f>
        <v/>
      </c>
      <c r="ACM2">
        <f>IF(OR($B$2="",ISNA(MATCH($B$2,'Word Vectors'!A:A,0)),'Word Vectors'!A765=$B$2),"",SUMPRODUCT(INDIRECT("'Word Vectors'!B"&amp;MATCH($B$2,'Word Vectors'!A:A,0)&amp;":Z"&amp;MATCH($B$2,'Word Vectors'!A:A,0)),INDIRECT("'Word Vectors'!B765:Z765"))/(SQRT(SUMPRODUCT(INDIRECT("'Word Vectors'!B"&amp;MATCH($B$2,'Word Vectors'!A:A,0)&amp;":Z"&amp;MATCH($B$2,'Word Vectors'!A:A,0)),INDIRECT("'Word Vectors'!B"&amp;MATCH($B$2,'Word Vectors'!A:A,0)&amp;":Z"&amp;MATCH($B$2,'Word Vectors'!A:A,0))))*SQRT(SUMPRODUCT(INDIRECT("'Word Vectors'!B765:Z765"),INDIRECT("'Word Vectors'!B765:Z765")))))</f>
        <v/>
      </c>
      <c r="ACN2">
        <f>IF(OR($B$2="",ISNA(MATCH($B$2,'Word Vectors'!A:A,0)),'Word Vectors'!A766=$B$2),"",SUMPRODUCT(INDIRECT("'Word Vectors'!B"&amp;MATCH($B$2,'Word Vectors'!A:A,0)&amp;":Z"&amp;MATCH($B$2,'Word Vectors'!A:A,0)),INDIRECT("'Word Vectors'!B766:Z766"))/(SQRT(SUMPRODUCT(INDIRECT("'Word Vectors'!B"&amp;MATCH($B$2,'Word Vectors'!A:A,0)&amp;":Z"&amp;MATCH($B$2,'Word Vectors'!A:A,0)),INDIRECT("'Word Vectors'!B"&amp;MATCH($B$2,'Word Vectors'!A:A,0)&amp;":Z"&amp;MATCH($B$2,'Word Vectors'!A:A,0))))*SQRT(SUMPRODUCT(INDIRECT("'Word Vectors'!B766:Z766"),INDIRECT("'Word Vectors'!B766:Z766")))))</f>
        <v/>
      </c>
      <c r="ACO2">
        <f>IF(OR($B$2="",ISNA(MATCH($B$2,'Word Vectors'!A:A,0)),'Word Vectors'!A767=$B$2),"",SUMPRODUCT(INDIRECT("'Word Vectors'!B"&amp;MATCH($B$2,'Word Vectors'!A:A,0)&amp;":Z"&amp;MATCH($B$2,'Word Vectors'!A:A,0)),INDIRECT("'Word Vectors'!B767:Z767"))/(SQRT(SUMPRODUCT(INDIRECT("'Word Vectors'!B"&amp;MATCH($B$2,'Word Vectors'!A:A,0)&amp;":Z"&amp;MATCH($B$2,'Word Vectors'!A:A,0)),INDIRECT("'Word Vectors'!B"&amp;MATCH($B$2,'Word Vectors'!A:A,0)&amp;":Z"&amp;MATCH($B$2,'Word Vectors'!A:A,0))))*SQRT(SUMPRODUCT(INDIRECT("'Word Vectors'!B767:Z767"),INDIRECT("'Word Vectors'!B767:Z767")))))</f>
        <v/>
      </c>
      <c r="ACP2">
        <f>IF(OR($B$2="",ISNA(MATCH($B$2,'Word Vectors'!A:A,0)),'Word Vectors'!A768=$B$2),"",SUMPRODUCT(INDIRECT("'Word Vectors'!B"&amp;MATCH($B$2,'Word Vectors'!A:A,0)&amp;":Z"&amp;MATCH($B$2,'Word Vectors'!A:A,0)),INDIRECT("'Word Vectors'!B768:Z768"))/(SQRT(SUMPRODUCT(INDIRECT("'Word Vectors'!B"&amp;MATCH($B$2,'Word Vectors'!A:A,0)&amp;":Z"&amp;MATCH($B$2,'Word Vectors'!A:A,0)),INDIRECT("'Word Vectors'!B"&amp;MATCH($B$2,'Word Vectors'!A:A,0)&amp;":Z"&amp;MATCH($B$2,'Word Vectors'!A:A,0))))*SQRT(SUMPRODUCT(INDIRECT("'Word Vectors'!B768:Z768"),INDIRECT("'Word Vectors'!B768:Z768")))))</f>
        <v/>
      </c>
      <c r="ACQ2">
        <f>IF(OR($B$2="",ISNA(MATCH($B$2,'Word Vectors'!A:A,0)),'Word Vectors'!A769=$B$2),"",SUMPRODUCT(INDIRECT("'Word Vectors'!B"&amp;MATCH($B$2,'Word Vectors'!A:A,0)&amp;":Z"&amp;MATCH($B$2,'Word Vectors'!A:A,0)),INDIRECT("'Word Vectors'!B769:Z769"))/(SQRT(SUMPRODUCT(INDIRECT("'Word Vectors'!B"&amp;MATCH($B$2,'Word Vectors'!A:A,0)&amp;":Z"&amp;MATCH($B$2,'Word Vectors'!A:A,0)),INDIRECT("'Word Vectors'!B"&amp;MATCH($B$2,'Word Vectors'!A:A,0)&amp;":Z"&amp;MATCH($B$2,'Word Vectors'!A:A,0))))*SQRT(SUMPRODUCT(INDIRECT("'Word Vectors'!B769:Z769"),INDIRECT("'Word Vectors'!B769:Z769")))))</f>
        <v/>
      </c>
      <c r="ACR2">
        <f>IF(OR($B$2="",ISNA(MATCH($B$2,'Word Vectors'!A:A,0)),'Word Vectors'!A770=$B$2),"",SUMPRODUCT(INDIRECT("'Word Vectors'!B"&amp;MATCH($B$2,'Word Vectors'!A:A,0)&amp;":Z"&amp;MATCH($B$2,'Word Vectors'!A:A,0)),INDIRECT("'Word Vectors'!B770:Z770"))/(SQRT(SUMPRODUCT(INDIRECT("'Word Vectors'!B"&amp;MATCH($B$2,'Word Vectors'!A:A,0)&amp;":Z"&amp;MATCH($B$2,'Word Vectors'!A:A,0)),INDIRECT("'Word Vectors'!B"&amp;MATCH($B$2,'Word Vectors'!A:A,0)&amp;":Z"&amp;MATCH($B$2,'Word Vectors'!A:A,0))))*SQRT(SUMPRODUCT(INDIRECT("'Word Vectors'!B770:Z770"),INDIRECT("'Word Vectors'!B770:Z770")))))</f>
        <v/>
      </c>
      <c r="ACS2">
        <f>IF(OR($B$2="",ISNA(MATCH($B$2,'Word Vectors'!A:A,0)),'Word Vectors'!A771=$B$2),"",SUMPRODUCT(INDIRECT("'Word Vectors'!B"&amp;MATCH($B$2,'Word Vectors'!A:A,0)&amp;":Z"&amp;MATCH($B$2,'Word Vectors'!A:A,0)),INDIRECT("'Word Vectors'!B771:Z771"))/(SQRT(SUMPRODUCT(INDIRECT("'Word Vectors'!B"&amp;MATCH($B$2,'Word Vectors'!A:A,0)&amp;":Z"&amp;MATCH($B$2,'Word Vectors'!A:A,0)),INDIRECT("'Word Vectors'!B"&amp;MATCH($B$2,'Word Vectors'!A:A,0)&amp;":Z"&amp;MATCH($B$2,'Word Vectors'!A:A,0))))*SQRT(SUMPRODUCT(INDIRECT("'Word Vectors'!B771:Z771"),INDIRECT("'Word Vectors'!B771:Z771")))))</f>
        <v/>
      </c>
      <c r="ACT2">
        <f>IF(OR($B$2="",ISNA(MATCH($B$2,'Word Vectors'!A:A,0)),'Word Vectors'!A772=$B$2),"",SUMPRODUCT(INDIRECT("'Word Vectors'!B"&amp;MATCH($B$2,'Word Vectors'!A:A,0)&amp;":Z"&amp;MATCH($B$2,'Word Vectors'!A:A,0)),INDIRECT("'Word Vectors'!B772:Z772"))/(SQRT(SUMPRODUCT(INDIRECT("'Word Vectors'!B"&amp;MATCH($B$2,'Word Vectors'!A:A,0)&amp;":Z"&amp;MATCH($B$2,'Word Vectors'!A:A,0)),INDIRECT("'Word Vectors'!B"&amp;MATCH($B$2,'Word Vectors'!A:A,0)&amp;":Z"&amp;MATCH($B$2,'Word Vectors'!A:A,0))))*SQRT(SUMPRODUCT(INDIRECT("'Word Vectors'!B772:Z772"),INDIRECT("'Word Vectors'!B772:Z772")))))</f>
        <v/>
      </c>
      <c r="ACU2">
        <f>IF(OR($B$2="",ISNA(MATCH($B$2,'Word Vectors'!A:A,0)),'Word Vectors'!A773=$B$2),"",SUMPRODUCT(INDIRECT("'Word Vectors'!B"&amp;MATCH($B$2,'Word Vectors'!A:A,0)&amp;":Z"&amp;MATCH($B$2,'Word Vectors'!A:A,0)),INDIRECT("'Word Vectors'!B773:Z773"))/(SQRT(SUMPRODUCT(INDIRECT("'Word Vectors'!B"&amp;MATCH($B$2,'Word Vectors'!A:A,0)&amp;":Z"&amp;MATCH($B$2,'Word Vectors'!A:A,0)),INDIRECT("'Word Vectors'!B"&amp;MATCH($B$2,'Word Vectors'!A:A,0)&amp;":Z"&amp;MATCH($B$2,'Word Vectors'!A:A,0))))*SQRT(SUMPRODUCT(INDIRECT("'Word Vectors'!B773:Z773"),INDIRECT("'Word Vectors'!B773:Z773")))))</f>
        <v/>
      </c>
      <c r="ACV2">
        <f>IF(OR($B$2="",ISNA(MATCH($B$2,'Word Vectors'!A:A,0)),'Word Vectors'!A774=$B$2),"",SUMPRODUCT(INDIRECT("'Word Vectors'!B"&amp;MATCH($B$2,'Word Vectors'!A:A,0)&amp;":Z"&amp;MATCH($B$2,'Word Vectors'!A:A,0)),INDIRECT("'Word Vectors'!B774:Z774"))/(SQRT(SUMPRODUCT(INDIRECT("'Word Vectors'!B"&amp;MATCH($B$2,'Word Vectors'!A:A,0)&amp;":Z"&amp;MATCH($B$2,'Word Vectors'!A:A,0)),INDIRECT("'Word Vectors'!B"&amp;MATCH($B$2,'Word Vectors'!A:A,0)&amp;":Z"&amp;MATCH($B$2,'Word Vectors'!A:A,0))))*SQRT(SUMPRODUCT(INDIRECT("'Word Vectors'!B774:Z774"),INDIRECT("'Word Vectors'!B774:Z774")))))</f>
        <v/>
      </c>
      <c r="ACW2">
        <f>IF(OR($B$2="",ISNA(MATCH($B$2,'Word Vectors'!A:A,0)),'Word Vectors'!A775=$B$2),"",SUMPRODUCT(INDIRECT("'Word Vectors'!B"&amp;MATCH($B$2,'Word Vectors'!A:A,0)&amp;":Z"&amp;MATCH($B$2,'Word Vectors'!A:A,0)),INDIRECT("'Word Vectors'!B775:Z775"))/(SQRT(SUMPRODUCT(INDIRECT("'Word Vectors'!B"&amp;MATCH($B$2,'Word Vectors'!A:A,0)&amp;":Z"&amp;MATCH($B$2,'Word Vectors'!A:A,0)),INDIRECT("'Word Vectors'!B"&amp;MATCH($B$2,'Word Vectors'!A:A,0)&amp;":Z"&amp;MATCH($B$2,'Word Vectors'!A:A,0))))*SQRT(SUMPRODUCT(INDIRECT("'Word Vectors'!B775:Z775"),INDIRECT("'Word Vectors'!B775:Z775")))))</f>
        <v/>
      </c>
      <c r="ACX2">
        <f>IF(OR($B$2="",ISNA(MATCH($B$2,'Word Vectors'!A:A,0)),'Word Vectors'!A776=$B$2),"",SUMPRODUCT(INDIRECT("'Word Vectors'!B"&amp;MATCH($B$2,'Word Vectors'!A:A,0)&amp;":Z"&amp;MATCH($B$2,'Word Vectors'!A:A,0)),INDIRECT("'Word Vectors'!B776:Z776"))/(SQRT(SUMPRODUCT(INDIRECT("'Word Vectors'!B"&amp;MATCH($B$2,'Word Vectors'!A:A,0)&amp;":Z"&amp;MATCH($B$2,'Word Vectors'!A:A,0)),INDIRECT("'Word Vectors'!B"&amp;MATCH($B$2,'Word Vectors'!A:A,0)&amp;":Z"&amp;MATCH($B$2,'Word Vectors'!A:A,0))))*SQRT(SUMPRODUCT(INDIRECT("'Word Vectors'!B776:Z776"),INDIRECT("'Word Vectors'!B776:Z776")))))</f>
        <v/>
      </c>
      <c r="ACY2">
        <f>IF(OR($B$2="",ISNA(MATCH($B$2,'Word Vectors'!A:A,0)),'Word Vectors'!A777=$B$2),"",SUMPRODUCT(INDIRECT("'Word Vectors'!B"&amp;MATCH($B$2,'Word Vectors'!A:A,0)&amp;":Z"&amp;MATCH($B$2,'Word Vectors'!A:A,0)),INDIRECT("'Word Vectors'!B777:Z777"))/(SQRT(SUMPRODUCT(INDIRECT("'Word Vectors'!B"&amp;MATCH($B$2,'Word Vectors'!A:A,0)&amp;":Z"&amp;MATCH($B$2,'Word Vectors'!A:A,0)),INDIRECT("'Word Vectors'!B"&amp;MATCH($B$2,'Word Vectors'!A:A,0)&amp;":Z"&amp;MATCH($B$2,'Word Vectors'!A:A,0))))*SQRT(SUMPRODUCT(INDIRECT("'Word Vectors'!B777:Z777"),INDIRECT("'Word Vectors'!B777:Z777")))))</f>
        <v/>
      </c>
      <c r="ACZ2">
        <f>IF(OR($B$2="",ISNA(MATCH($B$2,'Word Vectors'!A:A,0)),'Word Vectors'!A778=$B$2),"",SUMPRODUCT(INDIRECT("'Word Vectors'!B"&amp;MATCH($B$2,'Word Vectors'!A:A,0)&amp;":Z"&amp;MATCH($B$2,'Word Vectors'!A:A,0)),INDIRECT("'Word Vectors'!B778:Z778"))/(SQRT(SUMPRODUCT(INDIRECT("'Word Vectors'!B"&amp;MATCH($B$2,'Word Vectors'!A:A,0)&amp;":Z"&amp;MATCH($B$2,'Word Vectors'!A:A,0)),INDIRECT("'Word Vectors'!B"&amp;MATCH($B$2,'Word Vectors'!A:A,0)&amp;":Z"&amp;MATCH($B$2,'Word Vectors'!A:A,0))))*SQRT(SUMPRODUCT(INDIRECT("'Word Vectors'!B778:Z778"),INDIRECT("'Word Vectors'!B778:Z778")))))</f>
        <v/>
      </c>
      <c r="ADA2">
        <f>IF(OR($B$2="",ISNA(MATCH($B$2,'Word Vectors'!A:A,0)),'Word Vectors'!A779=$B$2),"",SUMPRODUCT(INDIRECT("'Word Vectors'!B"&amp;MATCH($B$2,'Word Vectors'!A:A,0)&amp;":Z"&amp;MATCH($B$2,'Word Vectors'!A:A,0)),INDIRECT("'Word Vectors'!B779:Z779"))/(SQRT(SUMPRODUCT(INDIRECT("'Word Vectors'!B"&amp;MATCH($B$2,'Word Vectors'!A:A,0)&amp;":Z"&amp;MATCH($B$2,'Word Vectors'!A:A,0)),INDIRECT("'Word Vectors'!B"&amp;MATCH($B$2,'Word Vectors'!A:A,0)&amp;":Z"&amp;MATCH($B$2,'Word Vectors'!A:A,0))))*SQRT(SUMPRODUCT(INDIRECT("'Word Vectors'!B779:Z779"),INDIRECT("'Word Vectors'!B779:Z779")))))</f>
        <v/>
      </c>
      <c r="ADB2">
        <f>IF(OR($B$2="",ISNA(MATCH($B$2,'Word Vectors'!A:A,0)),'Word Vectors'!A780=$B$2),"",SUMPRODUCT(INDIRECT("'Word Vectors'!B"&amp;MATCH($B$2,'Word Vectors'!A:A,0)&amp;":Z"&amp;MATCH($B$2,'Word Vectors'!A:A,0)),INDIRECT("'Word Vectors'!B780:Z780"))/(SQRT(SUMPRODUCT(INDIRECT("'Word Vectors'!B"&amp;MATCH($B$2,'Word Vectors'!A:A,0)&amp;":Z"&amp;MATCH($B$2,'Word Vectors'!A:A,0)),INDIRECT("'Word Vectors'!B"&amp;MATCH($B$2,'Word Vectors'!A:A,0)&amp;":Z"&amp;MATCH($B$2,'Word Vectors'!A:A,0))))*SQRT(SUMPRODUCT(INDIRECT("'Word Vectors'!B780:Z780"),INDIRECT("'Word Vectors'!B780:Z780")))))</f>
        <v/>
      </c>
      <c r="ADC2">
        <f>IF(OR($B$2="",ISNA(MATCH($B$2,'Word Vectors'!A:A,0)),'Word Vectors'!A781=$B$2),"",SUMPRODUCT(INDIRECT("'Word Vectors'!B"&amp;MATCH($B$2,'Word Vectors'!A:A,0)&amp;":Z"&amp;MATCH($B$2,'Word Vectors'!A:A,0)),INDIRECT("'Word Vectors'!B781:Z781"))/(SQRT(SUMPRODUCT(INDIRECT("'Word Vectors'!B"&amp;MATCH($B$2,'Word Vectors'!A:A,0)&amp;":Z"&amp;MATCH($B$2,'Word Vectors'!A:A,0)),INDIRECT("'Word Vectors'!B"&amp;MATCH($B$2,'Word Vectors'!A:A,0)&amp;":Z"&amp;MATCH($B$2,'Word Vectors'!A:A,0))))*SQRT(SUMPRODUCT(INDIRECT("'Word Vectors'!B781:Z781"),INDIRECT("'Word Vectors'!B781:Z781")))))</f>
        <v/>
      </c>
      <c r="ADD2">
        <f>IF(OR($B$2="",ISNA(MATCH($B$2,'Word Vectors'!A:A,0)),'Word Vectors'!A782=$B$2),"",SUMPRODUCT(INDIRECT("'Word Vectors'!B"&amp;MATCH($B$2,'Word Vectors'!A:A,0)&amp;":Z"&amp;MATCH($B$2,'Word Vectors'!A:A,0)),INDIRECT("'Word Vectors'!B782:Z782"))/(SQRT(SUMPRODUCT(INDIRECT("'Word Vectors'!B"&amp;MATCH($B$2,'Word Vectors'!A:A,0)&amp;":Z"&amp;MATCH($B$2,'Word Vectors'!A:A,0)),INDIRECT("'Word Vectors'!B"&amp;MATCH($B$2,'Word Vectors'!A:A,0)&amp;":Z"&amp;MATCH($B$2,'Word Vectors'!A:A,0))))*SQRT(SUMPRODUCT(INDIRECT("'Word Vectors'!B782:Z782"),INDIRECT("'Word Vectors'!B782:Z782")))))</f>
        <v/>
      </c>
      <c r="ADE2">
        <f>IF(OR($B$2="",ISNA(MATCH($B$2,'Word Vectors'!A:A,0)),'Word Vectors'!A783=$B$2),"",SUMPRODUCT(INDIRECT("'Word Vectors'!B"&amp;MATCH($B$2,'Word Vectors'!A:A,0)&amp;":Z"&amp;MATCH($B$2,'Word Vectors'!A:A,0)),INDIRECT("'Word Vectors'!B783:Z783"))/(SQRT(SUMPRODUCT(INDIRECT("'Word Vectors'!B"&amp;MATCH($B$2,'Word Vectors'!A:A,0)&amp;":Z"&amp;MATCH($B$2,'Word Vectors'!A:A,0)),INDIRECT("'Word Vectors'!B"&amp;MATCH($B$2,'Word Vectors'!A:A,0)&amp;":Z"&amp;MATCH($B$2,'Word Vectors'!A:A,0))))*SQRT(SUMPRODUCT(INDIRECT("'Word Vectors'!B783:Z783"),INDIRECT("'Word Vectors'!B783:Z783")))))</f>
        <v/>
      </c>
      <c r="ADF2">
        <f>IF(OR($B$2="",ISNA(MATCH($B$2,'Word Vectors'!A:A,0)),'Word Vectors'!A784=$B$2),"",SUMPRODUCT(INDIRECT("'Word Vectors'!B"&amp;MATCH($B$2,'Word Vectors'!A:A,0)&amp;":Z"&amp;MATCH($B$2,'Word Vectors'!A:A,0)),INDIRECT("'Word Vectors'!B784:Z784"))/(SQRT(SUMPRODUCT(INDIRECT("'Word Vectors'!B"&amp;MATCH($B$2,'Word Vectors'!A:A,0)&amp;":Z"&amp;MATCH($B$2,'Word Vectors'!A:A,0)),INDIRECT("'Word Vectors'!B"&amp;MATCH($B$2,'Word Vectors'!A:A,0)&amp;":Z"&amp;MATCH($B$2,'Word Vectors'!A:A,0))))*SQRT(SUMPRODUCT(INDIRECT("'Word Vectors'!B784:Z784"),INDIRECT("'Word Vectors'!B784:Z784")))))</f>
        <v/>
      </c>
      <c r="ADG2">
        <f>IF(OR($B$2="",ISNA(MATCH($B$2,'Word Vectors'!A:A,0)),'Word Vectors'!A785=$B$2),"",SUMPRODUCT(INDIRECT("'Word Vectors'!B"&amp;MATCH($B$2,'Word Vectors'!A:A,0)&amp;":Z"&amp;MATCH($B$2,'Word Vectors'!A:A,0)),INDIRECT("'Word Vectors'!B785:Z785"))/(SQRT(SUMPRODUCT(INDIRECT("'Word Vectors'!B"&amp;MATCH($B$2,'Word Vectors'!A:A,0)&amp;":Z"&amp;MATCH($B$2,'Word Vectors'!A:A,0)),INDIRECT("'Word Vectors'!B"&amp;MATCH($B$2,'Word Vectors'!A:A,0)&amp;":Z"&amp;MATCH($B$2,'Word Vectors'!A:A,0))))*SQRT(SUMPRODUCT(INDIRECT("'Word Vectors'!B785:Z785"),INDIRECT("'Word Vectors'!B785:Z785")))))</f>
        <v/>
      </c>
      <c r="ADH2">
        <f>IF(OR($B$2="",ISNA(MATCH($B$2,'Word Vectors'!A:A,0)),'Word Vectors'!A786=$B$2),"",SUMPRODUCT(INDIRECT("'Word Vectors'!B"&amp;MATCH($B$2,'Word Vectors'!A:A,0)&amp;":Z"&amp;MATCH($B$2,'Word Vectors'!A:A,0)),INDIRECT("'Word Vectors'!B786:Z786"))/(SQRT(SUMPRODUCT(INDIRECT("'Word Vectors'!B"&amp;MATCH($B$2,'Word Vectors'!A:A,0)&amp;":Z"&amp;MATCH($B$2,'Word Vectors'!A:A,0)),INDIRECT("'Word Vectors'!B"&amp;MATCH($B$2,'Word Vectors'!A:A,0)&amp;":Z"&amp;MATCH($B$2,'Word Vectors'!A:A,0))))*SQRT(SUMPRODUCT(INDIRECT("'Word Vectors'!B786:Z786"),INDIRECT("'Word Vectors'!B786:Z786")))))</f>
        <v/>
      </c>
      <c r="ADI2">
        <f>IF(OR($B$2="",ISNA(MATCH($B$2,'Word Vectors'!A:A,0)),'Word Vectors'!A787=$B$2),"",SUMPRODUCT(INDIRECT("'Word Vectors'!B"&amp;MATCH($B$2,'Word Vectors'!A:A,0)&amp;":Z"&amp;MATCH($B$2,'Word Vectors'!A:A,0)),INDIRECT("'Word Vectors'!B787:Z787"))/(SQRT(SUMPRODUCT(INDIRECT("'Word Vectors'!B"&amp;MATCH($B$2,'Word Vectors'!A:A,0)&amp;":Z"&amp;MATCH($B$2,'Word Vectors'!A:A,0)),INDIRECT("'Word Vectors'!B"&amp;MATCH($B$2,'Word Vectors'!A:A,0)&amp;":Z"&amp;MATCH($B$2,'Word Vectors'!A:A,0))))*SQRT(SUMPRODUCT(INDIRECT("'Word Vectors'!B787:Z787"),INDIRECT("'Word Vectors'!B787:Z787")))))</f>
        <v/>
      </c>
      <c r="ADJ2">
        <f>IF(OR($B$2="",ISNA(MATCH($B$2,'Word Vectors'!A:A,0)),'Word Vectors'!A788=$B$2),"",SUMPRODUCT(INDIRECT("'Word Vectors'!B"&amp;MATCH($B$2,'Word Vectors'!A:A,0)&amp;":Z"&amp;MATCH($B$2,'Word Vectors'!A:A,0)),INDIRECT("'Word Vectors'!B788:Z788"))/(SQRT(SUMPRODUCT(INDIRECT("'Word Vectors'!B"&amp;MATCH($B$2,'Word Vectors'!A:A,0)&amp;":Z"&amp;MATCH($B$2,'Word Vectors'!A:A,0)),INDIRECT("'Word Vectors'!B"&amp;MATCH($B$2,'Word Vectors'!A:A,0)&amp;":Z"&amp;MATCH($B$2,'Word Vectors'!A:A,0))))*SQRT(SUMPRODUCT(INDIRECT("'Word Vectors'!B788:Z788"),INDIRECT("'Word Vectors'!B788:Z788")))))</f>
        <v/>
      </c>
      <c r="ADK2">
        <f>IF(OR($B$2="",ISNA(MATCH($B$2,'Word Vectors'!A:A,0)),'Word Vectors'!A789=$B$2),"",SUMPRODUCT(INDIRECT("'Word Vectors'!B"&amp;MATCH($B$2,'Word Vectors'!A:A,0)&amp;":Z"&amp;MATCH($B$2,'Word Vectors'!A:A,0)),INDIRECT("'Word Vectors'!B789:Z789"))/(SQRT(SUMPRODUCT(INDIRECT("'Word Vectors'!B"&amp;MATCH($B$2,'Word Vectors'!A:A,0)&amp;":Z"&amp;MATCH($B$2,'Word Vectors'!A:A,0)),INDIRECT("'Word Vectors'!B"&amp;MATCH($B$2,'Word Vectors'!A:A,0)&amp;":Z"&amp;MATCH($B$2,'Word Vectors'!A:A,0))))*SQRT(SUMPRODUCT(INDIRECT("'Word Vectors'!B789:Z789"),INDIRECT("'Word Vectors'!B789:Z789")))))</f>
        <v/>
      </c>
      <c r="ADL2">
        <f>IF(OR($B$2="",ISNA(MATCH($B$2,'Word Vectors'!A:A,0)),'Word Vectors'!A790=$B$2),"",SUMPRODUCT(INDIRECT("'Word Vectors'!B"&amp;MATCH($B$2,'Word Vectors'!A:A,0)&amp;":Z"&amp;MATCH($B$2,'Word Vectors'!A:A,0)),INDIRECT("'Word Vectors'!B790:Z790"))/(SQRT(SUMPRODUCT(INDIRECT("'Word Vectors'!B"&amp;MATCH($B$2,'Word Vectors'!A:A,0)&amp;":Z"&amp;MATCH($B$2,'Word Vectors'!A:A,0)),INDIRECT("'Word Vectors'!B"&amp;MATCH($B$2,'Word Vectors'!A:A,0)&amp;":Z"&amp;MATCH($B$2,'Word Vectors'!A:A,0))))*SQRT(SUMPRODUCT(INDIRECT("'Word Vectors'!B790:Z790"),INDIRECT("'Word Vectors'!B790:Z790")))))</f>
        <v/>
      </c>
      <c r="ADM2">
        <f>IF(OR($B$2="",ISNA(MATCH($B$2,'Word Vectors'!A:A,0)),'Word Vectors'!A791=$B$2),"",SUMPRODUCT(INDIRECT("'Word Vectors'!B"&amp;MATCH($B$2,'Word Vectors'!A:A,0)&amp;":Z"&amp;MATCH($B$2,'Word Vectors'!A:A,0)),INDIRECT("'Word Vectors'!B791:Z791"))/(SQRT(SUMPRODUCT(INDIRECT("'Word Vectors'!B"&amp;MATCH($B$2,'Word Vectors'!A:A,0)&amp;":Z"&amp;MATCH($B$2,'Word Vectors'!A:A,0)),INDIRECT("'Word Vectors'!B"&amp;MATCH($B$2,'Word Vectors'!A:A,0)&amp;":Z"&amp;MATCH($B$2,'Word Vectors'!A:A,0))))*SQRT(SUMPRODUCT(INDIRECT("'Word Vectors'!B791:Z791"),INDIRECT("'Word Vectors'!B791:Z791")))))</f>
        <v/>
      </c>
      <c r="ADN2">
        <f>IF(OR($B$2="",ISNA(MATCH($B$2,'Word Vectors'!A:A,0)),'Word Vectors'!A792=$B$2),"",SUMPRODUCT(INDIRECT("'Word Vectors'!B"&amp;MATCH($B$2,'Word Vectors'!A:A,0)&amp;":Z"&amp;MATCH($B$2,'Word Vectors'!A:A,0)),INDIRECT("'Word Vectors'!B792:Z792"))/(SQRT(SUMPRODUCT(INDIRECT("'Word Vectors'!B"&amp;MATCH($B$2,'Word Vectors'!A:A,0)&amp;":Z"&amp;MATCH($B$2,'Word Vectors'!A:A,0)),INDIRECT("'Word Vectors'!B"&amp;MATCH($B$2,'Word Vectors'!A:A,0)&amp;":Z"&amp;MATCH($B$2,'Word Vectors'!A:A,0))))*SQRT(SUMPRODUCT(INDIRECT("'Word Vectors'!B792:Z792"),INDIRECT("'Word Vectors'!B792:Z792")))))</f>
        <v/>
      </c>
      <c r="ADO2">
        <f>IF(OR($B$2="",ISNA(MATCH($B$2,'Word Vectors'!A:A,0)),'Word Vectors'!A793=$B$2),"",SUMPRODUCT(INDIRECT("'Word Vectors'!B"&amp;MATCH($B$2,'Word Vectors'!A:A,0)&amp;":Z"&amp;MATCH($B$2,'Word Vectors'!A:A,0)),INDIRECT("'Word Vectors'!B793:Z793"))/(SQRT(SUMPRODUCT(INDIRECT("'Word Vectors'!B"&amp;MATCH($B$2,'Word Vectors'!A:A,0)&amp;":Z"&amp;MATCH($B$2,'Word Vectors'!A:A,0)),INDIRECT("'Word Vectors'!B"&amp;MATCH($B$2,'Word Vectors'!A:A,0)&amp;":Z"&amp;MATCH($B$2,'Word Vectors'!A:A,0))))*SQRT(SUMPRODUCT(INDIRECT("'Word Vectors'!B793:Z793"),INDIRECT("'Word Vectors'!B793:Z793")))))</f>
        <v/>
      </c>
      <c r="ADP2">
        <f>IF(OR($B$2="",ISNA(MATCH($B$2,'Word Vectors'!A:A,0)),'Word Vectors'!A794=$B$2),"",SUMPRODUCT(INDIRECT("'Word Vectors'!B"&amp;MATCH($B$2,'Word Vectors'!A:A,0)&amp;":Z"&amp;MATCH($B$2,'Word Vectors'!A:A,0)),INDIRECT("'Word Vectors'!B794:Z794"))/(SQRT(SUMPRODUCT(INDIRECT("'Word Vectors'!B"&amp;MATCH($B$2,'Word Vectors'!A:A,0)&amp;":Z"&amp;MATCH($B$2,'Word Vectors'!A:A,0)),INDIRECT("'Word Vectors'!B"&amp;MATCH($B$2,'Word Vectors'!A:A,0)&amp;":Z"&amp;MATCH($B$2,'Word Vectors'!A:A,0))))*SQRT(SUMPRODUCT(INDIRECT("'Word Vectors'!B794:Z794"),INDIRECT("'Word Vectors'!B794:Z794")))))</f>
        <v/>
      </c>
      <c r="ADQ2">
        <f>IF(OR($B$2="",ISNA(MATCH($B$2,'Word Vectors'!A:A,0)),'Word Vectors'!A795=$B$2),"",SUMPRODUCT(INDIRECT("'Word Vectors'!B"&amp;MATCH($B$2,'Word Vectors'!A:A,0)&amp;":Z"&amp;MATCH($B$2,'Word Vectors'!A:A,0)),INDIRECT("'Word Vectors'!B795:Z795"))/(SQRT(SUMPRODUCT(INDIRECT("'Word Vectors'!B"&amp;MATCH($B$2,'Word Vectors'!A:A,0)&amp;":Z"&amp;MATCH($B$2,'Word Vectors'!A:A,0)),INDIRECT("'Word Vectors'!B"&amp;MATCH($B$2,'Word Vectors'!A:A,0)&amp;":Z"&amp;MATCH($B$2,'Word Vectors'!A:A,0))))*SQRT(SUMPRODUCT(INDIRECT("'Word Vectors'!B795:Z795"),INDIRECT("'Word Vectors'!B795:Z795")))))</f>
        <v/>
      </c>
      <c r="ADR2">
        <f>IF(OR($B$2="",ISNA(MATCH($B$2,'Word Vectors'!A:A,0)),'Word Vectors'!A796=$B$2),"",SUMPRODUCT(INDIRECT("'Word Vectors'!B"&amp;MATCH($B$2,'Word Vectors'!A:A,0)&amp;":Z"&amp;MATCH($B$2,'Word Vectors'!A:A,0)),INDIRECT("'Word Vectors'!B796:Z796"))/(SQRT(SUMPRODUCT(INDIRECT("'Word Vectors'!B"&amp;MATCH($B$2,'Word Vectors'!A:A,0)&amp;":Z"&amp;MATCH($B$2,'Word Vectors'!A:A,0)),INDIRECT("'Word Vectors'!B"&amp;MATCH($B$2,'Word Vectors'!A:A,0)&amp;":Z"&amp;MATCH($B$2,'Word Vectors'!A:A,0))))*SQRT(SUMPRODUCT(INDIRECT("'Word Vectors'!B796:Z796"),INDIRECT("'Word Vectors'!B796:Z796")))))</f>
        <v/>
      </c>
      <c r="ADS2">
        <f>IF(OR($B$2="",ISNA(MATCH($B$2,'Word Vectors'!A:A,0)),'Word Vectors'!A797=$B$2),"",SUMPRODUCT(INDIRECT("'Word Vectors'!B"&amp;MATCH($B$2,'Word Vectors'!A:A,0)&amp;":Z"&amp;MATCH($B$2,'Word Vectors'!A:A,0)),INDIRECT("'Word Vectors'!B797:Z797"))/(SQRT(SUMPRODUCT(INDIRECT("'Word Vectors'!B"&amp;MATCH($B$2,'Word Vectors'!A:A,0)&amp;":Z"&amp;MATCH($B$2,'Word Vectors'!A:A,0)),INDIRECT("'Word Vectors'!B"&amp;MATCH($B$2,'Word Vectors'!A:A,0)&amp;":Z"&amp;MATCH($B$2,'Word Vectors'!A:A,0))))*SQRT(SUMPRODUCT(INDIRECT("'Word Vectors'!B797:Z797"),INDIRECT("'Word Vectors'!B797:Z797")))))</f>
        <v/>
      </c>
      <c r="ADT2">
        <f>IF(OR($B$2="",ISNA(MATCH($B$2,'Word Vectors'!A:A,0)),'Word Vectors'!A798=$B$2),"",SUMPRODUCT(INDIRECT("'Word Vectors'!B"&amp;MATCH($B$2,'Word Vectors'!A:A,0)&amp;":Z"&amp;MATCH($B$2,'Word Vectors'!A:A,0)),INDIRECT("'Word Vectors'!B798:Z798"))/(SQRT(SUMPRODUCT(INDIRECT("'Word Vectors'!B"&amp;MATCH($B$2,'Word Vectors'!A:A,0)&amp;":Z"&amp;MATCH($B$2,'Word Vectors'!A:A,0)),INDIRECT("'Word Vectors'!B"&amp;MATCH($B$2,'Word Vectors'!A:A,0)&amp;":Z"&amp;MATCH($B$2,'Word Vectors'!A:A,0))))*SQRT(SUMPRODUCT(INDIRECT("'Word Vectors'!B798:Z798"),INDIRECT("'Word Vectors'!B798:Z798")))))</f>
        <v/>
      </c>
      <c r="ADU2">
        <f>IF(OR($B$2="",ISNA(MATCH($B$2,'Word Vectors'!A:A,0)),'Word Vectors'!A799=$B$2),"",SUMPRODUCT(INDIRECT("'Word Vectors'!B"&amp;MATCH($B$2,'Word Vectors'!A:A,0)&amp;":Z"&amp;MATCH($B$2,'Word Vectors'!A:A,0)),INDIRECT("'Word Vectors'!B799:Z799"))/(SQRT(SUMPRODUCT(INDIRECT("'Word Vectors'!B"&amp;MATCH($B$2,'Word Vectors'!A:A,0)&amp;":Z"&amp;MATCH($B$2,'Word Vectors'!A:A,0)),INDIRECT("'Word Vectors'!B"&amp;MATCH($B$2,'Word Vectors'!A:A,0)&amp;":Z"&amp;MATCH($B$2,'Word Vectors'!A:A,0))))*SQRT(SUMPRODUCT(INDIRECT("'Word Vectors'!B799:Z799"),INDIRECT("'Word Vectors'!B799:Z799")))))</f>
        <v/>
      </c>
      <c r="ADV2">
        <f>IF(OR($B$2="",ISNA(MATCH($B$2,'Word Vectors'!A:A,0)),'Word Vectors'!A800=$B$2),"",SUMPRODUCT(INDIRECT("'Word Vectors'!B"&amp;MATCH($B$2,'Word Vectors'!A:A,0)&amp;":Z"&amp;MATCH($B$2,'Word Vectors'!A:A,0)),INDIRECT("'Word Vectors'!B800:Z800"))/(SQRT(SUMPRODUCT(INDIRECT("'Word Vectors'!B"&amp;MATCH($B$2,'Word Vectors'!A:A,0)&amp;":Z"&amp;MATCH($B$2,'Word Vectors'!A:A,0)),INDIRECT("'Word Vectors'!B"&amp;MATCH($B$2,'Word Vectors'!A:A,0)&amp;":Z"&amp;MATCH($B$2,'Word Vectors'!A:A,0))))*SQRT(SUMPRODUCT(INDIRECT("'Word Vectors'!B800:Z800"),INDIRECT("'Word Vectors'!B800:Z800")))))</f>
        <v/>
      </c>
      <c r="ADW2">
        <f>IF(OR($B$2="",ISNA(MATCH($B$2,'Word Vectors'!A:A,0)),'Word Vectors'!A801=$B$2),"",SUMPRODUCT(INDIRECT("'Word Vectors'!B"&amp;MATCH($B$2,'Word Vectors'!A:A,0)&amp;":Z"&amp;MATCH($B$2,'Word Vectors'!A:A,0)),INDIRECT("'Word Vectors'!B801:Z801"))/(SQRT(SUMPRODUCT(INDIRECT("'Word Vectors'!B"&amp;MATCH($B$2,'Word Vectors'!A:A,0)&amp;":Z"&amp;MATCH($B$2,'Word Vectors'!A:A,0)),INDIRECT("'Word Vectors'!B"&amp;MATCH($B$2,'Word Vectors'!A:A,0)&amp;":Z"&amp;MATCH($B$2,'Word Vectors'!A:A,0))))*SQRT(SUMPRODUCT(INDIRECT("'Word Vectors'!B801:Z801"),INDIRECT("'Word Vectors'!B801:Z801")))))</f>
        <v/>
      </c>
      <c r="ADX2">
        <f>IF(OR($B$2="",ISNA(MATCH($B$2,'Word Vectors'!A:A,0)),'Word Vectors'!A802=$B$2),"",SUMPRODUCT(INDIRECT("'Word Vectors'!B"&amp;MATCH($B$2,'Word Vectors'!A:A,0)&amp;":Z"&amp;MATCH($B$2,'Word Vectors'!A:A,0)),INDIRECT("'Word Vectors'!B802:Z802"))/(SQRT(SUMPRODUCT(INDIRECT("'Word Vectors'!B"&amp;MATCH($B$2,'Word Vectors'!A:A,0)&amp;":Z"&amp;MATCH($B$2,'Word Vectors'!A:A,0)),INDIRECT("'Word Vectors'!B"&amp;MATCH($B$2,'Word Vectors'!A:A,0)&amp;":Z"&amp;MATCH($B$2,'Word Vectors'!A:A,0))))*SQRT(SUMPRODUCT(INDIRECT("'Word Vectors'!B802:Z802"),INDIRECT("'Word Vectors'!B802:Z802")))))</f>
        <v/>
      </c>
      <c r="ADY2">
        <f>IF(OR($B$2="",ISNA(MATCH($B$2,'Word Vectors'!A:A,0)),'Word Vectors'!A803=$B$2),"",SUMPRODUCT(INDIRECT("'Word Vectors'!B"&amp;MATCH($B$2,'Word Vectors'!A:A,0)&amp;":Z"&amp;MATCH($B$2,'Word Vectors'!A:A,0)),INDIRECT("'Word Vectors'!B803:Z803"))/(SQRT(SUMPRODUCT(INDIRECT("'Word Vectors'!B"&amp;MATCH($B$2,'Word Vectors'!A:A,0)&amp;":Z"&amp;MATCH($B$2,'Word Vectors'!A:A,0)),INDIRECT("'Word Vectors'!B"&amp;MATCH($B$2,'Word Vectors'!A:A,0)&amp;":Z"&amp;MATCH($B$2,'Word Vectors'!A:A,0))))*SQRT(SUMPRODUCT(INDIRECT("'Word Vectors'!B803:Z803"),INDIRECT("'Word Vectors'!B803:Z803")))))</f>
        <v/>
      </c>
      <c r="ADZ2">
        <f>IF(OR($B$2="",ISNA(MATCH($B$2,'Word Vectors'!A:A,0)),'Word Vectors'!A804=$B$2),"",SUMPRODUCT(INDIRECT("'Word Vectors'!B"&amp;MATCH($B$2,'Word Vectors'!A:A,0)&amp;":Z"&amp;MATCH($B$2,'Word Vectors'!A:A,0)),INDIRECT("'Word Vectors'!B804:Z804"))/(SQRT(SUMPRODUCT(INDIRECT("'Word Vectors'!B"&amp;MATCH($B$2,'Word Vectors'!A:A,0)&amp;":Z"&amp;MATCH($B$2,'Word Vectors'!A:A,0)),INDIRECT("'Word Vectors'!B"&amp;MATCH($B$2,'Word Vectors'!A:A,0)&amp;":Z"&amp;MATCH($B$2,'Word Vectors'!A:A,0))))*SQRT(SUMPRODUCT(INDIRECT("'Word Vectors'!B804:Z804"),INDIRECT("'Word Vectors'!B804:Z804")))))</f>
        <v/>
      </c>
      <c r="AEA2">
        <f>IF(OR($B$2="",ISNA(MATCH($B$2,'Word Vectors'!A:A,0)),'Word Vectors'!A805=$B$2),"",SUMPRODUCT(INDIRECT("'Word Vectors'!B"&amp;MATCH($B$2,'Word Vectors'!A:A,0)&amp;":Z"&amp;MATCH($B$2,'Word Vectors'!A:A,0)),INDIRECT("'Word Vectors'!B805:Z805"))/(SQRT(SUMPRODUCT(INDIRECT("'Word Vectors'!B"&amp;MATCH($B$2,'Word Vectors'!A:A,0)&amp;":Z"&amp;MATCH($B$2,'Word Vectors'!A:A,0)),INDIRECT("'Word Vectors'!B"&amp;MATCH($B$2,'Word Vectors'!A:A,0)&amp;":Z"&amp;MATCH($B$2,'Word Vectors'!A:A,0))))*SQRT(SUMPRODUCT(INDIRECT("'Word Vectors'!B805:Z805"),INDIRECT("'Word Vectors'!B805:Z805")))))</f>
        <v/>
      </c>
      <c r="AEB2">
        <f>IF(OR($B$2="",ISNA(MATCH($B$2,'Word Vectors'!A:A,0)),'Word Vectors'!A806=$B$2),"",SUMPRODUCT(INDIRECT("'Word Vectors'!B"&amp;MATCH($B$2,'Word Vectors'!A:A,0)&amp;":Z"&amp;MATCH($B$2,'Word Vectors'!A:A,0)),INDIRECT("'Word Vectors'!B806:Z806"))/(SQRT(SUMPRODUCT(INDIRECT("'Word Vectors'!B"&amp;MATCH($B$2,'Word Vectors'!A:A,0)&amp;":Z"&amp;MATCH($B$2,'Word Vectors'!A:A,0)),INDIRECT("'Word Vectors'!B"&amp;MATCH($B$2,'Word Vectors'!A:A,0)&amp;":Z"&amp;MATCH($B$2,'Word Vectors'!A:A,0))))*SQRT(SUMPRODUCT(INDIRECT("'Word Vectors'!B806:Z806"),INDIRECT("'Word Vectors'!B806:Z806")))))</f>
        <v/>
      </c>
      <c r="AEC2">
        <f>IF(OR($B$2="",ISNA(MATCH($B$2,'Word Vectors'!A:A,0)),'Word Vectors'!A807=$B$2),"",SUMPRODUCT(INDIRECT("'Word Vectors'!B"&amp;MATCH($B$2,'Word Vectors'!A:A,0)&amp;":Z"&amp;MATCH($B$2,'Word Vectors'!A:A,0)),INDIRECT("'Word Vectors'!B807:Z807"))/(SQRT(SUMPRODUCT(INDIRECT("'Word Vectors'!B"&amp;MATCH($B$2,'Word Vectors'!A:A,0)&amp;":Z"&amp;MATCH($B$2,'Word Vectors'!A:A,0)),INDIRECT("'Word Vectors'!B"&amp;MATCH($B$2,'Word Vectors'!A:A,0)&amp;":Z"&amp;MATCH($B$2,'Word Vectors'!A:A,0))))*SQRT(SUMPRODUCT(INDIRECT("'Word Vectors'!B807:Z807"),INDIRECT("'Word Vectors'!B807:Z807")))))</f>
        <v/>
      </c>
      <c r="AED2">
        <f>IF(OR($B$2="",ISNA(MATCH($B$2,'Word Vectors'!A:A,0)),'Word Vectors'!A808=$B$2),"",SUMPRODUCT(INDIRECT("'Word Vectors'!B"&amp;MATCH($B$2,'Word Vectors'!A:A,0)&amp;":Z"&amp;MATCH($B$2,'Word Vectors'!A:A,0)),INDIRECT("'Word Vectors'!B808:Z808"))/(SQRT(SUMPRODUCT(INDIRECT("'Word Vectors'!B"&amp;MATCH($B$2,'Word Vectors'!A:A,0)&amp;":Z"&amp;MATCH($B$2,'Word Vectors'!A:A,0)),INDIRECT("'Word Vectors'!B"&amp;MATCH($B$2,'Word Vectors'!A:A,0)&amp;":Z"&amp;MATCH($B$2,'Word Vectors'!A:A,0))))*SQRT(SUMPRODUCT(INDIRECT("'Word Vectors'!B808:Z808"),INDIRECT("'Word Vectors'!B808:Z808")))))</f>
        <v/>
      </c>
      <c r="AEE2">
        <f>IF(OR($B$2="",ISNA(MATCH($B$2,'Word Vectors'!A:A,0)),'Word Vectors'!A809=$B$2),"",SUMPRODUCT(INDIRECT("'Word Vectors'!B"&amp;MATCH($B$2,'Word Vectors'!A:A,0)&amp;":Z"&amp;MATCH($B$2,'Word Vectors'!A:A,0)),INDIRECT("'Word Vectors'!B809:Z809"))/(SQRT(SUMPRODUCT(INDIRECT("'Word Vectors'!B"&amp;MATCH($B$2,'Word Vectors'!A:A,0)&amp;":Z"&amp;MATCH($B$2,'Word Vectors'!A:A,0)),INDIRECT("'Word Vectors'!B"&amp;MATCH($B$2,'Word Vectors'!A:A,0)&amp;":Z"&amp;MATCH($B$2,'Word Vectors'!A:A,0))))*SQRT(SUMPRODUCT(INDIRECT("'Word Vectors'!B809:Z809"),INDIRECT("'Word Vectors'!B809:Z809")))))</f>
        <v/>
      </c>
      <c r="AEF2">
        <f>IF(OR($B$2="",ISNA(MATCH($B$2,'Word Vectors'!A:A,0)),'Word Vectors'!A810=$B$2),"",SUMPRODUCT(INDIRECT("'Word Vectors'!B"&amp;MATCH($B$2,'Word Vectors'!A:A,0)&amp;":Z"&amp;MATCH($B$2,'Word Vectors'!A:A,0)),INDIRECT("'Word Vectors'!B810:Z810"))/(SQRT(SUMPRODUCT(INDIRECT("'Word Vectors'!B"&amp;MATCH($B$2,'Word Vectors'!A:A,0)&amp;":Z"&amp;MATCH($B$2,'Word Vectors'!A:A,0)),INDIRECT("'Word Vectors'!B"&amp;MATCH($B$2,'Word Vectors'!A:A,0)&amp;":Z"&amp;MATCH($B$2,'Word Vectors'!A:A,0))))*SQRT(SUMPRODUCT(INDIRECT("'Word Vectors'!B810:Z810"),INDIRECT("'Word Vectors'!B810:Z810")))))</f>
        <v/>
      </c>
      <c r="AEG2">
        <f>IF(OR($B$2="",ISNA(MATCH($B$2,'Word Vectors'!A:A,0)),'Word Vectors'!A811=$B$2),"",SUMPRODUCT(INDIRECT("'Word Vectors'!B"&amp;MATCH($B$2,'Word Vectors'!A:A,0)&amp;":Z"&amp;MATCH($B$2,'Word Vectors'!A:A,0)),INDIRECT("'Word Vectors'!B811:Z811"))/(SQRT(SUMPRODUCT(INDIRECT("'Word Vectors'!B"&amp;MATCH($B$2,'Word Vectors'!A:A,0)&amp;":Z"&amp;MATCH($B$2,'Word Vectors'!A:A,0)),INDIRECT("'Word Vectors'!B"&amp;MATCH($B$2,'Word Vectors'!A:A,0)&amp;":Z"&amp;MATCH($B$2,'Word Vectors'!A:A,0))))*SQRT(SUMPRODUCT(INDIRECT("'Word Vectors'!B811:Z811"),INDIRECT("'Word Vectors'!B811:Z811")))))</f>
        <v/>
      </c>
      <c r="AEH2">
        <f>IF(OR($B$2="",ISNA(MATCH($B$2,'Word Vectors'!A:A,0)),'Word Vectors'!A812=$B$2),"",SUMPRODUCT(INDIRECT("'Word Vectors'!B"&amp;MATCH($B$2,'Word Vectors'!A:A,0)&amp;":Z"&amp;MATCH($B$2,'Word Vectors'!A:A,0)),INDIRECT("'Word Vectors'!B812:Z812"))/(SQRT(SUMPRODUCT(INDIRECT("'Word Vectors'!B"&amp;MATCH($B$2,'Word Vectors'!A:A,0)&amp;":Z"&amp;MATCH($B$2,'Word Vectors'!A:A,0)),INDIRECT("'Word Vectors'!B"&amp;MATCH($B$2,'Word Vectors'!A:A,0)&amp;":Z"&amp;MATCH($B$2,'Word Vectors'!A:A,0))))*SQRT(SUMPRODUCT(INDIRECT("'Word Vectors'!B812:Z812"),INDIRECT("'Word Vectors'!B812:Z812")))))</f>
        <v/>
      </c>
      <c r="AEI2">
        <f>IF(OR($B$2="",ISNA(MATCH($B$2,'Word Vectors'!A:A,0)),'Word Vectors'!A813=$B$2),"",SUMPRODUCT(INDIRECT("'Word Vectors'!B"&amp;MATCH($B$2,'Word Vectors'!A:A,0)&amp;":Z"&amp;MATCH($B$2,'Word Vectors'!A:A,0)),INDIRECT("'Word Vectors'!B813:Z813"))/(SQRT(SUMPRODUCT(INDIRECT("'Word Vectors'!B"&amp;MATCH($B$2,'Word Vectors'!A:A,0)&amp;":Z"&amp;MATCH($B$2,'Word Vectors'!A:A,0)),INDIRECT("'Word Vectors'!B"&amp;MATCH($B$2,'Word Vectors'!A:A,0)&amp;":Z"&amp;MATCH($B$2,'Word Vectors'!A:A,0))))*SQRT(SUMPRODUCT(INDIRECT("'Word Vectors'!B813:Z813"),INDIRECT("'Word Vectors'!B813:Z813")))))</f>
        <v/>
      </c>
      <c r="AEJ2">
        <f>IF(OR($B$2="",ISNA(MATCH($B$2,'Word Vectors'!A:A,0)),'Word Vectors'!A814=$B$2),"",SUMPRODUCT(INDIRECT("'Word Vectors'!B"&amp;MATCH($B$2,'Word Vectors'!A:A,0)&amp;":Z"&amp;MATCH($B$2,'Word Vectors'!A:A,0)),INDIRECT("'Word Vectors'!B814:Z814"))/(SQRT(SUMPRODUCT(INDIRECT("'Word Vectors'!B"&amp;MATCH($B$2,'Word Vectors'!A:A,0)&amp;":Z"&amp;MATCH($B$2,'Word Vectors'!A:A,0)),INDIRECT("'Word Vectors'!B"&amp;MATCH($B$2,'Word Vectors'!A:A,0)&amp;":Z"&amp;MATCH($B$2,'Word Vectors'!A:A,0))))*SQRT(SUMPRODUCT(INDIRECT("'Word Vectors'!B814:Z814"),INDIRECT("'Word Vectors'!B814:Z814")))))</f>
        <v/>
      </c>
      <c r="AEK2">
        <f>IF(OR($B$2="",ISNA(MATCH($B$2,'Word Vectors'!A:A,0)),'Word Vectors'!A815=$B$2),"",SUMPRODUCT(INDIRECT("'Word Vectors'!B"&amp;MATCH($B$2,'Word Vectors'!A:A,0)&amp;":Z"&amp;MATCH($B$2,'Word Vectors'!A:A,0)),INDIRECT("'Word Vectors'!B815:Z815"))/(SQRT(SUMPRODUCT(INDIRECT("'Word Vectors'!B"&amp;MATCH($B$2,'Word Vectors'!A:A,0)&amp;":Z"&amp;MATCH($B$2,'Word Vectors'!A:A,0)),INDIRECT("'Word Vectors'!B"&amp;MATCH($B$2,'Word Vectors'!A:A,0)&amp;":Z"&amp;MATCH($B$2,'Word Vectors'!A:A,0))))*SQRT(SUMPRODUCT(INDIRECT("'Word Vectors'!B815:Z815"),INDIRECT("'Word Vectors'!B815:Z815")))))</f>
        <v/>
      </c>
      <c r="AEL2">
        <f>IF(OR($B$2="",ISNA(MATCH($B$2,'Word Vectors'!A:A,0)),'Word Vectors'!A816=$B$2),"",SUMPRODUCT(INDIRECT("'Word Vectors'!B"&amp;MATCH($B$2,'Word Vectors'!A:A,0)&amp;":Z"&amp;MATCH($B$2,'Word Vectors'!A:A,0)),INDIRECT("'Word Vectors'!B816:Z816"))/(SQRT(SUMPRODUCT(INDIRECT("'Word Vectors'!B"&amp;MATCH($B$2,'Word Vectors'!A:A,0)&amp;":Z"&amp;MATCH($B$2,'Word Vectors'!A:A,0)),INDIRECT("'Word Vectors'!B"&amp;MATCH($B$2,'Word Vectors'!A:A,0)&amp;":Z"&amp;MATCH($B$2,'Word Vectors'!A:A,0))))*SQRT(SUMPRODUCT(INDIRECT("'Word Vectors'!B816:Z816"),INDIRECT("'Word Vectors'!B816:Z816")))))</f>
        <v/>
      </c>
      <c r="AEM2">
        <f>IF(OR($B$2="",ISNA(MATCH($B$2,'Word Vectors'!A:A,0)),'Word Vectors'!A817=$B$2),"",SUMPRODUCT(INDIRECT("'Word Vectors'!B"&amp;MATCH($B$2,'Word Vectors'!A:A,0)&amp;":Z"&amp;MATCH($B$2,'Word Vectors'!A:A,0)),INDIRECT("'Word Vectors'!B817:Z817"))/(SQRT(SUMPRODUCT(INDIRECT("'Word Vectors'!B"&amp;MATCH($B$2,'Word Vectors'!A:A,0)&amp;":Z"&amp;MATCH($B$2,'Word Vectors'!A:A,0)),INDIRECT("'Word Vectors'!B"&amp;MATCH($B$2,'Word Vectors'!A:A,0)&amp;":Z"&amp;MATCH($B$2,'Word Vectors'!A:A,0))))*SQRT(SUMPRODUCT(INDIRECT("'Word Vectors'!B817:Z817"),INDIRECT("'Word Vectors'!B817:Z817")))))</f>
        <v/>
      </c>
      <c r="AEN2">
        <f>IF(OR($B$2="",ISNA(MATCH($B$2,'Word Vectors'!A:A,0)),'Word Vectors'!A818=$B$2),"",SUMPRODUCT(INDIRECT("'Word Vectors'!B"&amp;MATCH($B$2,'Word Vectors'!A:A,0)&amp;":Z"&amp;MATCH($B$2,'Word Vectors'!A:A,0)),INDIRECT("'Word Vectors'!B818:Z818"))/(SQRT(SUMPRODUCT(INDIRECT("'Word Vectors'!B"&amp;MATCH($B$2,'Word Vectors'!A:A,0)&amp;":Z"&amp;MATCH($B$2,'Word Vectors'!A:A,0)),INDIRECT("'Word Vectors'!B"&amp;MATCH($B$2,'Word Vectors'!A:A,0)&amp;":Z"&amp;MATCH($B$2,'Word Vectors'!A:A,0))))*SQRT(SUMPRODUCT(INDIRECT("'Word Vectors'!B818:Z818"),INDIRECT("'Word Vectors'!B818:Z818")))))</f>
        <v/>
      </c>
      <c r="AEO2">
        <f>IF(OR($B$2="",ISNA(MATCH($B$2,'Word Vectors'!A:A,0)),'Word Vectors'!A819=$B$2),"",SUMPRODUCT(INDIRECT("'Word Vectors'!B"&amp;MATCH($B$2,'Word Vectors'!A:A,0)&amp;":Z"&amp;MATCH($B$2,'Word Vectors'!A:A,0)),INDIRECT("'Word Vectors'!B819:Z819"))/(SQRT(SUMPRODUCT(INDIRECT("'Word Vectors'!B"&amp;MATCH($B$2,'Word Vectors'!A:A,0)&amp;":Z"&amp;MATCH($B$2,'Word Vectors'!A:A,0)),INDIRECT("'Word Vectors'!B"&amp;MATCH($B$2,'Word Vectors'!A:A,0)&amp;":Z"&amp;MATCH($B$2,'Word Vectors'!A:A,0))))*SQRT(SUMPRODUCT(INDIRECT("'Word Vectors'!B819:Z819"),INDIRECT("'Word Vectors'!B819:Z819")))))</f>
        <v/>
      </c>
      <c r="AEP2">
        <f>IF(OR($B$2="",ISNA(MATCH($B$2,'Word Vectors'!A:A,0)),'Word Vectors'!A820=$B$2),"",SUMPRODUCT(INDIRECT("'Word Vectors'!B"&amp;MATCH($B$2,'Word Vectors'!A:A,0)&amp;":Z"&amp;MATCH($B$2,'Word Vectors'!A:A,0)),INDIRECT("'Word Vectors'!B820:Z820"))/(SQRT(SUMPRODUCT(INDIRECT("'Word Vectors'!B"&amp;MATCH($B$2,'Word Vectors'!A:A,0)&amp;":Z"&amp;MATCH($B$2,'Word Vectors'!A:A,0)),INDIRECT("'Word Vectors'!B"&amp;MATCH($B$2,'Word Vectors'!A:A,0)&amp;":Z"&amp;MATCH($B$2,'Word Vectors'!A:A,0))))*SQRT(SUMPRODUCT(INDIRECT("'Word Vectors'!B820:Z820"),INDIRECT("'Word Vectors'!B820:Z820")))))</f>
        <v/>
      </c>
      <c r="AEQ2">
        <f>IF(OR($B$2="",ISNA(MATCH($B$2,'Word Vectors'!A:A,0)),'Word Vectors'!A821=$B$2),"",SUMPRODUCT(INDIRECT("'Word Vectors'!B"&amp;MATCH($B$2,'Word Vectors'!A:A,0)&amp;":Z"&amp;MATCH($B$2,'Word Vectors'!A:A,0)),INDIRECT("'Word Vectors'!B821:Z821"))/(SQRT(SUMPRODUCT(INDIRECT("'Word Vectors'!B"&amp;MATCH($B$2,'Word Vectors'!A:A,0)&amp;":Z"&amp;MATCH($B$2,'Word Vectors'!A:A,0)),INDIRECT("'Word Vectors'!B"&amp;MATCH($B$2,'Word Vectors'!A:A,0)&amp;":Z"&amp;MATCH($B$2,'Word Vectors'!A:A,0))))*SQRT(SUMPRODUCT(INDIRECT("'Word Vectors'!B821:Z821"),INDIRECT("'Word Vectors'!B821:Z821")))))</f>
        <v/>
      </c>
      <c r="AER2">
        <f>IF(OR($B$2="",ISNA(MATCH($B$2,'Word Vectors'!A:A,0)),'Word Vectors'!A822=$B$2),"",SUMPRODUCT(INDIRECT("'Word Vectors'!B"&amp;MATCH($B$2,'Word Vectors'!A:A,0)&amp;":Z"&amp;MATCH($B$2,'Word Vectors'!A:A,0)),INDIRECT("'Word Vectors'!B822:Z822"))/(SQRT(SUMPRODUCT(INDIRECT("'Word Vectors'!B"&amp;MATCH($B$2,'Word Vectors'!A:A,0)&amp;":Z"&amp;MATCH($B$2,'Word Vectors'!A:A,0)),INDIRECT("'Word Vectors'!B"&amp;MATCH($B$2,'Word Vectors'!A:A,0)&amp;":Z"&amp;MATCH($B$2,'Word Vectors'!A:A,0))))*SQRT(SUMPRODUCT(INDIRECT("'Word Vectors'!B822:Z822"),INDIRECT("'Word Vectors'!B822:Z822")))))</f>
        <v/>
      </c>
      <c r="AES2">
        <f>IF(OR($B$2="",ISNA(MATCH($B$2,'Word Vectors'!A:A,0)),'Word Vectors'!A823=$B$2),"",SUMPRODUCT(INDIRECT("'Word Vectors'!B"&amp;MATCH($B$2,'Word Vectors'!A:A,0)&amp;":Z"&amp;MATCH($B$2,'Word Vectors'!A:A,0)),INDIRECT("'Word Vectors'!B823:Z823"))/(SQRT(SUMPRODUCT(INDIRECT("'Word Vectors'!B"&amp;MATCH($B$2,'Word Vectors'!A:A,0)&amp;":Z"&amp;MATCH($B$2,'Word Vectors'!A:A,0)),INDIRECT("'Word Vectors'!B"&amp;MATCH($B$2,'Word Vectors'!A:A,0)&amp;":Z"&amp;MATCH($B$2,'Word Vectors'!A:A,0))))*SQRT(SUMPRODUCT(INDIRECT("'Word Vectors'!B823:Z823"),INDIRECT("'Word Vectors'!B823:Z823")))))</f>
        <v/>
      </c>
      <c r="AET2">
        <f>IF(OR($B$2="",ISNA(MATCH($B$2,'Word Vectors'!A:A,0)),'Word Vectors'!A824=$B$2),"",SUMPRODUCT(INDIRECT("'Word Vectors'!B"&amp;MATCH($B$2,'Word Vectors'!A:A,0)&amp;":Z"&amp;MATCH($B$2,'Word Vectors'!A:A,0)),INDIRECT("'Word Vectors'!B824:Z824"))/(SQRT(SUMPRODUCT(INDIRECT("'Word Vectors'!B"&amp;MATCH($B$2,'Word Vectors'!A:A,0)&amp;":Z"&amp;MATCH($B$2,'Word Vectors'!A:A,0)),INDIRECT("'Word Vectors'!B"&amp;MATCH($B$2,'Word Vectors'!A:A,0)&amp;":Z"&amp;MATCH($B$2,'Word Vectors'!A:A,0))))*SQRT(SUMPRODUCT(INDIRECT("'Word Vectors'!B824:Z824"),INDIRECT("'Word Vectors'!B824:Z824")))))</f>
        <v/>
      </c>
      <c r="AEU2">
        <f>IF(OR($B$2="",ISNA(MATCH($B$2,'Word Vectors'!A:A,0)),'Word Vectors'!A825=$B$2),"",SUMPRODUCT(INDIRECT("'Word Vectors'!B"&amp;MATCH($B$2,'Word Vectors'!A:A,0)&amp;":Z"&amp;MATCH($B$2,'Word Vectors'!A:A,0)),INDIRECT("'Word Vectors'!B825:Z825"))/(SQRT(SUMPRODUCT(INDIRECT("'Word Vectors'!B"&amp;MATCH($B$2,'Word Vectors'!A:A,0)&amp;":Z"&amp;MATCH($B$2,'Word Vectors'!A:A,0)),INDIRECT("'Word Vectors'!B"&amp;MATCH($B$2,'Word Vectors'!A:A,0)&amp;":Z"&amp;MATCH($B$2,'Word Vectors'!A:A,0))))*SQRT(SUMPRODUCT(INDIRECT("'Word Vectors'!B825:Z825"),INDIRECT("'Word Vectors'!B825:Z825")))))</f>
        <v/>
      </c>
      <c r="AEV2">
        <f>IF(OR($B$2="",ISNA(MATCH($B$2,'Word Vectors'!A:A,0)),'Word Vectors'!A826=$B$2),"",SUMPRODUCT(INDIRECT("'Word Vectors'!B"&amp;MATCH($B$2,'Word Vectors'!A:A,0)&amp;":Z"&amp;MATCH($B$2,'Word Vectors'!A:A,0)),INDIRECT("'Word Vectors'!B826:Z826"))/(SQRT(SUMPRODUCT(INDIRECT("'Word Vectors'!B"&amp;MATCH($B$2,'Word Vectors'!A:A,0)&amp;":Z"&amp;MATCH($B$2,'Word Vectors'!A:A,0)),INDIRECT("'Word Vectors'!B"&amp;MATCH($B$2,'Word Vectors'!A:A,0)&amp;":Z"&amp;MATCH($B$2,'Word Vectors'!A:A,0))))*SQRT(SUMPRODUCT(INDIRECT("'Word Vectors'!B826:Z826"),INDIRECT("'Word Vectors'!B826:Z826")))))</f>
        <v/>
      </c>
      <c r="AEW2">
        <f>IF(OR($B$2="",ISNA(MATCH($B$2,'Word Vectors'!A:A,0)),'Word Vectors'!A827=$B$2),"",SUMPRODUCT(INDIRECT("'Word Vectors'!B"&amp;MATCH($B$2,'Word Vectors'!A:A,0)&amp;":Z"&amp;MATCH($B$2,'Word Vectors'!A:A,0)),INDIRECT("'Word Vectors'!B827:Z827"))/(SQRT(SUMPRODUCT(INDIRECT("'Word Vectors'!B"&amp;MATCH($B$2,'Word Vectors'!A:A,0)&amp;":Z"&amp;MATCH($B$2,'Word Vectors'!A:A,0)),INDIRECT("'Word Vectors'!B"&amp;MATCH($B$2,'Word Vectors'!A:A,0)&amp;":Z"&amp;MATCH($B$2,'Word Vectors'!A:A,0))))*SQRT(SUMPRODUCT(INDIRECT("'Word Vectors'!B827:Z827"),INDIRECT("'Word Vectors'!B827:Z827")))))</f>
        <v/>
      </c>
      <c r="AEX2">
        <f>IF(OR($B$2="",ISNA(MATCH($B$2,'Word Vectors'!A:A,0)),'Word Vectors'!A828=$B$2),"",SUMPRODUCT(INDIRECT("'Word Vectors'!B"&amp;MATCH($B$2,'Word Vectors'!A:A,0)&amp;":Z"&amp;MATCH($B$2,'Word Vectors'!A:A,0)),INDIRECT("'Word Vectors'!B828:Z828"))/(SQRT(SUMPRODUCT(INDIRECT("'Word Vectors'!B"&amp;MATCH($B$2,'Word Vectors'!A:A,0)&amp;":Z"&amp;MATCH($B$2,'Word Vectors'!A:A,0)),INDIRECT("'Word Vectors'!B"&amp;MATCH($B$2,'Word Vectors'!A:A,0)&amp;":Z"&amp;MATCH($B$2,'Word Vectors'!A:A,0))))*SQRT(SUMPRODUCT(INDIRECT("'Word Vectors'!B828:Z828"),INDIRECT("'Word Vectors'!B828:Z828")))))</f>
        <v/>
      </c>
      <c r="AEY2">
        <f>IF(OR($B$2="",ISNA(MATCH($B$2,'Word Vectors'!A:A,0)),'Word Vectors'!A829=$B$2),"",SUMPRODUCT(INDIRECT("'Word Vectors'!B"&amp;MATCH($B$2,'Word Vectors'!A:A,0)&amp;":Z"&amp;MATCH($B$2,'Word Vectors'!A:A,0)),INDIRECT("'Word Vectors'!B829:Z829"))/(SQRT(SUMPRODUCT(INDIRECT("'Word Vectors'!B"&amp;MATCH($B$2,'Word Vectors'!A:A,0)&amp;":Z"&amp;MATCH($B$2,'Word Vectors'!A:A,0)),INDIRECT("'Word Vectors'!B"&amp;MATCH($B$2,'Word Vectors'!A:A,0)&amp;":Z"&amp;MATCH($B$2,'Word Vectors'!A:A,0))))*SQRT(SUMPRODUCT(INDIRECT("'Word Vectors'!B829:Z829"),INDIRECT("'Word Vectors'!B829:Z829")))))</f>
        <v/>
      </c>
      <c r="AEZ2">
        <f>IF(OR($B$2="",ISNA(MATCH($B$2,'Word Vectors'!A:A,0)),'Word Vectors'!A830=$B$2),"",SUMPRODUCT(INDIRECT("'Word Vectors'!B"&amp;MATCH($B$2,'Word Vectors'!A:A,0)&amp;":Z"&amp;MATCH($B$2,'Word Vectors'!A:A,0)),INDIRECT("'Word Vectors'!B830:Z830"))/(SQRT(SUMPRODUCT(INDIRECT("'Word Vectors'!B"&amp;MATCH($B$2,'Word Vectors'!A:A,0)&amp;":Z"&amp;MATCH($B$2,'Word Vectors'!A:A,0)),INDIRECT("'Word Vectors'!B"&amp;MATCH($B$2,'Word Vectors'!A:A,0)&amp;":Z"&amp;MATCH($B$2,'Word Vectors'!A:A,0))))*SQRT(SUMPRODUCT(INDIRECT("'Word Vectors'!B830:Z830"),INDIRECT("'Word Vectors'!B830:Z830")))))</f>
        <v/>
      </c>
      <c r="AFA2">
        <f>IF(OR($B$2="",ISNA(MATCH($B$2,'Word Vectors'!A:A,0)),'Word Vectors'!A831=$B$2),"",SUMPRODUCT(INDIRECT("'Word Vectors'!B"&amp;MATCH($B$2,'Word Vectors'!A:A,0)&amp;":Z"&amp;MATCH($B$2,'Word Vectors'!A:A,0)),INDIRECT("'Word Vectors'!B831:Z831"))/(SQRT(SUMPRODUCT(INDIRECT("'Word Vectors'!B"&amp;MATCH($B$2,'Word Vectors'!A:A,0)&amp;":Z"&amp;MATCH($B$2,'Word Vectors'!A:A,0)),INDIRECT("'Word Vectors'!B"&amp;MATCH($B$2,'Word Vectors'!A:A,0)&amp;":Z"&amp;MATCH($B$2,'Word Vectors'!A:A,0))))*SQRT(SUMPRODUCT(INDIRECT("'Word Vectors'!B831:Z831"),INDIRECT("'Word Vectors'!B831:Z831")))))</f>
        <v/>
      </c>
      <c r="AFB2">
        <f>IF(OR($B$2="",ISNA(MATCH($B$2,'Word Vectors'!A:A,0)),'Word Vectors'!A832=$B$2),"",SUMPRODUCT(INDIRECT("'Word Vectors'!B"&amp;MATCH($B$2,'Word Vectors'!A:A,0)&amp;":Z"&amp;MATCH($B$2,'Word Vectors'!A:A,0)),INDIRECT("'Word Vectors'!B832:Z832"))/(SQRT(SUMPRODUCT(INDIRECT("'Word Vectors'!B"&amp;MATCH($B$2,'Word Vectors'!A:A,0)&amp;":Z"&amp;MATCH($B$2,'Word Vectors'!A:A,0)),INDIRECT("'Word Vectors'!B"&amp;MATCH($B$2,'Word Vectors'!A:A,0)&amp;":Z"&amp;MATCH($B$2,'Word Vectors'!A:A,0))))*SQRT(SUMPRODUCT(INDIRECT("'Word Vectors'!B832:Z832"),INDIRECT("'Word Vectors'!B832:Z832")))))</f>
        <v/>
      </c>
      <c r="AFC2">
        <f>IF(OR($B$2="",ISNA(MATCH($B$2,'Word Vectors'!A:A,0)),'Word Vectors'!A833=$B$2),"",SUMPRODUCT(INDIRECT("'Word Vectors'!B"&amp;MATCH($B$2,'Word Vectors'!A:A,0)&amp;":Z"&amp;MATCH($B$2,'Word Vectors'!A:A,0)),INDIRECT("'Word Vectors'!B833:Z833"))/(SQRT(SUMPRODUCT(INDIRECT("'Word Vectors'!B"&amp;MATCH($B$2,'Word Vectors'!A:A,0)&amp;":Z"&amp;MATCH($B$2,'Word Vectors'!A:A,0)),INDIRECT("'Word Vectors'!B"&amp;MATCH($B$2,'Word Vectors'!A:A,0)&amp;":Z"&amp;MATCH($B$2,'Word Vectors'!A:A,0))))*SQRT(SUMPRODUCT(INDIRECT("'Word Vectors'!B833:Z833"),INDIRECT("'Word Vectors'!B833:Z833")))))</f>
        <v/>
      </c>
      <c r="AFD2">
        <f>IF(OR($B$2="",ISNA(MATCH($B$2,'Word Vectors'!A:A,0)),'Word Vectors'!A834=$B$2),"",SUMPRODUCT(INDIRECT("'Word Vectors'!B"&amp;MATCH($B$2,'Word Vectors'!A:A,0)&amp;":Z"&amp;MATCH($B$2,'Word Vectors'!A:A,0)),INDIRECT("'Word Vectors'!B834:Z834"))/(SQRT(SUMPRODUCT(INDIRECT("'Word Vectors'!B"&amp;MATCH($B$2,'Word Vectors'!A:A,0)&amp;":Z"&amp;MATCH($B$2,'Word Vectors'!A:A,0)),INDIRECT("'Word Vectors'!B"&amp;MATCH($B$2,'Word Vectors'!A:A,0)&amp;":Z"&amp;MATCH($B$2,'Word Vectors'!A:A,0))))*SQRT(SUMPRODUCT(INDIRECT("'Word Vectors'!B834:Z834"),INDIRECT("'Word Vectors'!B834:Z834")))))</f>
        <v/>
      </c>
      <c r="AFE2">
        <f>IF(OR($B$2="",ISNA(MATCH($B$2,'Word Vectors'!A:A,0)),'Word Vectors'!A835=$B$2),"",SUMPRODUCT(INDIRECT("'Word Vectors'!B"&amp;MATCH($B$2,'Word Vectors'!A:A,0)&amp;":Z"&amp;MATCH($B$2,'Word Vectors'!A:A,0)),INDIRECT("'Word Vectors'!B835:Z835"))/(SQRT(SUMPRODUCT(INDIRECT("'Word Vectors'!B"&amp;MATCH($B$2,'Word Vectors'!A:A,0)&amp;":Z"&amp;MATCH($B$2,'Word Vectors'!A:A,0)),INDIRECT("'Word Vectors'!B"&amp;MATCH($B$2,'Word Vectors'!A:A,0)&amp;":Z"&amp;MATCH($B$2,'Word Vectors'!A:A,0))))*SQRT(SUMPRODUCT(INDIRECT("'Word Vectors'!B835:Z835"),INDIRECT("'Word Vectors'!B835:Z835")))))</f>
        <v/>
      </c>
      <c r="AFF2">
        <f>IF(OR($B$2="",ISNA(MATCH($B$2,'Word Vectors'!A:A,0)),'Word Vectors'!A836=$B$2),"",SUMPRODUCT(INDIRECT("'Word Vectors'!B"&amp;MATCH($B$2,'Word Vectors'!A:A,0)&amp;":Z"&amp;MATCH($B$2,'Word Vectors'!A:A,0)),INDIRECT("'Word Vectors'!B836:Z836"))/(SQRT(SUMPRODUCT(INDIRECT("'Word Vectors'!B"&amp;MATCH($B$2,'Word Vectors'!A:A,0)&amp;":Z"&amp;MATCH($B$2,'Word Vectors'!A:A,0)),INDIRECT("'Word Vectors'!B"&amp;MATCH($B$2,'Word Vectors'!A:A,0)&amp;":Z"&amp;MATCH($B$2,'Word Vectors'!A:A,0))))*SQRT(SUMPRODUCT(INDIRECT("'Word Vectors'!B836:Z836"),INDIRECT("'Word Vectors'!B836:Z836")))))</f>
        <v/>
      </c>
      <c r="AFG2">
        <f>IF(OR($B$2="",ISNA(MATCH($B$2,'Word Vectors'!A:A,0)),'Word Vectors'!A837=$B$2),"",SUMPRODUCT(INDIRECT("'Word Vectors'!B"&amp;MATCH($B$2,'Word Vectors'!A:A,0)&amp;":Z"&amp;MATCH($B$2,'Word Vectors'!A:A,0)),INDIRECT("'Word Vectors'!B837:Z837"))/(SQRT(SUMPRODUCT(INDIRECT("'Word Vectors'!B"&amp;MATCH($B$2,'Word Vectors'!A:A,0)&amp;":Z"&amp;MATCH($B$2,'Word Vectors'!A:A,0)),INDIRECT("'Word Vectors'!B"&amp;MATCH($B$2,'Word Vectors'!A:A,0)&amp;":Z"&amp;MATCH($B$2,'Word Vectors'!A:A,0))))*SQRT(SUMPRODUCT(INDIRECT("'Word Vectors'!B837:Z837"),INDIRECT("'Word Vectors'!B837:Z837")))))</f>
        <v/>
      </c>
      <c r="AFH2">
        <f>IF(OR($B$2="",ISNA(MATCH($B$2,'Word Vectors'!A:A,0)),'Word Vectors'!A838=$B$2),"",SUMPRODUCT(INDIRECT("'Word Vectors'!B"&amp;MATCH($B$2,'Word Vectors'!A:A,0)&amp;":Z"&amp;MATCH($B$2,'Word Vectors'!A:A,0)),INDIRECT("'Word Vectors'!B838:Z838"))/(SQRT(SUMPRODUCT(INDIRECT("'Word Vectors'!B"&amp;MATCH($B$2,'Word Vectors'!A:A,0)&amp;":Z"&amp;MATCH($B$2,'Word Vectors'!A:A,0)),INDIRECT("'Word Vectors'!B"&amp;MATCH($B$2,'Word Vectors'!A:A,0)&amp;":Z"&amp;MATCH($B$2,'Word Vectors'!A:A,0))))*SQRT(SUMPRODUCT(INDIRECT("'Word Vectors'!B838:Z838"),INDIRECT("'Word Vectors'!B838:Z838")))))</f>
        <v/>
      </c>
      <c r="AFI2">
        <f>IF(OR($B$2="",ISNA(MATCH($B$2,'Word Vectors'!A:A,0)),'Word Vectors'!A839=$B$2),"",SUMPRODUCT(INDIRECT("'Word Vectors'!B"&amp;MATCH($B$2,'Word Vectors'!A:A,0)&amp;":Z"&amp;MATCH($B$2,'Word Vectors'!A:A,0)),INDIRECT("'Word Vectors'!B839:Z839"))/(SQRT(SUMPRODUCT(INDIRECT("'Word Vectors'!B"&amp;MATCH($B$2,'Word Vectors'!A:A,0)&amp;":Z"&amp;MATCH($B$2,'Word Vectors'!A:A,0)),INDIRECT("'Word Vectors'!B"&amp;MATCH($B$2,'Word Vectors'!A:A,0)&amp;":Z"&amp;MATCH($B$2,'Word Vectors'!A:A,0))))*SQRT(SUMPRODUCT(INDIRECT("'Word Vectors'!B839:Z839"),INDIRECT("'Word Vectors'!B839:Z839")))))</f>
        <v/>
      </c>
      <c r="AFJ2">
        <f>IF(OR($B$2="",ISNA(MATCH($B$2,'Word Vectors'!A:A,0)),'Word Vectors'!A840=$B$2),"",SUMPRODUCT(INDIRECT("'Word Vectors'!B"&amp;MATCH($B$2,'Word Vectors'!A:A,0)&amp;":Z"&amp;MATCH($B$2,'Word Vectors'!A:A,0)),INDIRECT("'Word Vectors'!B840:Z840"))/(SQRT(SUMPRODUCT(INDIRECT("'Word Vectors'!B"&amp;MATCH($B$2,'Word Vectors'!A:A,0)&amp;":Z"&amp;MATCH($B$2,'Word Vectors'!A:A,0)),INDIRECT("'Word Vectors'!B"&amp;MATCH($B$2,'Word Vectors'!A:A,0)&amp;":Z"&amp;MATCH($B$2,'Word Vectors'!A:A,0))))*SQRT(SUMPRODUCT(INDIRECT("'Word Vectors'!B840:Z840"),INDIRECT("'Word Vectors'!B840:Z840")))))</f>
        <v/>
      </c>
      <c r="AFK2">
        <f>IF(OR($B$2="",ISNA(MATCH($B$2,'Word Vectors'!A:A,0)),'Word Vectors'!A841=$B$2),"",SUMPRODUCT(INDIRECT("'Word Vectors'!B"&amp;MATCH($B$2,'Word Vectors'!A:A,0)&amp;":Z"&amp;MATCH($B$2,'Word Vectors'!A:A,0)),INDIRECT("'Word Vectors'!B841:Z841"))/(SQRT(SUMPRODUCT(INDIRECT("'Word Vectors'!B"&amp;MATCH($B$2,'Word Vectors'!A:A,0)&amp;":Z"&amp;MATCH($B$2,'Word Vectors'!A:A,0)),INDIRECT("'Word Vectors'!B"&amp;MATCH($B$2,'Word Vectors'!A:A,0)&amp;":Z"&amp;MATCH($B$2,'Word Vectors'!A:A,0))))*SQRT(SUMPRODUCT(INDIRECT("'Word Vectors'!B841:Z841"),INDIRECT("'Word Vectors'!B841:Z841")))))</f>
        <v/>
      </c>
      <c r="AFL2">
        <f>IF(OR($B$2="",ISNA(MATCH($B$2,'Word Vectors'!A:A,0)),'Word Vectors'!A842=$B$2),"",SUMPRODUCT(INDIRECT("'Word Vectors'!B"&amp;MATCH($B$2,'Word Vectors'!A:A,0)&amp;":Z"&amp;MATCH($B$2,'Word Vectors'!A:A,0)),INDIRECT("'Word Vectors'!B842:Z842"))/(SQRT(SUMPRODUCT(INDIRECT("'Word Vectors'!B"&amp;MATCH($B$2,'Word Vectors'!A:A,0)&amp;":Z"&amp;MATCH($B$2,'Word Vectors'!A:A,0)),INDIRECT("'Word Vectors'!B"&amp;MATCH($B$2,'Word Vectors'!A:A,0)&amp;":Z"&amp;MATCH($B$2,'Word Vectors'!A:A,0))))*SQRT(SUMPRODUCT(INDIRECT("'Word Vectors'!B842:Z842"),INDIRECT("'Word Vectors'!B842:Z842")))))</f>
        <v/>
      </c>
      <c r="AFM2">
        <f>IF(OR($B$2="",ISNA(MATCH($B$2,'Word Vectors'!A:A,0)),'Word Vectors'!A843=$B$2),"",SUMPRODUCT(INDIRECT("'Word Vectors'!B"&amp;MATCH($B$2,'Word Vectors'!A:A,0)&amp;":Z"&amp;MATCH($B$2,'Word Vectors'!A:A,0)),INDIRECT("'Word Vectors'!B843:Z843"))/(SQRT(SUMPRODUCT(INDIRECT("'Word Vectors'!B"&amp;MATCH($B$2,'Word Vectors'!A:A,0)&amp;":Z"&amp;MATCH($B$2,'Word Vectors'!A:A,0)),INDIRECT("'Word Vectors'!B"&amp;MATCH($B$2,'Word Vectors'!A:A,0)&amp;":Z"&amp;MATCH($B$2,'Word Vectors'!A:A,0))))*SQRT(SUMPRODUCT(INDIRECT("'Word Vectors'!B843:Z843"),INDIRECT("'Word Vectors'!B843:Z843")))))</f>
        <v/>
      </c>
      <c r="AFN2">
        <f>IF(OR($B$2="",ISNA(MATCH($B$2,'Word Vectors'!A:A,0)),'Word Vectors'!A844=$B$2),"",SUMPRODUCT(INDIRECT("'Word Vectors'!B"&amp;MATCH($B$2,'Word Vectors'!A:A,0)&amp;":Z"&amp;MATCH($B$2,'Word Vectors'!A:A,0)),INDIRECT("'Word Vectors'!B844:Z844"))/(SQRT(SUMPRODUCT(INDIRECT("'Word Vectors'!B"&amp;MATCH($B$2,'Word Vectors'!A:A,0)&amp;":Z"&amp;MATCH($B$2,'Word Vectors'!A:A,0)),INDIRECT("'Word Vectors'!B"&amp;MATCH($B$2,'Word Vectors'!A:A,0)&amp;":Z"&amp;MATCH($B$2,'Word Vectors'!A:A,0))))*SQRT(SUMPRODUCT(INDIRECT("'Word Vectors'!B844:Z844"),INDIRECT("'Word Vectors'!B844:Z844")))))</f>
        <v/>
      </c>
      <c r="AFO2">
        <f>IF(OR($B$2="",ISNA(MATCH($B$2,'Word Vectors'!A:A,0)),'Word Vectors'!A845=$B$2),"",SUMPRODUCT(INDIRECT("'Word Vectors'!B"&amp;MATCH($B$2,'Word Vectors'!A:A,0)&amp;":Z"&amp;MATCH($B$2,'Word Vectors'!A:A,0)),INDIRECT("'Word Vectors'!B845:Z845"))/(SQRT(SUMPRODUCT(INDIRECT("'Word Vectors'!B"&amp;MATCH($B$2,'Word Vectors'!A:A,0)&amp;":Z"&amp;MATCH($B$2,'Word Vectors'!A:A,0)),INDIRECT("'Word Vectors'!B"&amp;MATCH($B$2,'Word Vectors'!A:A,0)&amp;":Z"&amp;MATCH($B$2,'Word Vectors'!A:A,0))))*SQRT(SUMPRODUCT(INDIRECT("'Word Vectors'!B845:Z845"),INDIRECT("'Word Vectors'!B845:Z845")))))</f>
        <v/>
      </c>
      <c r="AFP2">
        <f>IF(OR($B$2="",ISNA(MATCH($B$2,'Word Vectors'!A:A,0)),'Word Vectors'!A846=$B$2),"",SUMPRODUCT(INDIRECT("'Word Vectors'!B"&amp;MATCH($B$2,'Word Vectors'!A:A,0)&amp;":Z"&amp;MATCH($B$2,'Word Vectors'!A:A,0)),INDIRECT("'Word Vectors'!B846:Z846"))/(SQRT(SUMPRODUCT(INDIRECT("'Word Vectors'!B"&amp;MATCH($B$2,'Word Vectors'!A:A,0)&amp;":Z"&amp;MATCH($B$2,'Word Vectors'!A:A,0)),INDIRECT("'Word Vectors'!B"&amp;MATCH($B$2,'Word Vectors'!A:A,0)&amp;":Z"&amp;MATCH($B$2,'Word Vectors'!A:A,0))))*SQRT(SUMPRODUCT(INDIRECT("'Word Vectors'!B846:Z846"),INDIRECT("'Word Vectors'!B846:Z846")))))</f>
        <v/>
      </c>
      <c r="AFQ2">
        <f>IF(OR($B$2="",ISNA(MATCH($B$2,'Word Vectors'!A:A,0)),'Word Vectors'!A847=$B$2),"",SUMPRODUCT(INDIRECT("'Word Vectors'!B"&amp;MATCH($B$2,'Word Vectors'!A:A,0)&amp;":Z"&amp;MATCH($B$2,'Word Vectors'!A:A,0)),INDIRECT("'Word Vectors'!B847:Z847"))/(SQRT(SUMPRODUCT(INDIRECT("'Word Vectors'!B"&amp;MATCH($B$2,'Word Vectors'!A:A,0)&amp;":Z"&amp;MATCH($B$2,'Word Vectors'!A:A,0)),INDIRECT("'Word Vectors'!B"&amp;MATCH($B$2,'Word Vectors'!A:A,0)&amp;":Z"&amp;MATCH($B$2,'Word Vectors'!A:A,0))))*SQRT(SUMPRODUCT(INDIRECT("'Word Vectors'!B847:Z847"),INDIRECT("'Word Vectors'!B847:Z847")))))</f>
        <v/>
      </c>
      <c r="AFR2">
        <f>IF(OR($B$2="",ISNA(MATCH($B$2,'Word Vectors'!A:A,0)),'Word Vectors'!A848=$B$2),"",SUMPRODUCT(INDIRECT("'Word Vectors'!B"&amp;MATCH($B$2,'Word Vectors'!A:A,0)&amp;":Z"&amp;MATCH($B$2,'Word Vectors'!A:A,0)),INDIRECT("'Word Vectors'!B848:Z848"))/(SQRT(SUMPRODUCT(INDIRECT("'Word Vectors'!B"&amp;MATCH($B$2,'Word Vectors'!A:A,0)&amp;":Z"&amp;MATCH($B$2,'Word Vectors'!A:A,0)),INDIRECT("'Word Vectors'!B"&amp;MATCH($B$2,'Word Vectors'!A:A,0)&amp;":Z"&amp;MATCH($B$2,'Word Vectors'!A:A,0))))*SQRT(SUMPRODUCT(INDIRECT("'Word Vectors'!B848:Z848"),INDIRECT("'Word Vectors'!B848:Z848")))))</f>
        <v/>
      </c>
      <c r="AFS2">
        <f>IF(OR($B$2="",ISNA(MATCH($B$2,'Word Vectors'!A:A,0)),'Word Vectors'!A849=$B$2),"",SUMPRODUCT(INDIRECT("'Word Vectors'!B"&amp;MATCH($B$2,'Word Vectors'!A:A,0)&amp;":Z"&amp;MATCH($B$2,'Word Vectors'!A:A,0)),INDIRECT("'Word Vectors'!B849:Z849"))/(SQRT(SUMPRODUCT(INDIRECT("'Word Vectors'!B"&amp;MATCH($B$2,'Word Vectors'!A:A,0)&amp;":Z"&amp;MATCH($B$2,'Word Vectors'!A:A,0)),INDIRECT("'Word Vectors'!B"&amp;MATCH($B$2,'Word Vectors'!A:A,0)&amp;":Z"&amp;MATCH($B$2,'Word Vectors'!A:A,0))))*SQRT(SUMPRODUCT(INDIRECT("'Word Vectors'!B849:Z849"),INDIRECT("'Word Vectors'!B849:Z849")))))</f>
        <v/>
      </c>
      <c r="AFT2">
        <f>IF(OR($B$2="",ISNA(MATCH($B$2,'Word Vectors'!A:A,0)),'Word Vectors'!A850=$B$2),"",SUMPRODUCT(INDIRECT("'Word Vectors'!B"&amp;MATCH($B$2,'Word Vectors'!A:A,0)&amp;":Z"&amp;MATCH($B$2,'Word Vectors'!A:A,0)),INDIRECT("'Word Vectors'!B850:Z850"))/(SQRT(SUMPRODUCT(INDIRECT("'Word Vectors'!B"&amp;MATCH($B$2,'Word Vectors'!A:A,0)&amp;":Z"&amp;MATCH($B$2,'Word Vectors'!A:A,0)),INDIRECT("'Word Vectors'!B"&amp;MATCH($B$2,'Word Vectors'!A:A,0)&amp;":Z"&amp;MATCH($B$2,'Word Vectors'!A:A,0))))*SQRT(SUMPRODUCT(INDIRECT("'Word Vectors'!B850:Z850"),INDIRECT("'Word Vectors'!B850:Z850")))))</f>
        <v/>
      </c>
      <c r="AFU2">
        <f>IF(OR($B$2="",ISNA(MATCH($B$2,'Word Vectors'!A:A,0)),'Word Vectors'!A851=$B$2),"",SUMPRODUCT(INDIRECT("'Word Vectors'!B"&amp;MATCH($B$2,'Word Vectors'!A:A,0)&amp;":Z"&amp;MATCH($B$2,'Word Vectors'!A:A,0)),INDIRECT("'Word Vectors'!B851:Z851"))/(SQRT(SUMPRODUCT(INDIRECT("'Word Vectors'!B"&amp;MATCH($B$2,'Word Vectors'!A:A,0)&amp;":Z"&amp;MATCH($B$2,'Word Vectors'!A:A,0)),INDIRECT("'Word Vectors'!B"&amp;MATCH($B$2,'Word Vectors'!A:A,0)&amp;":Z"&amp;MATCH($B$2,'Word Vectors'!A:A,0))))*SQRT(SUMPRODUCT(INDIRECT("'Word Vectors'!B851:Z851"),INDIRECT("'Word Vectors'!B851:Z851")))))</f>
        <v/>
      </c>
      <c r="AFV2">
        <f>IF(OR($B$2="",ISNA(MATCH($B$2,'Word Vectors'!A:A,0)),'Word Vectors'!A852=$B$2),"",SUMPRODUCT(INDIRECT("'Word Vectors'!B"&amp;MATCH($B$2,'Word Vectors'!A:A,0)&amp;":Z"&amp;MATCH($B$2,'Word Vectors'!A:A,0)),INDIRECT("'Word Vectors'!B852:Z852"))/(SQRT(SUMPRODUCT(INDIRECT("'Word Vectors'!B"&amp;MATCH($B$2,'Word Vectors'!A:A,0)&amp;":Z"&amp;MATCH($B$2,'Word Vectors'!A:A,0)),INDIRECT("'Word Vectors'!B"&amp;MATCH($B$2,'Word Vectors'!A:A,0)&amp;":Z"&amp;MATCH($B$2,'Word Vectors'!A:A,0))))*SQRT(SUMPRODUCT(INDIRECT("'Word Vectors'!B852:Z852"),INDIRECT("'Word Vectors'!B852:Z852")))))</f>
        <v/>
      </c>
      <c r="AFW2">
        <f>IF(OR($B$2="",ISNA(MATCH($B$2,'Word Vectors'!A:A,0)),'Word Vectors'!A853=$B$2),"",SUMPRODUCT(INDIRECT("'Word Vectors'!B"&amp;MATCH($B$2,'Word Vectors'!A:A,0)&amp;":Z"&amp;MATCH($B$2,'Word Vectors'!A:A,0)),INDIRECT("'Word Vectors'!B853:Z853"))/(SQRT(SUMPRODUCT(INDIRECT("'Word Vectors'!B"&amp;MATCH($B$2,'Word Vectors'!A:A,0)&amp;":Z"&amp;MATCH($B$2,'Word Vectors'!A:A,0)),INDIRECT("'Word Vectors'!B"&amp;MATCH($B$2,'Word Vectors'!A:A,0)&amp;":Z"&amp;MATCH($B$2,'Word Vectors'!A:A,0))))*SQRT(SUMPRODUCT(INDIRECT("'Word Vectors'!B853:Z853"),INDIRECT("'Word Vectors'!B853:Z853")))))</f>
        <v/>
      </c>
      <c r="AFX2">
        <f>IF(OR($B$2="",ISNA(MATCH($B$2,'Word Vectors'!A:A,0)),'Word Vectors'!A854=$B$2),"",SUMPRODUCT(INDIRECT("'Word Vectors'!B"&amp;MATCH($B$2,'Word Vectors'!A:A,0)&amp;":Z"&amp;MATCH($B$2,'Word Vectors'!A:A,0)),INDIRECT("'Word Vectors'!B854:Z854"))/(SQRT(SUMPRODUCT(INDIRECT("'Word Vectors'!B"&amp;MATCH($B$2,'Word Vectors'!A:A,0)&amp;":Z"&amp;MATCH($B$2,'Word Vectors'!A:A,0)),INDIRECT("'Word Vectors'!B"&amp;MATCH($B$2,'Word Vectors'!A:A,0)&amp;":Z"&amp;MATCH($B$2,'Word Vectors'!A:A,0))))*SQRT(SUMPRODUCT(INDIRECT("'Word Vectors'!B854:Z854"),INDIRECT("'Word Vectors'!B854:Z854")))))</f>
        <v/>
      </c>
      <c r="AFY2">
        <f>IF(OR($B$2="",ISNA(MATCH($B$2,'Word Vectors'!A:A,0)),'Word Vectors'!A855=$B$2),"",SUMPRODUCT(INDIRECT("'Word Vectors'!B"&amp;MATCH($B$2,'Word Vectors'!A:A,0)&amp;":Z"&amp;MATCH($B$2,'Word Vectors'!A:A,0)),INDIRECT("'Word Vectors'!B855:Z855"))/(SQRT(SUMPRODUCT(INDIRECT("'Word Vectors'!B"&amp;MATCH($B$2,'Word Vectors'!A:A,0)&amp;":Z"&amp;MATCH($B$2,'Word Vectors'!A:A,0)),INDIRECT("'Word Vectors'!B"&amp;MATCH($B$2,'Word Vectors'!A:A,0)&amp;":Z"&amp;MATCH($B$2,'Word Vectors'!A:A,0))))*SQRT(SUMPRODUCT(INDIRECT("'Word Vectors'!B855:Z855"),INDIRECT("'Word Vectors'!B855:Z855")))))</f>
        <v/>
      </c>
      <c r="AFZ2">
        <f>IF(OR($B$2="",ISNA(MATCH($B$2,'Word Vectors'!A:A,0)),'Word Vectors'!A856=$B$2),"",SUMPRODUCT(INDIRECT("'Word Vectors'!B"&amp;MATCH($B$2,'Word Vectors'!A:A,0)&amp;":Z"&amp;MATCH($B$2,'Word Vectors'!A:A,0)),INDIRECT("'Word Vectors'!B856:Z856"))/(SQRT(SUMPRODUCT(INDIRECT("'Word Vectors'!B"&amp;MATCH($B$2,'Word Vectors'!A:A,0)&amp;":Z"&amp;MATCH($B$2,'Word Vectors'!A:A,0)),INDIRECT("'Word Vectors'!B"&amp;MATCH($B$2,'Word Vectors'!A:A,0)&amp;":Z"&amp;MATCH($B$2,'Word Vectors'!A:A,0))))*SQRT(SUMPRODUCT(INDIRECT("'Word Vectors'!B856:Z856"),INDIRECT("'Word Vectors'!B856:Z856")))))</f>
        <v/>
      </c>
      <c r="AGA2">
        <f>IF(OR($B$2="",ISNA(MATCH($B$2,'Word Vectors'!A:A,0)),'Word Vectors'!A857=$B$2),"",SUMPRODUCT(INDIRECT("'Word Vectors'!B"&amp;MATCH($B$2,'Word Vectors'!A:A,0)&amp;":Z"&amp;MATCH($B$2,'Word Vectors'!A:A,0)),INDIRECT("'Word Vectors'!B857:Z857"))/(SQRT(SUMPRODUCT(INDIRECT("'Word Vectors'!B"&amp;MATCH($B$2,'Word Vectors'!A:A,0)&amp;":Z"&amp;MATCH($B$2,'Word Vectors'!A:A,0)),INDIRECT("'Word Vectors'!B"&amp;MATCH($B$2,'Word Vectors'!A:A,0)&amp;":Z"&amp;MATCH($B$2,'Word Vectors'!A:A,0))))*SQRT(SUMPRODUCT(INDIRECT("'Word Vectors'!B857:Z857"),INDIRECT("'Word Vectors'!B857:Z857")))))</f>
        <v/>
      </c>
      <c r="AGB2">
        <f>IF(OR($B$2="",ISNA(MATCH($B$2,'Word Vectors'!A:A,0)),'Word Vectors'!A858=$B$2),"",SUMPRODUCT(INDIRECT("'Word Vectors'!B"&amp;MATCH($B$2,'Word Vectors'!A:A,0)&amp;":Z"&amp;MATCH($B$2,'Word Vectors'!A:A,0)),INDIRECT("'Word Vectors'!B858:Z858"))/(SQRT(SUMPRODUCT(INDIRECT("'Word Vectors'!B"&amp;MATCH($B$2,'Word Vectors'!A:A,0)&amp;":Z"&amp;MATCH($B$2,'Word Vectors'!A:A,0)),INDIRECT("'Word Vectors'!B"&amp;MATCH($B$2,'Word Vectors'!A:A,0)&amp;":Z"&amp;MATCH($B$2,'Word Vectors'!A:A,0))))*SQRT(SUMPRODUCT(INDIRECT("'Word Vectors'!B858:Z858"),INDIRECT("'Word Vectors'!B858:Z858")))))</f>
        <v/>
      </c>
      <c r="AGC2">
        <f>IF(OR($B$2="",ISNA(MATCH($B$2,'Word Vectors'!A:A,0)),'Word Vectors'!A859=$B$2),"",SUMPRODUCT(INDIRECT("'Word Vectors'!B"&amp;MATCH($B$2,'Word Vectors'!A:A,0)&amp;":Z"&amp;MATCH($B$2,'Word Vectors'!A:A,0)),INDIRECT("'Word Vectors'!B859:Z859"))/(SQRT(SUMPRODUCT(INDIRECT("'Word Vectors'!B"&amp;MATCH($B$2,'Word Vectors'!A:A,0)&amp;":Z"&amp;MATCH($B$2,'Word Vectors'!A:A,0)),INDIRECT("'Word Vectors'!B"&amp;MATCH($B$2,'Word Vectors'!A:A,0)&amp;":Z"&amp;MATCH($B$2,'Word Vectors'!A:A,0))))*SQRT(SUMPRODUCT(INDIRECT("'Word Vectors'!B859:Z859"),INDIRECT("'Word Vectors'!B859:Z859")))))</f>
        <v/>
      </c>
      <c r="AGD2">
        <f>IF(OR($B$2="",ISNA(MATCH($B$2,'Word Vectors'!A:A,0)),'Word Vectors'!A860=$B$2),"",SUMPRODUCT(INDIRECT("'Word Vectors'!B"&amp;MATCH($B$2,'Word Vectors'!A:A,0)&amp;":Z"&amp;MATCH($B$2,'Word Vectors'!A:A,0)),INDIRECT("'Word Vectors'!B860:Z860"))/(SQRT(SUMPRODUCT(INDIRECT("'Word Vectors'!B"&amp;MATCH($B$2,'Word Vectors'!A:A,0)&amp;":Z"&amp;MATCH($B$2,'Word Vectors'!A:A,0)),INDIRECT("'Word Vectors'!B"&amp;MATCH($B$2,'Word Vectors'!A:A,0)&amp;":Z"&amp;MATCH($B$2,'Word Vectors'!A:A,0))))*SQRT(SUMPRODUCT(INDIRECT("'Word Vectors'!B860:Z860"),INDIRECT("'Word Vectors'!B860:Z860")))))</f>
        <v/>
      </c>
      <c r="AGE2">
        <f>IF(OR($B$2="",ISNA(MATCH($B$2,'Word Vectors'!A:A,0)),'Word Vectors'!A861=$B$2),"",SUMPRODUCT(INDIRECT("'Word Vectors'!B"&amp;MATCH($B$2,'Word Vectors'!A:A,0)&amp;":Z"&amp;MATCH($B$2,'Word Vectors'!A:A,0)),INDIRECT("'Word Vectors'!B861:Z861"))/(SQRT(SUMPRODUCT(INDIRECT("'Word Vectors'!B"&amp;MATCH($B$2,'Word Vectors'!A:A,0)&amp;":Z"&amp;MATCH($B$2,'Word Vectors'!A:A,0)),INDIRECT("'Word Vectors'!B"&amp;MATCH($B$2,'Word Vectors'!A:A,0)&amp;":Z"&amp;MATCH($B$2,'Word Vectors'!A:A,0))))*SQRT(SUMPRODUCT(INDIRECT("'Word Vectors'!B861:Z861"),INDIRECT("'Word Vectors'!B861:Z861")))))</f>
        <v/>
      </c>
      <c r="AGF2">
        <f>IF(OR($B$2="",ISNA(MATCH($B$2,'Word Vectors'!A:A,0)),'Word Vectors'!A862=$B$2),"",SUMPRODUCT(INDIRECT("'Word Vectors'!B"&amp;MATCH($B$2,'Word Vectors'!A:A,0)&amp;":Z"&amp;MATCH($B$2,'Word Vectors'!A:A,0)),INDIRECT("'Word Vectors'!B862:Z862"))/(SQRT(SUMPRODUCT(INDIRECT("'Word Vectors'!B"&amp;MATCH($B$2,'Word Vectors'!A:A,0)&amp;":Z"&amp;MATCH($B$2,'Word Vectors'!A:A,0)),INDIRECT("'Word Vectors'!B"&amp;MATCH($B$2,'Word Vectors'!A:A,0)&amp;":Z"&amp;MATCH($B$2,'Word Vectors'!A:A,0))))*SQRT(SUMPRODUCT(INDIRECT("'Word Vectors'!B862:Z862"),INDIRECT("'Word Vectors'!B862:Z862")))))</f>
        <v/>
      </c>
      <c r="AGG2">
        <f>IF(OR($B$2="",ISNA(MATCH($B$2,'Word Vectors'!A:A,0)),'Word Vectors'!A863=$B$2),"",SUMPRODUCT(INDIRECT("'Word Vectors'!B"&amp;MATCH($B$2,'Word Vectors'!A:A,0)&amp;":Z"&amp;MATCH($B$2,'Word Vectors'!A:A,0)),INDIRECT("'Word Vectors'!B863:Z863"))/(SQRT(SUMPRODUCT(INDIRECT("'Word Vectors'!B"&amp;MATCH($B$2,'Word Vectors'!A:A,0)&amp;":Z"&amp;MATCH($B$2,'Word Vectors'!A:A,0)),INDIRECT("'Word Vectors'!B"&amp;MATCH($B$2,'Word Vectors'!A:A,0)&amp;":Z"&amp;MATCH($B$2,'Word Vectors'!A:A,0))))*SQRT(SUMPRODUCT(INDIRECT("'Word Vectors'!B863:Z863"),INDIRECT("'Word Vectors'!B863:Z863")))))</f>
        <v/>
      </c>
      <c r="AGH2">
        <f>IF(OR($B$2="",ISNA(MATCH($B$2,'Word Vectors'!A:A,0)),'Word Vectors'!A864=$B$2),"",SUMPRODUCT(INDIRECT("'Word Vectors'!B"&amp;MATCH($B$2,'Word Vectors'!A:A,0)&amp;":Z"&amp;MATCH($B$2,'Word Vectors'!A:A,0)),INDIRECT("'Word Vectors'!B864:Z864"))/(SQRT(SUMPRODUCT(INDIRECT("'Word Vectors'!B"&amp;MATCH($B$2,'Word Vectors'!A:A,0)&amp;":Z"&amp;MATCH($B$2,'Word Vectors'!A:A,0)),INDIRECT("'Word Vectors'!B"&amp;MATCH($B$2,'Word Vectors'!A:A,0)&amp;":Z"&amp;MATCH($B$2,'Word Vectors'!A:A,0))))*SQRT(SUMPRODUCT(INDIRECT("'Word Vectors'!B864:Z864"),INDIRECT("'Word Vectors'!B864:Z864")))))</f>
        <v/>
      </c>
      <c r="AGI2">
        <f>IF(OR($B$2="",ISNA(MATCH($B$2,'Word Vectors'!A:A,0)),'Word Vectors'!A865=$B$2),"",SUMPRODUCT(INDIRECT("'Word Vectors'!B"&amp;MATCH($B$2,'Word Vectors'!A:A,0)&amp;":Z"&amp;MATCH($B$2,'Word Vectors'!A:A,0)),INDIRECT("'Word Vectors'!B865:Z865"))/(SQRT(SUMPRODUCT(INDIRECT("'Word Vectors'!B"&amp;MATCH($B$2,'Word Vectors'!A:A,0)&amp;":Z"&amp;MATCH($B$2,'Word Vectors'!A:A,0)),INDIRECT("'Word Vectors'!B"&amp;MATCH($B$2,'Word Vectors'!A:A,0)&amp;":Z"&amp;MATCH($B$2,'Word Vectors'!A:A,0))))*SQRT(SUMPRODUCT(INDIRECT("'Word Vectors'!B865:Z865"),INDIRECT("'Word Vectors'!B865:Z865")))))</f>
        <v/>
      </c>
      <c r="AGJ2">
        <f>IF(OR($B$2="",ISNA(MATCH($B$2,'Word Vectors'!A:A,0)),'Word Vectors'!A866=$B$2),"",SUMPRODUCT(INDIRECT("'Word Vectors'!B"&amp;MATCH($B$2,'Word Vectors'!A:A,0)&amp;":Z"&amp;MATCH($B$2,'Word Vectors'!A:A,0)),INDIRECT("'Word Vectors'!B866:Z866"))/(SQRT(SUMPRODUCT(INDIRECT("'Word Vectors'!B"&amp;MATCH($B$2,'Word Vectors'!A:A,0)&amp;":Z"&amp;MATCH($B$2,'Word Vectors'!A:A,0)),INDIRECT("'Word Vectors'!B"&amp;MATCH($B$2,'Word Vectors'!A:A,0)&amp;":Z"&amp;MATCH($B$2,'Word Vectors'!A:A,0))))*SQRT(SUMPRODUCT(INDIRECT("'Word Vectors'!B866:Z866"),INDIRECT("'Word Vectors'!B866:Z866")))))</f>
        <v/>
      </c>
      <c r="AGK2">
        <f>IF(OR($B$2="",ISNA(MATCH($B$2,'Word Vectors'!A:A,0)),'Word Vectors'!A867=$B$2),"",SUMPRODUCT(INDIRECT("'Word Vectors'!B"&amp;MATCH($B$2,'Word Vectors'!A:A,0)&amp;":Z"&amp;MATCH($B$2,'Word Vectors'!A:A,0)),INDIRECT("'Word Vectors'!B867:Z867"))/(SQRT(SUMPRODUCT(INDIRECT("'Word Vectors'!B"&amp;MATCH($B$2,'Word Vectors'!A:A,0)&amp;":Z"&amp;MATCH($B$2,'Word Vectors'!A:A,0)),INDIRECT("'Word Vectors'!B"&amp;MATCH($B$2,'Word Vectors'!A:A,0)&amp;":Z"&amp;MATCH($B$2,'Word Vectors'!A:A,0))))*SQRT(SUMPRODUCT(INDIRECT("'Word Vectors'!B867:Z867"),INDIRECT("'Word Vectors'!B867:Z867")))))</f>
        <v/>
      </c>
      <c r="AGL2">
        <f>IF(OR($B$2="",ISNA(MATCH($B$2,'Word Vectors'!A:A,0)),'Word Vectors'!A868=$B$2),"",SUMPRODUCT(INDIRECT("'Word Vectors'!B"&amp;MATCH($B$2,'Word Vectors'!A:A,0)&amp;":Z"&amp;MATCH($B$2,'Word Vectors'!A:A,0)),INDIRECT("'Word Vectors'!B868:Z868"))/(SQRT(SUMPRODUCT(INDIRECT("'Word Vectors'!B"&amp;MATCH($B$2,'Word Vectors'!A:A,0)&amp;":Z"&amp;MATCH($B$2,'Word Vectors'!A:A,0)),INDIRECT("'Word Vectors'!B"&amp;MATCH($B$2,'Word Vectors'!A:A,0)&amp;":Z"&amp;MATCH($B$2,'Word Vectors'!A:A,0))))*SQRT(SUMPRODUCT(INDIRECT("'Word Vectors'!B868:Z868"),INDIRECT("'Word Vectors'!B868:Z868")))))</f>
        <v/>
      </c>
      <c r="AGM2">
        <f>IF(OR($B$2="",ISNA(MATCH($B$2,'Word Vectors'!A:A,0)),'Word Vectors'!A869=$B$2),"",SUMPRODUCT(INDIRECT("'Word Vectors'!B"&amp;MATCH($B$2,'Word Vectors'!A:A,0)&amp;":Z"&amp;MATCH($B$2,'Word Vectors'!A:A,0)),INDIRECT("'Word Vectors'!B869:Z869"))/(SQRT(SUMPRODUCT(INDIRECT("'Word Vectors'!B"&amp;MATCH($B$2,'Word Vectors'!A:A,0)&amp;":Z"&amp;MATCH($B$2,'Word Vectors'!A:A,0)),INDIRECT("'Word Vectors'!B"&amp;MATCH($B$2,'Word Vectors'!A:A,0)&amp;":Z"&amp;MATCH($B$2,'Word Vectors'!A:A,0))))*SQRT(SUMPRODUCT(INDIRECT("'Word Vectors'!B869:Z869"),INDIRECT("'Word Vectors'!B869:Z869")))))</f>
        <v/>
      </c>
      <c r="AGN2">
        <f>IF(OR($B$2="",ISNA(MATCH($B$2,'Word Vectors'!A:A,0)),'Word Vectors'!A870=$B$2),"",SUMPRODUCT(INDIRECT("'Word Vectors'!B"&amp;MATCH($B$2,'Word Vectors'!A:A,0)&amp;":Z"&amp;MATCH($B$2,'Word Vectors'!A:A,0)),INDIRECT("'Word Vectors'!B870:Z870"))/(SQRT(SUMPRODUCT(INDIRECT("'Word Vectors'!B"&amp;MATCH($B$2,'Word Vectors'!A:A,0)&amp;":Z"&amp;MATCH($B$2,'Word Vectors'!A:A,0)),INDIRECT("'Word Vectors'!B"&amp;MATCH($B$2,'Word Vectors'!A:A,0)&amp;":Z"&amp;MATCH($B$2,'Word Vectors'!A:A,0))))*SQRT(SUMPRODUCT(INDIRECT("'Word Vectors'!B870:Z870"),INDIRECT("'Word Vectors'!B870:Z870")))))</f>
        <v/>
      </c>
      <c r="AGO2">
        <f>IF(OR($B$2="",ISNA(MATCH($B$2,'Word Vectors'!A:A,0)),'Word Vectors'!A871=$B$2),"",SUMPRODUCT(INDIRECT("'Word Vectors'!B"&amp;MATCH($B$2,'Word Vectors'!A:A,0)&amp;":Z"&amp;MATCH($B$2,'Word Vectors'!A:A,0)),INDIRECT("'Word Vectors'!B871:Z871"))/(SQRT(SUMPRODUCT(INDIRECT("'Word Vectors'!B"&amp;MATCH($B$2,'Word Vectors'!A:A,0)&amp;":Z"&amp;MATCH($B$2,'Word Vectors'!A:A,0)),INDIRECT("'Word Vectors'!B"&amp;MATCH($B$2,'Word Vectors'!A:A,0)&amp;":Z"&amp;MATCH($B$2,'Word Vectors'!A:A,0))))*SQRT(SUMPRODUCT(INDIRECT("'Word Vectors'!B871:Z871"),INDIRECT("'Word Vectors'!B871:Z871")))))</f>
        <v/>
      </c>
      <c r="AGP2">
        <f>IF(OR($B$2="",ISNA(MATCH($B$2,'Word Vectors'!A:A,0)),'Word Vectors'!A872=$B$2),"",SUMPRODUCT(INDIRECT("'Word Vectors'!B"&amp;MATCH($B$2,'Word Vectors'!A:A,0)&amp;":Z"&amp;MATCH($B$2,'Word Vectors'!A:A,0)),INDIRECT("'Word Vectors'!B872:Z872"))/(SQRT(SUMPRODUCT(INDIRECT("'Word Vectors'!B"&amp;MATCH($B$2,'Word Vectors'!A:A,0)&amp;":Z"&amp;MATCH($B$2,'Word Vectors'!A:A,0)),INDIRECT("'Word Vectors'!B"&amp;MATCH($B$2,'Word Vectors'!A:A,0)&amp;":Z"&amp;MATCH($B$2,'Word Vectors'!A:A,0))))*SQRT(SUMPRODUCT(INDIRECT("'Word Vectors'!B872:Z872"),INDIRECT("'Word Vectors'!B872:Z872")))))</f>
        <v/>
      </c>
      <c r="AGQ2">
        <f>IF(OR($B$2="",ISNA(MATCH($B$2,'Word Vectors'!A:A,0)),'Word Vectors'!A873=$B$2),"",SUMPRODUCT(INDIRECT("'Word Vectors'!B"&amp;MATCH($B$2,'Word Vectors'!A:A,0)&amp;":Z"&amp;MATCH($B$2,'Word Vectors'!A:A,0)),INDIRECT("'Word Vectors'!B873:Z873"))/(SQRT(SUMPRODUCT(INDIRECT("'Word Vectors'!B"&amp;MATCH($B$2,'Word Vectors'!A:A,0)&amp;":Z"&amp;MATCH($B$2,'Word Vectors'!A:A,0)),INDIRECT("'Word Vectors'!B"&amp;MATCH($B$2,'Word Vectors'!A:A,0)&amp;":Z"&amp;MATCH($B$2,'Word Vectors'!A:A,0))))*SQRT(SUMPRODUCT(INDIRECT("'Word Vectors'!B873:Z873"),INDIRECT("'Word Vectors'!B873:Z873")))))</f>
        <v/>
      </c>
      <c r="AGR2">
        <f>IF(OR($B$2="",ISNA(MATCH($B$2,'Word Vectors'!A:A,0)),'Word Vectors'!A874=$B$2),"",SUMPRODUCT(INDIRECT("'Word Vectors'!B"&amp;MATCH($B$2,'Word Vectors'!A:A,0)&amp;":Z"&amp;MATCH($B$2,'Word Vectors'!A:A,0)),INDIRECT("'Word Vectors'!B874:Z874"))/(SQRT(SUMPRODUCT(INDIRECT("'Word Vectors'!B"&amp;MATCH($B$2,'Word Vectors'!A:A,0)&amp;":Z"&amp;MATCH($B$2,'Word Vectors'!A:A,0)),INDIRECT("'Word Vectors'!B"&amp;MATCH($B$2,'Word Vectors'!A:A,0)&amp;":Z"&amp;MATCH($B$2,'Word Vectors'!A:A,0))))*SQRT(SUMPRODUCT(INDIRECT("'Word Vectors'!B874:Z874"),INDIRECT("'Word Vectors'!B874:Z874")))))</f>
        <v/>
      </c>
      <c r="AGS2">
        <f>IF(OR($B$2="",ISNA(MATCH($B$2,'Word Vectors'!A:A,0)),'Word Vectors'!A875=$B$2),"",SUMPRODUCT(INDIRECT("'Word Vectors'!B"&amp;MATCH($B$2,'Word Vectors'!A:A,0)&amp;":Z"&amp;MATCH($B$2,'Word Vectors'!A:A,0)),INDIRECT("'Word Vectors'!B875:Z875"))/(SQRT(SUMPRODUCT(INDIRECT("'Word Vectors'!B"&amp;MATCH($B$2,'Word Vectors'!A:A,0)&amp;":Z"&amp;MATCH($B$2,'Word Vectors'!A:A,0)),INDIRECT("'Word Vectors'!B"&amp;MATCH($B$2,'Word Vectors'!A:A,0)&amp;":Z"&amp;MATCH($B$2,'Word Vectors'!A:A,0))))*SQRT(SUMPRODUCT(INDIRECT("'Word Vectors'!B875:Z875"),INDIRECT("'Word Vectors'!B875:Z875")))))</f>
        <v/>
      </c>
      <c r="AGT2">
        <f>IF(OR($B$2="",ISNA(MATCH($B$2,'Word Vectors'!A:A,0)),'Word Vectors'!A876=$B$2),"",SUMPRODUCT(INDIRECT("'Word Vectors'!B"&amp;MATCH($B$2,'Word Vectors'!A:A,0)&amp;":Z"&amp;MATCH($B$2,'Word Vectors'!A:A,0)),INDIRECT("'Word Vectors'!B876:Z876"))/(SQRT(SUMPRODUCT(INDIRECT("'Word Vectors'!B"&amp;MATCH($B$2,'Word Vectors'!A:A,0)&amp;":Z"&amp;MATCH($B$2,'Word Vectors'!A:A,0)),INDIRECT("'Word Vectors'!B"&amp;MATCH($B$2,'Word Vectors'!A:A,0)&amp;":Z"&amp;MATCH($B$2,'Word Vectors'!A:A,0))))*SQRT(SUMPRODUCT(INDIRECT("'Word Vectors'!B876:Z876"),INDIRECT("'Word Vectors'!B876:Z876")))))</f>
        <v/>
      </c>
      <c r="AGU2">
        <f>IF(OR($B$2="",ISNA(MATCH($B$2,'Word Vectors'!A:A,0)),'Word Vectors'!A877=$B$2),"",SUMPRODUCT(INDIRECT("'Word Vectors'!B"&amp;MATCH($B$2,'Word Vectors'!A:A,0)&amp;":Z"&amp;MATCH($B$2,'Word Vectors'!A:A,0)),INDIRECT("'Word Vectors'!B877:Z877"))/(SQRT(SUMPRODUCT(INDIRECT("'Word Vectors'!B"&amp;MATCH($B$2,'Word Vectors'!A:A,0)&amp;":Z"&amp;MATCH($B$2,'Word Vectors'!A:A,0)),INDIRECT("'Word Vectors'!B"&amp;MATCH($B$2,'Word Vectors'!A:A,0)&amp;":Z"&amp;MATCH($B$2,'Word Vectors'!A:A,0))))*SQRT(SUMPRODUCT(INDIRECT("'Word Vectors'!B877:Z877"),INDIRECT("'Word Vectors'!B877:Z877")))))</f>
        <v/>
      </c>
      <c r="AGV2">
        <f>IF(OR($B$2="",ISNA(MATCH($B$2,'Word Vectors'!A:A,0)),'Word Vectors'!A878=$B$2),"",SUMPRODUCT(INDIRECT("'Word Vectors'!B"&amp;MATCH($B$2,'Word Vectors'!A:A,0)&amp;":Z"&amp;MATCH($B$2,'Word Vectors'!A:A,0)),INDIRECT("'Word Vectors'!B878:Z878"))/(SQRT(SUMPRODUCT(INDIRECT("'Word Vectors'!B"&amp;MATCH($B$2,'Word Vectors'!A:A,0)&amp;":Z"&amp;MATCH($B$2,'Word Vectors'!A:A,0)),INDIRECT("'Word Vectors'!B"&amp;MATCH($B$2,'Word Vectors'!A:A,0)&amp;":Z"&amp;MATCH($B$2,'Word Vectors'!A:A,0))))*SQRT(SUMPRODUCT(INDIRECT("'Word Vectors'!B878:Z878"),INDIRECT("'Word Vectors'!B878:Z878")))))</f>
        <v/>
      </c>
      <c r="AGW2">
        <f>IF(OR($B$2="",ISNA(MATCH($B$2,'Word Vectors'!A:A,0)),'Word Vectors'!A879=$B$2),"",SUMPRODUCT(INDIRECT("'Word Vectors'!B"&amp;MATCH($B$2,'Word Vectors'!A:A,0)&amp;":Z"&amp;MATCH($B$2,'Word Vectors'!A:A,0)),INDIRECT("'Word Vectors'!B879:Z879"))/(SQRT(SUMPRODUCT(INDIRECT("'Word Vectors'!B"&amp;MATCH($B$2,'Word Vectors'!A:A,0)&amp;":Z"&amp;MATCH($B$2,'Word Vectors'!A:A,0)),INDIRECT("'Word Vectors'!B"&amp;MATCH($B$2,'Word Vectors'!A:A,0)&amp;":Z"&amp;MATCH($B$2,'Word Vectors'!A:A,0))))*SQRT(SUMPRODUCT(INDIRECT("'Word Vectors'!B879:Z879"),INDIRECT("'Word Vectors'!B879:Z879")))))</f>
        <v/>
      </c>
      <c r="AGX2">
        <f>IF(OR($B$2="",ISNA(MATCH($B$2,'Word Vectors'!A:A,0)),'Word Vectors'!A880=$B$2),"",SUMPRODUCT(INDIRECT("'Word Vectors'!B"&amp;MATCH($B$2,'Word Vectors'!A:A,0)&amp;":Z"&amp;MATCH($B$2,'Word Vectors'!A:A,0)),INDIRECT("'Word Vectors'!B880:Z880"))/(SQRT(SUMPRODUCT(INDIRECT("'Word Vectors'!B"&amp;MATCH($B$2,'Word Vectors'!A:A,0)&amp;":Z"&amp;MATCH($B$2,'Word Vectors'!A:A,0)),INDIRECT("'Word Vectors'!B"&amp;MATCH($B$2,'Word Vectors'!A:A,0)&amp;":Z"&amp;MATCH($B$2,'Word Vectors'!A:A,0))))*SQRT(SUMPRODUCT(INDIRECT("'Word Vectors'!B880:Z880"),INDIRECT("'Word Vectors'!B880:Z880")))))</f>
        <v/>
      </c>
      <c r="AGY2">
        <f>IF(OR($B$2="",ISNA(MATCH($B$2,'Word Vectors'!A:A,0)),'Word Vectors'!A881=$B$2),"",SUMPRODUCT(INDIRECT("'Word Vectors'!B"&amp;MATCH($B$2,'Word Vectors'!A:A,0)&amp;":Z"&amp;MATCH($B$2,'Word Vectors'!A:A,0)),INDIRECT("'Word Vectors'!B881:Z881"))/(SQRT(SUMPRODUCT(INDIRECT("'Word Vectors'!B"&amp;MATCH($B$2,'Word Vectors'!A:A,0)&amp;":Z"&amp;MATCH($B$2,'Word Vectors'!A:A,0)),INDIRECT("'Word Vectors'!B"&amp;MATCH($B$2,'Word Vectors'!A:A,0)&amp;":Z"&amp;MATCH($B$2,'Word Vectors'!A:A,0))))*SQRT(SUMPRODUCT(INDIRECT("'Word Vectors'!B881:Z881"),INDIRECT("'Word Vectors'!B881:Z881")))))</f>
        <v/>
      </c>
      <c r="AGZ2">
        <f>IF(OR($B$2="",ISNA(MATCH($B$2,'Word Vectors'!A:A,0)),'Word Vectors'!A882=$B$2),"",SUMPRODUCT(INDIRECT("'Word Vectors'!B"&amp;MATCH($B$2,'Word Vectors'!A:A,0)&amp;":Z"&amp;MATCH($B$2,'Word Vectors'!A:A,0)),INDIRECT("'Word Vectors'!B882:Z882"))/(SQRT(SUMPRODUCT(INDIRECT("'Word Vectors'!B"&amp;MATCH($B$2,'Word Vectors'!A:A,0)&amp;":Z"&amp;MATCH($B$2,'Word Vectors'!A:A,0)),INDIRECT("'Word Vectors'!B"&amp;MATCH($B$2,'Word Vectors'!A:A,0)&amp;":Z"&amp;MATCH($B$2,'Word Vectors'!A:A,0))))*SQRT(SUMPRODUCT(INDIRECT("'Word Vectors'!B882:Z882"),INDIRECT("'Word Vectors'!B882:Z882")))))</f>
        <v/>
      </c>
      <c r="AHA2">
        <f>IF(OR($B$2="",ISNA(MATCH($B$2,'Word Vectors'!A:A,0)),'Word Vectors'!A883=$B$2),"",SUMPRODUCT(INDIRECT("'Word Vectors'!B"&amp;MATCH($B$2,'Word Vectors'!A:A,0)&amp;":Z"&amp;MATCH($B$2,'Word Vectors'!A:A,0)),INDIRECT("'Word Vectors'!B883:Z883"))/(SQRT(SUMPRODUCT(INDIRECT("'Word Vectors'!B"&amp;MATCH($B$2,'Word Vectors'!A:A,0)&amp;":Z"&amp;MATCH($B$2,'Word Vectors'!A:A,0)),INDIRECT("'Word Vectors'!B"&amp;MATCH($B$2,'Word Vectors'!A:A,0)&amp;":Z"&amp;MATCH($B$2,'Word Vectors'!A:A,0))))*SQRT(SUMPRODUCT(INDIRECT("'Word Vectors'!B883:Z883"),INDIRECT("'Word Vectors'!B883:Z883")))))</f>
        <v/>
      </c>
      <c r="AHB2">
        <f>IF(OR($B$2="",ISNA(MATCH($B$2,'Word Vectors'!A:A,0)),'Word Vectors'!A884=$B$2),"",SUMPRODUCT(INDIRECT("'Word Vectors'!B"&amp;MATCH($B$2,'Word Vectors'!A:A,0)&amp;":Z"&amp;MATCH($B$2,'Word Vectors'!A:A,0)),INDIRECT("'Word Vectors'!B884:Z884"))/(SQRT(SUMPRODUCT(INDIRECT("'Word Vectors'!B"&amp;MATCH($B$2,'Word Vectors'!A:A,0)&amp;":Z"&amp;MATCH($B$2,'Word Vectors'!A:A,0)),INDIRECT("'Word Vectors'!B"&amp;MATCH($B$2,'Word Vectors'!A:A,0)&amp;":Z"&amp;MATCH($B$2,'Word Vectors'!A:A,0))))*SQRT(SUMPRODUCT(INDIRECT("'Word Vectors'!B884:Z884"),INDIRECT("'Word Vectors'!B884:Z884")))))</f>
        <v/>
      </c>
      <c r="AHC2">
        <f>IF(OR($B$2="",ISNA(MATCH($B$2,'Word Vectors'!A:A,0)),'Word Vectors'!A885=$B$2),"",SUMPRODUCT(INDIRECT("'Word Vectors'!B"&amp;MATCH($B$2,'Word Vectors'!A:A,0)&amp;":Z"&amp;MATCH($B$2,'Word Vectors'!A:A,0)),INDIRECT("'Word Vectors'!B885:Z885"))/(SQRT(SUMPRODUCT(INDIRECT("'Word Vectors'!B"&amp;MATCH($B$2,'Word Vectors'!A:A,0)&amp;":Z"&amp;MATCH($B$2,'Word Vectors'!A:A,0)),INDIRECT("'Word Vectors'!B"&amp;MATCH($B$2,'Word Vectors'!A:A,0)&amp;":Z"&amp;MATCH($B$2,'Word Vectors'!A:A,0))))*SQRT(SUMPRODUCT(INDIRECT("'Word Vectors'!B885:Z885"),INDIRECT("'Word Vectors'!B885:Z885")))))</f>
        <v/>
      </c>
      <c r="AHD2">
        <f>IF(OR($B$2="",ISNA(MATCH($B$2,'Word Vectors'!A:A,0)),'Word Vectors'!A886=$B$2),"",SUMPRODUCT(INDIRECT("'Word Vectors'!B"&amp;MATCH($B$2,'Word Vectors'!A:A,0)&amp;":Z"&amp;MATCH($B$2,'Word Vectors'!A:A,0)),INDIRECT("'Word Vectors'!B886:Z886"))/(SQRT(SUMPRODUCT(INDIRECT("'Word Vectors'!B"&amp;MATCH($B$2,'Word Vectors'!A:A,0)&amp;":Z"&amp;MATCH($B$2,'Word Vectors'!A:A,0)),INDIRECT("'Word Vectors'!B"&amp;MATCH($B$2,'Word Vectors'!A:A,0)&amp;":Z"&amp;MATCH($B$2,'Word Vectors'!A:A,0))))*SQRT(SUMPRODUCT(INDIRECT("'Word Vectors'!B886:Z886"),INDIRECT("'Word Vectors'!B886:Z886")))))</f>
        <v/>
      </c>
      <c r="AHE2">
        <f>IF(OR($B$2="",ISNA(MATCH($B$2,'Word Vectors'!A:A,0)),'Word Vectors'!A887=$B$2),"",SUMPRODUCT(INDIRECT("'Word Vectors'!B"&amp;MATCH($B$2,'Word Vectors'!A:A,0)&amp;":Z"&amp;MATCH($B$2,'Word Vectors'!A:A,0)),INDIRECT("'Word Vectors'!B887:Z887"))/(SQRT(SUMPRODUCT(INDIRECT("'Word Vectors'!B"&amp;MATCH($B$2,'Word Vectors'!A:A,0)&amp;":Z"&amp;MATCH($B$2,'Word Vectors'!A:A,0)),INDIRECT("'Word Vectors'!B"&amp;MATCH($B$2,'Word Vectors'!A:A,0)&amp;":Z"&amp;MATCH($B$2,'Word Vectors'!A:A,0))))*SQRT(SUMPRODUCT(INDIRECT("'Word Vectors'!B887:Z887"),INDIRECT("'Word Vectors'!B887:Z887")))))</f>
        <v/>
      </c>
      <c r="AHF2">
        <f>IF(OR($B$2="",ISNA(MATCH($B$2,'Word Vectors'!A:A,0)),'Word Vectors'!A888=$B$2),"",SUMPRODUCT(INDIRECT("'Word Vectors'!B"&amp;MATCH($B$2,'Word Vectors'!A:A,0)&amp;":Z"&amp;MATCH($B$2,'Word Vectors'!A:A,0)),INDIRECT("'Word Vectors'!B888:Z888"))/(SQRT(SUMPRODUCT(INDIRECT("'Word Vectors'!B"&amp;MATCH($B$2,'Word Vectors'!A:A,0)&amp;":Z"&amp;MATCH($B$2,'Word Vectors'!A:A,0)),INDIRECT("'Word Vectors'!B"&amp;MATCH($B$2,'Word Vectors'!A:A,0)&amp;":Z"&amp;MATCH($B$2,'Word Vectors'!A:A,0))))*SQRT(SUMPRODUCT(INDIRECT("'Word Vectors'!B888:Z888"),INDIRECT("'Word Vectors'!B888:Z888")))))</f>
        <v/>
      </c>
      <c r="AHG2">
        <f>IF(OR($B$2="",ISNA(MATCH($B$2,'Word Vectors'!A:A,0)),'Word Vectors'!A889=$B$2),"",SUMPRODUCT(INDIRECT("'Word Vectors'!B"&amp;MATCH($B$2,'Word Vectors'!A:A,0)&amp;":Z"&amp;MATCH($B$2,'Word Vectors'!A:A,0)),INDIRECT("'Word Vectors'!B889:Z889"))/(SQRT(SUMPRODUCT(INDIRECT("'Word Vectors'!B"&amp;MATCH($B$2,'Word Vectors'!A:A,0)&amp;":Z"&amp;MATCH($B$2,'Word Vectors'!A:A,0)),INDIRECT("'Word Vectors'!B"&amp;MATCH($B$2,'Word Vectors'!A:A,0)&amp;":Z"&amp;MATCH($B$2,'Word Vectors'!A:A,0))))*SQRT(SUMPRODUCT(INDIRECT("'Word Vectors'!B889:Z889"),INDIRECT("'Word Vectors'!B889:Z889")))))</f>
        <v/>
      </c>
      <c r="AHH2">
        <f>IF(OR($B$2="",ISNA(MATCH($B$2,'Word Vectors'!A:A,0)),'Word Vectors'!A890=$B$2),"",SUMPRODUCT(INDIRECT("'Word Vectors'!B"&amp;MATCH($B$2,'Word Vectors'!A:A,0)&amp;":Z"&amp;MATCH($B$2,'Word Vectors'!A:A,0)),INDIRECT("'Word Vectors'!B890:Z890"))/(SQRT(SUMPRODUCT(INDIRECT("'Word Vectors'!B"&amp;MATCH($B$2,'Word Vectors'!A:A,0)&amp;":Z"&amp;MATCH($B$2,'Word Vectors'!A:A,0)),INDIRECT("'Word Vectors'!B"&amp;MATCH($B$2,'Word Vectors'!A:A,0)&amp;":Z"&amp;MATCH($B$2,'Word Vectors'!A:A,0))))*SQRT(SUMPRODUCT(INDIRECT("'Word Vectors'!B890:Z890"),INDIRECT("'Word Vectors'!B890:Z890")))))</f>
        <v/>
      </c>
      <c r="AHI2">
        <f>IF(OR($B$2="",ISNA(MATCH($B$2,'Word Vectors'!A:A,0)),'Word Vectors'!A891=$B$2),"",SUMPRODUCT(INDIRECT("'Word Vectors'!B"&amp;MATCH($B$2,'Word Vectors'!A:A,0)&amp;":Z"&amp;MATCH($B$2,'Word Vectors'!A:A,0)),INDIRECT("'Word Vectors'!B891:Z891"))/(SQRT(SUMPRODUCT(INDIRECT("'Word Vectors'!B"&amp;MATCH($B$2,'Word Vectors'!A:A,0)&amp;":Z"&amp;MATCH($B$2,'Word Vectors'!A:A,0)),INDIRECT("'Word Vectors'!B"&amp;MATCH($B$2,'Word Vectors'!A:A,0)&amp;":Z"&amp;MATCH($B$2,'Word Vectors'!A:A,0))))*SQRT(SUMPRODUCT(INDIRECT("'Word Vectors'!B891:Z891"),INDIRECT("'Word Vectors'!B891:Z891")))))</f>
        <v/>
      </c>
      <c r="AHJ2">
        <f>IF(OR($B$2="",ISNA(MATCH($B$2,'Word Vectors'!A:A,0)),'Word Vectors'!A892=$B$2),"",SUMPRODUCT(INDIRECT("'Word Vectors'!B"&amp;MATCH($B$2,'Word Vectors'!A:A,0)&amp;":Z"&amp;MATCH($B$2,'Word Vectors'!A:A,0)),INDIRECT("'Word Vectors'!B892:Z892"))/(SQRT(SUMPRODUCT(INDIRECT("'Word Vectors'!B"&amp;MATCH($B$2,'Word Vectors'!A:A,0)&amp;":Z"&amp;MATCH($B$2,'Word Vectors'!A:A,0)),INDIRECT("'Word Vectors'!B"&amp;MATCH($B$2,'Word Vectors'!A:A,0)&amp;":Z"&amp;MATCH($B$2,'Word Vectors'!A:A,0))))*SQRT(SUMPRODUCT(INDIRECT("'Word Vectors'!B892:Z892"),INDIRECT("'Word Vectors'!B892:Z892")))))</f>
        <v/>
      </c>
      <c r="AHK2">
        <f>IF(OR($B$2="",ISNA(MATCH($B$2,'Word Vectors'!A:A,0)),'Word Vectors'!A893=$B$2),"",SUMPRODUCT(INDIRECT("'Word Vectors'!B"&amp;MATCH($B$2,'Word Vectors'!A:A,0)&amp;":Z"&amp;MATCH($B$2,'Word Vectors'!A:A,0)),INDIRECT("'Word Vectors'!B893:Z893"))/(SQRT(SUMPRODUCT(INDIRECT("'Word Vectors'!B"&amp;MATCH($B$2,'Word Vectors'!A:A,0)&amp;":Z"&amp;MATCH($B$2,'Word Vectors'!A:A,0)),INDIRECT("'Word Vectors'!B"&amp;MATCH($B$2,'Word Vectors'!A:A,0)&amp;":Z"&amp;MATCH($B$2,'Word Vectors'!A:A,0))))*SQRT(SUMPRODUCT(INDIRECT("'Word Vectors'!B893:Z893"),INDIRECT("'Word Vectors'!B893:Z893")))))</f>
        <v/>
      </c>
      <c r="AHL2">
        <f>IF(OR($B$2="",ISNA(MATCH($B$2,'Word Vectors'!A:A,0)),'Word Vectors'!A894=$B$2),"",SUMPRODUCT(INDIRECT("'Word Vectors'!B"&amp;MATCH($B$2,'Word Vectors'!A:A,0)&amp;":Z"&amp;MATCH($B$2,'Word Vectors'!A:A,0)),INDIRECT("'Word Vectors'!B894:Z894"))/(SQRT(SUMPRODUCT(INDIRECT("'Word Vectors'!B"&amp;MATCH($B$2,'Word Vectors'!A:A,0)&amp;":Z"&amp;MATCH($B$2,'Word Vectors'!A:A,0)),INDIRECT("'Word Vectors'!B"&amp;MATCH($B$2,'Word Vectors'!A:A,0)&amp;":Z"&amp;MATCH($B$2,'Word Vectors'!A:A,0))))*SQRT(SUMPRODUCT(INDIRECT("'Word Vectors'!B894:Z894"),INDIRECT("'Word Vectors'!B894:Z894")))))</f>
        <v/>
      </c>
      <c r="AHM2">
        <f>IF(OR($B$2="",ISNA(MATCH($B$2,'Word Vectors'!A:A,0)),'Word Vectors'!A895=$B$2),"",SUMPRODUCT(INDIRECT("'Word Vectors'!B"&amp;MATCH($B$2,'Word Vectors'!A:A,0)&amp;":Z"&amp;MATCH($B$2,'Word Vectors'!A:A,0)),INDIRECT("'Word Vectors'!B895:Z895"))/(SQRT(SUMPRODUCT(INDIRECT("'Word Vectors'!B"&amp;MATCH($B$2,'Word Vectors'!A:A,0)&amp;":Z"&amp;MATCH($B$2,'Word Vectors'!A:A,0)),INDIRECT("'Word Vectors'!B"&amp;MATCH($B$2,'Word Vectors'!A:A,0)&amp;":Z"&amp;MATCH($B$2,'Word Vectors'!A:A,0))))*SQRT(SUMPRODUCT(INDIRECT("'Word Vectors'!B895:Z895"),INDIRECT("'Word Vectors'!B895:Z895")))))</f>
        <v/>
      </c>
      <c r="AHN2">
        <f>IF(OR($B$2="",ISNA(MATCH($B$2,'Word Vectors'!A:A,0)),'Word Vectors'!A896=$B$2),"",SUMPRODUCT(INDIRECT("'Word Vectors'!B"&amp;MATCH($B$2,'Word Vectors'!A:A,0)&amp;":Z"&amp;MATCH($B$2,'Word Vectors'!A:A,0)),INDIRECT("'Word Vectors'!B896:Z896"))/(SQRT(SUMPRODUCT(INDIRECT("'Word Vectors'!B"&amp;MATCH($B$2,'Word Vectors'!A:A,0)&amp;":Z"&amp;MATCH($B$2,'Word Vectors'!A:A,0)),INDIRECT("'Word Vectors'!B"&amp;MATCH($B$2,'Word Vectors'!A:A,0)&amp;":Z"&amp;MATCH($B$2,'Word Vectors'!A:A,0))))*SQRT(SUMPRODUCT(INDIRECT("'Word Vectors'!B896:Z896"),INDIRECT("'Word Vectors'!B896:Z896")))))</f>
        <v/>
      </c>
      <c r="AHO2">
        <f>IF(OR($B$2="",ISNA(MATCH($B$2,'Word Vectors'!A:A,0)),'Word Vectors'!A897=$B$2),"",SUMPRODUCT(INDIRECT("'Word Vectors'!B"&amp;MATCH($B$2,'Word Vectors'!A:A,0)&amp;":Z"&amp;MATCH($B$2,'Word Vectors'!A:A,0)),INDIRECT("'Word Vectors'!B897:Z897"))/(SQRT(SUMPRODUCT(INDIRECT("'Word Vectors'!B"&amp;MATCH($B$2,'Word Vectors'!A:A,0)&amp;":Z"&amp;MATCH($B$2,'Word Vectors'!A:A,0)),INDIRECT("'Word Vectors'!B"&amp;MATCH($B$2,'Word Vectors'!A:A,0)&amp;":Z"&amp;MATCH($B$2,'Word Vectors'!A:A,0))))*SQRT(SUMPRODUCT(INDIRECT("'Word Vectors'!B897:Z897"),INDIRECT("'Word Vectors'!B897:Z897")))))</f>
        <v/>
      </c>
      <c r="AHP2">
        <f>IF(OR($B$2="",ISNA(MATCH($B$2,'Word Vectors'!A:A,0)),'Word Vectors'!A898=$B$2),"",SUMPRODUCT(INDIRECT("'Word Vectors'!B"&amp;MATCH($B$2,'Word Vectors'!A:A,0)&amp;":Z"&amp;MATCH($B$2,'Word Vectors'!A:A,0)),INDIRECT("'Word Vectors'!B898:Z898"))/(SQRT(SUMPRODUCT(INDIRECT("'Word Vectors'!B"&amp;MATCH($B$2,'Word Vectors'!A:A,0)&amp;":Z"&amp;MATCH($B$2,'Word Vectors'!A:A,0)),INDIRECT("'Word Vectors'!B"&amp;MATCH($B$2,'Word Vectors'!A:A,0)&amp;":Z"&amp;MATCH($B$2,'Word Vectors'!A:A,0))))*SQRT(SUMPRODUCT(INDIRECT("'Word Vectors'!B898:Z898"),INDIRECT("'Word Vectors'!B898:Z898")))))</f>
        <v/>
      </c>
      <c r="AHQ2">
        <f>IF(OR($B$2="",ISNA(MATCH($B$2,'Word Vectors'!A:A,0)),'Word Vectors'!A899=$B$2),"",SUMPRODUCT(INDIRECT("'Word Vectors'!B"&amp;MATCH($B$2,'Word Vectors'!A:A,0)&amp;":Z"&amp;MATCH($B$2,'Word Vectors'!A:A,0)),INDIRECT("'Word Vectors'!B899:Z899"))/(SQRT(SUMPRODUCT(INDIRECT("'Word Vectors'!B"&amp;MATCH($B$2,'Word Vectors'!A:A,0)&amp;":Z"&amp;MATCH($B$2,'Word Vectors'!A:A,0)),INDIRECT("'Word Vectors'!B"&amp;MATCH($B$2,'Word Vectors'!A:A,0)&amp;":Z"&amp;MATCH($B$2,'Word Vectors'!A:A,0))))*SQRT(SUMPRODUCT(INDIRECT("'Word Vectors'!B899:Z899"),INDIRECT("'Word Vectors'!B899:Z899")))))</f>
        <v/>
      </c>
      <c r="AHR2">
        <f>IF(OR($B$2="",ISNA(MATCH($B$2,'Word Vectors'!A:A,0)),'Word Vectors'!A900=$B$2),"",SUMPRODUCT(INDIRECT("'Word Vectors'!B"&amp;MATCH($B$2,'Word Vectors'!A:A,0)&amp;":Z"&amp;MATCH($B$2,'Word Vectors'!A:A,0)),INDIRECT("'Word Vectors'!B900:Z900"))/(SQRT(SUMPRODUCT(INDIRECT("'Word Vectors'!B"&amp;MATCH($B$2,'Word Vectors'!A:A,0)&amp;":Z"&amp;MATCH($B$2,'Word Vectors'!A:A,0)),INDIRECT("'Word Vectors'!B"&amp;MATCH($B$2,'Word Vectors'!A:A,0)&amp;":Z"&amp;MATCH($B$2,'Word Vectors'!A:A,0))))*SQRT(SUMPRODUCT(INDIRECT("'Word Vectors'!B900:Z900"),INDIRECT("'Word Vectors'!B900:Z900")))))</f>
        <v/>
      </c>
      <c r="AHS2">
        <f>IF(OR($B$2="",ISNA(MATCH($B$2,'Word Vectors'!A:A,0)),'Word Vectors'!A901=$B$2),"",SUMPRODUCT(INDIRECT("'Word Vectors'!B"&amp;MATCH($B$2,'Word Vectors'!A:A,0)&amp;":Z"&amp;MATCH($B$2,'Word Vectors'!A:A,0)),INDIRECT("'Word Vectors'!B901:Z901"))/(SQRT(SUMPRODUCT(INDIRECT("'Word Vectors'!B"&amp;MATCH($B$2,'Word Vectors'!A:A,0)&amp;":Z"&amp;MATCH($B$2,'Word Vectors'!A:A,0)),INDIRECT("'Word Vectors'!B"&amp;MATCH($B$2,'Word Vectors'!A:A,0)&amp;":Z"&amp;MATCH($B$2,'Word Vectors'!A:A,0))))*SQRT(SUMPRODUCT(INDIRECT("'Word Vectors'!B901:Z901"),INDIRECT("'Word Vectors'!B901:Z901")))))</f>
        <v/>
      </c>
      <c r="AHT2">
        <f>IF(OR($B$2="",ISNA(MATCH($B$2,'Word Vectors'!A:A,0)),'Word Vectors'!A902=$B$2),"",SUMPRODUCT(INDIRECT("'Word Vectors'!B"&amp;MATCH($B$2,'Word Vectors'!A:A,0)&amp;":Z"&amp;MATCH($B$2,'Word Vectors'!A:A,0)),INDIRECT("'Word Vectors'!B902:Z902"))/(SQRT(SUMPRODUCT(INDIRECT("'Word Vectors'!B"&amp;MATCH($B$2,'Word Vectors'!A:A,0)&amp;":Z"&amp;MATCH($B$2,'Word Vectors'!A:A,0)),INDIRECT("'Word Vectors'!B"&amp;MATCH($B$2,'Word Vectors'!A:A,0)&amp;":Z"&amp;MATCH($B$2,'Word Vectors'!A:A,0))))*SQRT(SUMPRODUCT(INDIRECT("'Word Vectors'!B902:Z902"),INDIRECT("'Word Vectors'!B902:Z902")))))</f>
        <v/>
      </c>
      <c r="AHU2">
        <f>IF(OR($B$2="",ISNA(MATCH($B$2,'Word Vectors'!A:A,0)),'Word Vectors'!A903=$B$2),"",SUMPRODUCT(INDIRECT("'Word Vectors'!B"&amp;MATCH($B$2,'Word Vectors'!A:A,0)&amp;":Z"&amp;MATCH($B$2,'Word Vectors'!A:A,0)),INDIRECT("'Word Vectors'!B903:Z903"))/(SQRT(SUMPRODUCT(INDIRECT("'Word Vectors'!B"&amp;MATCH($B$2,'Word Vectors'!A:A,0)&amp;":Z"&amp;MATCH($B$2,'Word Vectors'!A:A,0)),INDIRECT("'Word Vectors'!B"&amp;MATCH($B$2,'Word Vectors'!A:A,0)&amp;":Z"&amp;MATCH($B$2,'Word Vectors'!A:A,0))))*SQRT(SUMPRODUCT(INDIRECT("'Word Vectors'!B903:Z903"),INDIRECT("'Word Vectors'!B903:Z903")))))</f>
        <v/>
      </c>
      <c r="AHV2">
        <f>IF(OR($B$2="",ISNA(MATCH($B$2,'Word Vectors'!A:A,0)),'Word Vectors'!A904=$B$2),"",SUMPRODUCT(INDIRECT("'Word Vectors'!B"&amp;MATCH($B$2,'Word Vectors'!A:A,0)&amp;":Z"&amp;MATCH($B$2,'Word Vectors'!A:A,0)),INDIRECT("'Word Vectors'!B904:Z904"))/(SQRT(SUMPRODUCT(INDIRECT("'Word Vectors'!B"&amp;MATCH($B$2,'Word Vectors'!A:A,0)&amp;":Z"&amp;MATCH($B$2,'Word Vectors'!A:A,0)),INDIRECT("'Word Vectors'!B"&amp;MATCH($B$2,'Word Vectors'!A:A,0)&amp;":Z"&amp;MATCH($B$2,'Word Vectors'!A:A,0))))*SQRT(SUMPRODUCT(INDIRECT("'Word Vectors'!B904:Z904"),INDIRECT("'Word Vectors'!B904:Z904")))))</f>
        <v/>
      </c>
      <c r="AHW2">
        <f>IF(OR($B$2="",ISNA(MATCH($B$2,'Word Vectors'!A:A,0)),'Word Vectors'!A905=$B$2),"",SUMPRODUCT(INDIRECT("'Word Vectors'!B"&amp;MATCH($B$2,'Word Vectors'!A:A,0)&amp;":Z"&amp;MATCH($B$2,'Word Vectors'!A:A,0)),INDIRECT("'Word Vectors'!B905:Z905"))/(SQRT(SUMPRODUCT(INDIRECT("'Word Vectors'!B"&amp;MATCH($B$2,'Word Vectors'!A:A,0)&amp;":Z"&amp;MATCH($B$2,'Word Vectors'!A:A,0)),INDIRECT("'Word Vectors'!B"&amp;MATCH($B$2,'Word Vectors'!A:A,0)&amp;":Z"&amp;MATCH($B$2,'Word Vectors'!A:A,0))))*SQRT(SUMPRODUCT(INDIRECT("'Word Vectors'!B905:Z905"),INDIRECT("'Word Vectors'!B905:Z905")))))</f>
        <v/>
      </c>
      <c r="AHX2">
        <f>IF(OR($B$2="",ISNA(MATCH($B$2,'Word Vectors'!A:A,0)),'Word Vectors'!A906=$B$2),"",SUMPRODUCT(INDIRECT("'Word Vectors'!B"&amp;MATCH($B$2,'Word Vectors'!A:A,0)&amp;":Z"&amp;MATCH($B$2,'Word Vectors'!A:A,0)),INDIRECT("'Word Vectors'!B906:Z906"))/(SQRT(SUMPRODUCT(INDIRECT("'Word Vectors'!B"&amp;MATCH($B$2,'Word Vectors'!A:A,0)&amp;":Z"&amp;MATCH($B$2,'Word Vectors'!A:A,0)),INDIRECT("'Word Vectors'!B"&amp;MATCH($B$2,'Word Vectors'!A:A,0)&amp;":Z"&amp;MATCH($B$2,'Word Vectors'!A:A,0))))*SQRT(SUMPRODUCT(INDIRECT("'Word Vectors'!B906:Z906"),INDIRECT("'Word Vectors'!B906:Z906")))))</f>
        <v/>
      </c>
      <c r="AHY2">
        <f>IF(OR($B$2="",ISNA(MATCH($B$2,'Word Vectors'!A:A,0)),'Word Vectors'!A907=$B$2),"",SUMPRODUCT(INDIRECT("'Word Vectors'!B"&amp;MATCH($B$2,'Word Vectors'!A:A,0)&amp;":Z"&amp;MATCH($B$2,'Word Vectors'!A:A,0)),INDIRECT("'Word Vectors'!B907:Z907"))/(SQRT(SUMPRODUCT(INDIRECT("'Word Vectors'!B"&amp;MATCH($B$2,'Word Vectors'!A:A,0)&amp;":Z"&amp;MATCH($B$2,'Word Vectors'!A:A,0)),INDIRECT("'Word Vectors'!B"&amp;MATCH($B$2,'Word Vectors'!A:A,0)&amp;":Z"&amp;MATCH($B$2,'Word Vectors'!A:A,0))))*SQRT(SUMPRODUCT(INDIRECT("'Word Vectors'!B907:Z907"),INDIRECT("'Word Vectors'!B907:Z907")))))</f>
        <v/>
      </c>
      <c r="AHZ2">
        <f>IF(OR($B$2="",ISNA(MATCH($B$2,'Word Vectors'!A:A,0)),'Word Vectors'!A908=$B$2),"",SUMPRODUCT(INDIRECT("'Word Vectors'!B"&amp;MATCH($B$2,'Word Vectors'!A:A,0)&amp;":Z"&amp;MATCH($B$2,'Word Vectors'!A:A,0)),INDIRECT("'Word Vectors'!B908:Z908"))/(SQRT(SUMPRODUCT(INDIRECT("'Word Vectors'!B"&amp;MATCH($B$2,'Word Vectors'!A:A,0)&amp;":Z"&amp;MATCH($B$2,'Word Vectors'!A:A,0)),INDIRECT("'Word Vectors'!B"&amp;MATCH($B$2,'Word Vectors'!A:A,0)&amp;":Z"&amp;MATCH($B$2,'Word Vectors'!A:A,0))))*SQRT(SUMPRODUCT(INDIRECT("'Word Vectors'!B908:Z908"),INDIRECT("'Word Vectors'!B908:Z908")))))</f>
        <v/>
      </c>
      <c r="AIA2">
        <f>IF(OR($B$2="",ISNA(MATCH($B$2,'Word Vectors'!A:A,0)),'Word Vectors'!A909=$B$2),"",SUMPRODUCT(INDIRECT("'Word Vectors'!B"&amp;MATCH($B$2,'Word Vectors'!A:A,0)&amp;":Z"&amp;MATCH($B$2,'Word Vectors'!A:A,0)),INDIRECT("'Word Vectors'!B909:Z909"))/(SQRT(SUMPRODUCT(INDIRECT("'Word Vectors'!B"&amp;MATCH($B$2,'Word Vectors'!A:A,0)&amp;":Z"&amp;MATCH($B$2,'Word Vectors'!A:A,0)),INDIRECT("'Word Vectors'!B"&amp;MATCH($B$2,'Word Vectors'!A:A,0)&amp;":Z"&amp;MATCH($B$2,'Word Vectors'!A:A,0))))*SQRT(SUMPRODUCT(INDIRECT("'Word Vectors'!B909:Z909"),INDIRECT("'Word Vectors'!B909:Z909")))))</f>
        <v/>
      </c>
      <c r="AIB2">
        <f>IF(OR($B$2="",ISNA(MATCH($B$2,'Word Vectors'!A:A,0)),'Word Vectors'!A910=$B$2),"",SUMPRODUCT(INDIRECT("'Word Vectors'!B"&amp;MATCH($B$2,'Word Vectors'!A:A,0)&amp;":Z"&amp;MATCH($B$2,'Word Vectors'!A:A,0)),INDIRECT("'Word Vectors'!B910:Z910"))/(SQRT(SUMPRODUCT(INDIRECT("'Word Vectors'!B"&amp;MATCH($B$2,'Word Vectors'!A:A,0)&amp;":Z"&amp;MATCH($B$2,'Word Vectors'!A:A,0)),INDIRECT("'Word Vectors'!B"&amp;MATCH($B$2,'Word Vectors'!A:A,0)&amp;":Z"&amp;MATCH($B$2,'Word Vectors'!A:A,0))))*SQRT(SUMPRODUCT(INDIRECT("'Word Vectors'!B910:Z910"),INDIRECT("'Word Vectors'!B910:Z910")))))</f>
        <v/>
      </c>
      <c r="AIC2">
        <f>IF(OR($B$2="",ISNA(MATCH($B$2,'Word Vectors'!A:A,0)),'Word Vectors'!A911=$B$2),"",SUMPRODUCT(INDIRECT("'Word Vectors'!B"&amp;MATCH($B$2,'Word Vectors'!A:A,0)&amp;":Z"&amp;MATCH($B$2,'Word Vectors'!A:A,0)),INDIRECT("'Word Vectors'!B911:Z911"))/(SQRT(SUMPRODUCT(INDIRECT("'Word Vectors'!B"&amp;MATCH($B$2,'Word Vectors'!A:A,0)&amp;":Z"&amp;MATCH($B$2,'Word Vectors'!A:A,0)),INDIRECT("'Word Vectors'!B"&amp;MATCH($B$2,'Word Vectors'!A:A,0)&amp;":Z"&amp;MATCH($B$2,'Word Vectors'!A:A,0))))*SQRT(SUMPRODUCT(INDIRECT("'Word Vectors'!B911:Z911"),INDIRECT("'Word Vectors'!B911:Z911")))))</f>
        <v/>
      </c>
      <c r="AID2">
        <f>IF(OR($B$2="",ISNA(MATCH($B$2,'Word Vectors'!A:A,0)),'Word Vectors'!A912=$B$2),"",SUMPRODUCT(INDIRECT("'Word Vectors'!B"&amp;MATCH($B$2,'Word Vectors'!A:A,0)&amp;":Z"&amp;MATCH($B$2,'Word Vectors'!A:A,0)),INDIRECT("'Word Vectors'!B912:Z912"))/(SQRT(SUMPRODUCT(INDIRECT("'Word Vectors'!B"&amp;MATCH($B$2,'Word Vectors'!A:A,0)&amp;":Z"&amp;MATCH($B$2,'Word Vectors'!A:A,0)),INDIRECT("'Word Vectors'!B"&amp;MATCH($B$2,'Word Vectors'!A:A,0)&amp;":Z"&amp;MATCH($B$2,'Word Vectors'!A:A,0))))*SQRT(SUMPRODUCT(INDIRECT("'Word Vectors'!B912:Z912"),INDIRECT("'Word Vectors'!B912:Z912")))))</f>
        <v/>
      </c>
      <c r="AIE2">
        <f>IF(OR($B$2="",ISNA(MATCH($B$2,'Word Vectors'!A:A,0)),'Word Vectors'!A913=$B$2),"",SUMPRODUCT(INDIRECT("'Word Vectors'!B"&amp;MATCH($B$2,'Word Vectors'!A:A,0)&amp;":Z"&amp;MATCH($B$2,'Word Vectors'!A:A,0)),INDIRECT("'Word Vectors'!B913:Z913"))/(SQRT(SUMPRODUCT(INDIRECT("'Word Vectors'!B"&amp;MATCH($B$2,'Word Vectors'!A:A,0)&amp;":Z"&amp;MATCH($B$2,'Word Vectors'!A:A,0)),INDIRECT("'Word Vectors'!B"&amp;MATCH($B$2,'Word Vectors'!A:A,0)&amp;":Z"&amp;MATCH($B$2,'Word Vectors'!A:A,0))))*SQRT(SUMPRODUCT(INDIRECT("'Word Vectors'!B913:Z913"),INDIRECT("'Word Vectors'!B913:Z913")))))</f>
        <v/>
      </c>
      <c r="AIF2">
        <f>IF(OR($B$2="",ISNA(MATCH($B$2,'Word Vectors'!A:A,0)),'Word Vectors'!A914=$B$2),"",SUMPRODUCT(INDIRECT("'Word Vectors'!B"&amp;MATCH($B$2,'Word Vectors'!A:A,0)&amp;":Z"&amp;MATCH($B$2,'Word Vectors'!A:A,0)),INDIRECT("'Word Vectors'!B914:Z914"))/(SQRT(SUMPRODUCT(INDIRECT("'Word Vectors'!B"&amp;MATCH($B$2,'Word Vectors'!A:A,0)&amp;":Z"&amp;MATCH($B$2,'Word Vectors'!A:A,0)),INDIRECT("'Word Vectors'!B"&amp;MATCH($B$2,'Word Vectors'!A:A,0)&amp;":Z"&amp;MATCH($B$2,'Word Vectors'!A:A,0))))*SQRT(SUMPRODUCT(INDIRECT("'Word Vectors'!B914:Z914"),INDIRECT("'Word Vectors'!B914:Z914")))))</f>
        <v/>
      </c>
      <c r="AIG2">
        <f>IF(OR($B$2="",ISNA(MATCH($B$2,'Word Vectors'!A:A,0)),'Word Vectors'!A915=$B$2),"",SUMPRODUCT(INDIRECT("'Word Vectors'!B"&amp;MATCH($B$2,'Word Vectors'!A:A,0)&amp;":Z"&amp;MATCH($B$2,'Word Vectors'!A:A,0)),INDIRECT("'Word Vectors'!B915:Z915"))/(SQRT(SUMPRODUCT(INDIRECT("'Word Vectors'!B"&amp;MATCH($B$2,'Word Vectors'!A:A,0)&amp;":Z"&amp;MATCH($B$2,'Word Vectors'!A:A,0)),INDIRECT("'Word Vectors'!B"&amp;MATCH($B$2,'Word Vectors'!A:A,0)&amp;":Z"&amp;MATCH($B$2,'Word Vectors'!A:A,0))))*SQRT(SUMPRODUCT(INDIRECT("'Word Vectors'!B915:Z915"),INDIRECT("'Word Vectors'!B915:Z915")))))</f>
        <v/>
      </c>
      <c r="AIH2">
        <f>IF(OR($B$2="",ISNA(MATCH($B$2,'Word Vectors'!A:A,0)),'Word Vectors'!A916=$B$2),"",SUMPRODUCT(INDIRECT("'Word Vectors'!B"&amp;MATCH($B$2,'Word Vectors'!A:A,0)&amp;":Z"&amp;MATCH($B$2,'Word Vectors'!A:A,0)),INDIRECT("'Word Vectors'!B916:Z916"))/(SQRT(SUMPRODUCT(INDIRECT("'Word Vectors'!B"&amp;MATCH($B$2,'Word Vectors'!A:A,0)&amp;":Z"&amp;MATCH($B$2,'Word Vectors'!A:A,0)),INDIRECT("'Word Vectors'!B"&amp;MATCH($B$2,'Word Vectors'!A:A,0)&amp;":Z"&amp;MATCH($B$2,'Word Vectors'!A:A,0))))*SQRT(SUMPRODUCT(INDIRECT("'Word Vectors'!B916:Z916"),INDIRECT("'Word Vectors'!B916:Z916")))))</f>
        <v/>
      </c>
      <c r="AII2">
        <f>IF(OR($B$2="",ISNA(MATCH($B$2,'Word Vectors'!A:A,0)),'Word Vectors'!A917=$B$2),"",SUMPRODUCT(INDIRECT("'Word Vectors'!B"&amp;MATCH($B$2,'Word Vectors'!A:A,0)&amp;":Z"&amp;MATCH($B$2,'Word Vectors'!A:A,0)),INDIRECT("'Word Vectors'!B917:Z917"))/(SQRT(SUMPRODUCT(INDIRECT("'Word Vectors'!B"&amp;MATCH($B$2,'Word Vectors'!A:A,0)&amp;":Z"&amp;MATCH($B$2,'Word Vectors'!A:A,0)),INDIRECT("'Word Vectors'!B"&amp;MATCH($B$2,'Word Vectors'!A:A,0)&amp;":Z"&amp;MATCH($B$2,'Word Vectors'!A:A,0))))*SQRT(SUMPRODUCT(INDIRECT("'Word Vectors'!B917:Z917"),INDIRECT("'Word Vectors'!B917:Z917")))))</f>
        <v/>
      </c>
      <c r="AIJ2">
        <f>IF(OR($B$2="",ISNA(MATCH($B$2,'Word Vectors'!A:A,0)),'Word Vectors'!A918=$B$2),"",SUMPRODUCT(INDIRECT("'Word Vectors'!B"&amp;MATCH($B$2,'Word Vectors'!A:A,0)&amp;":Z"&amp;MATCH($B$2,'Word Vectors'!A:A,0)),INDIRECT("'Word Vectors'!B918:Z918"))/(SQRT(SUMPRODUCT(INDIRECT("'Word Vectors'!B"&amp;MATCH($B$2,'Word Vectors'!A:A,0)&amp;":Z"&amp;MATCH($B$2,'Word Vectors'!A:A,0)),INDIRECT("'Word Vectors'!B"&amp;MATCH($B$2,'Word Vectors'!A:A,0)&amp;":Z"&amp;MATCH($B$2,'Word Vectors'!A:A,0))))*SQRT(SUMPRODUCT(INDIRECT("'Word Vectors'!B918:Z918"),INDIRECT("'Word Vectors'!B918:Z918")))))</f>
        <v/>
      </c>
      <c r="AIK2">
        <f>IF(OR($B$2="",ISNA(MATCH($B$2,'Word Vectors'!A:A,0)),'Word Vectors'!A919=$B$2),"",SUMPRODUCT(INDIRECT("'Word Vectors'!B"&amp;MATCH($B$2,'Word Vectors'!A:A,0)&amp;":Z"&amp;MATCH($B$2,'Word Vectors'!A:A,0)),INDIRECT("'Word Vectors'!B919:Z919"))/(SQRT(SUMPRODUCT(INDIRECT("'Word Vectors'!B"&amp;MATCH($B$2,'Word Vectors'!A:A,0)&amp;":Z"&amp;MATCH($B$2,'Word Vectors'!A:A,0)),INDIRECT("'Word Vectors'!B"&amp;MATCH($B$2,'Word Vectors'!A:A,0)&amp;":Z"&amp;MATCH($B$2,'Word Vectors'!A:A,0))))*SQRT(SUMPRODUCT(INDIRECT("'Word Vectors'!B919:Z919"),INDIRECT("'Word Vectors'!B919:Z919")))))</f>
        <v/>
      </c>
      <c r="AIL2">
        <f>IF(OR($B$2="",ISNA(MATCH($B$2,'Word Vectors'!A:A,0)),'Word Vectors'!A920=$B$2),"",SUMPRODUCT(INDIRECT("'Word Vectors'!B"&amp;MATCH($B$2,'Word Vectors'!A:A,0)&amp;":Z"&amp;MATCH($B$2,'Word Vectors'!A:A,0)),INDIRECT("'Word Vectors'!B920:Z920"))/(SQRT(SUMPRODUCT(INDIRECT("'Word Vectors'!B"&amp;MATCH($B$2,'Word Vectors'!A:A,0)&amp;":Z"&amp;MATCH($B$2,'Word Vectors'!A:A,0)),INDIRECT("'Word Vectors'!B"&amp;MATCH($B$2,'Word Vectors'!A:A,0)&amp;":Z"&amp;MATCH($B$2,'Word Vectors'!A:A,0))))*SQRT(SUMPRODUCT(INDIRECT("'Word Vectors'!B920:Z920"),INDIRECT("'Word Vectors'!B920:Z920")))))</f>
        <v/>
      </c>
      <c r="AIM2">
        <f>IF(OR($B$2="",ISNA(MATCH($B$2,'Word Vectors'!A:A,0)),'Word Vectors'!A921=$B$2),"",SUMPRODUCT(INDIRECT("'Word Vectors'!B"&amp;MATCH($B$2,'Word Vectors'!A:A,0)&amp;":Z"&amp;MATCH($B$2,'Word Vectors'!A:A,0)),INDIRECT("'Word Vectors'!B921:Z921"))/(SQRT(SUMPRODUCT(INDIRECT("'Word Vectors'!B"&amp;MATCH($B$2,'Word Vectors'!A:A,0)&amp;":Z"&amp;MATCH($B$2,'Word Vectors'!A:A,0)),INDIRECT("'Word Vectors'!B"&amp;MATCH($B$2,'Word Vectors'!A:A,0)&amp;":Z"&amp;MATCH($B$2,'Word Vectors'!A:A,0))))*SQRT(SUMPRODUCT(INDIRECT("'Word Vectors'!B921:Z921"),INDIRECT("'Word Vectors'!B921:Z921")))))</f>
        <v/>
      </c>
      <c r="AIN2">
        <f>IF(OR($B$2="",ISNA(MATCH($B$2,'Word Vectors'!A:A,0)),'Word Vectors'!A922=$B$2),"",SUMPRODUCT(INDIRECT("'Word Vectors'!B"&amp;MATCH($B$2,'Word Vectors'!A:A,0)&amp;":Z"&amp;MATCH($B$2,'Word Vectors'!A:A,0)),INDIRECT("'Word Vectors'!B922:Z922"))/(SQRT(SUMPRODUCT(INDIRECT("'Word Vectors'!B"&amp;MATCH($B$2,'Word Vectors'!A:A,0)&amp;":Z"&amp;MATCH($B$2,'Word Vectors'!A:A,0)),INDIRECT("'Word Vectors'!B"&amp;MATCH($B$2,'Word Vectors'!A:A,0)&amp;":Z"&amp;MATCH($B$2,'Word Vectors'!A:A,0))))*SQRT(SUMPRODUCT(INDIRECT("'Word Vectors'!B922:Z922"),INDIRECT("'Word Vectors'!B922:Z922")))))</f>
        <v/>
      </c>
      <c r="AIO2">
        <f>IF(OR($B$2="",ISNA(MATCH($B$2,'Word Vectors'!A:A,0)),'Word Vectors'!A923=$B$2),"",SUMPRODUCT(INDIRECT("'Word Vectors'!B"&amp;MATCH($B$2,'Word Vectors'!A:A,0)&amp;":Z"&amp;MATCH($B$2,'Word Vectors'!A:A,0)),INDIRECT("'Word Vectors'!B923:Z923"))/(SQRT(SUMPRODUCT(INDIRECT("'Word Vectors'!B"&amp;MATCH($B$2,'Word Vectors'!A:A,0)&amp;":Z"&amp;MATCH($B$2,'Word Vectors'!A:A,0)),INDIRECT("'Word Vectors'!B"&amp;MATCH($B$2,'Word Vectors'!A:A,0)&amp;":Z"&amp;MATCH($B$2,'Word Vectors'!A:A,0))))*SQRT(SUMPRODUCT(INDIRECT("'Word Vectors'!B923:Z923"),INDIRECT("'Word Vectors'!B923:Z923")))))</f>
        <v/>
      </c>
      <c r="AIP2">
        <f>IF(OR($B$2="",ISNA(MATCH($B$2,'Word Vectors'!A:A,0)),'Word Vectors'!A924=$B$2),"",SUMPRODUCT(INDIRECT("'Word Vectors'!B"&amp;MATCH($B$2,'Word Vectors'!A:A,0)&amp;":Z"&amp;MATCH($B$2,'Word Vectors'!A:A,0)),INDIRECT("'Word Vectors'!B924:Z924"))/(SQRT(SUMPRODUCT(INDIRECT("'Word Vectors'!B"&amp;MATCH($B$2,'Word Vectors'!A:A,0)&amp;":Z"&amp;MATCH($B$2,'Word Vectors'!A:A,0)),INDIRECT("'Word Vectors'!B"&amp;MATCH($B$2,'Word Vectors'!A:A,0)&amp;":Z"&amp;MATCH($B$2,'Word Vectors'!A:A,0))))*SQRT(SUMPRODUCT(INDIRECT("'Word Vectors'!B924:Z924"),INDIRECT("'Word Vectors'!B924:Z924")))))</f>
        <v/>
      </c>
      <c r="AIQ2">
        <f>IF(OR($B$2="",ISNA(MATCH($B$2,'Word Vectors'!A:A,0)),'Word Vectors'!A925=$B$2),"",SUMPRODUCT(INDIRECT("'Word Vectors'!B"&amp;MATCH($B$2,'Word Vectors'!A:A,0)&amp;":Z"&amp;MATCH($B$2,'Word Vectors'!A:A,0)),INDIRECT("'Word Vectors'!B925:Z925"))/(SQRT(SUMPRODUCT(INDIRECT("'Word Vectors'!B"&amp;MATCH($B$2,'Word Vectors'!A:A,0)&amp;":Z"&amp;MATCH($B$2,'Word Vectors'!A:A,0)),INDIRECT("'Word Vectors'!B"&amp;MATCH($B$2,'Word Vectors'!A:A,0)&amp;":Z"&amp;MATCH($B$2,'Word Vectors'!A:A,0))))*SQRT(SUMPRODUCT(INDIRECT("'Word Vectors'!B925:Z925"),INDIRECT("'Word Vectors'!B925:Z925")))))</f>
        <v/>
      </c>
      <c r="AIR2">
        <f>IF(OR($B$2="",ISNA(MATCH($B$2,'Word Vectors'!A:A,0)),'Word Vectors'!A926=$B$2),"",SUMPRODUCT(INDIRECT("'Word Vectors'!B"&amp;MATCH($B$2,'Word Vectors'!A:A,0)&amp;":Z"&amp;MATCH($B$2,'Word Vectors'!A:A,0)),INDIRECT("'Word Vectors'!B926:Z926"))/(SQRT(SUMPRODUCT(INDIRECT("'Word Vectors'!B"&amp;MATCH($B$2,'Word Vectors'!A:A,0)&amp;":Z"&amp;MATCH($B$2,'Word Vectors'!A:A,0)),INDIRECT("'Word Vectors'!B"&amp;MATCH($B$2,'Word Vectors'!A:A,0)&amp;":Z"&amp;MATCH($B$2,'Word Vectors'!A:A,0))))*SQRT(SUMPRODUCT(INDIRECT("'Word Vectors'!B926:Z926"),INDIRECT("'Word Vectors'!B926:Z926")))))</f>
        <v/>
      </c>
      <c r="AIS2">
        <f>IF(OR($B$2="",ISNA(MATCH($B$2,'Word Vectors'!A:A,0)),'Word Vectors'!A927=$B$2),"",SUMPRODUCT(INDIRECT("'Word Vectors'!B"&amp;MATCH($B$2,'Word Vectors'!A:A,0)&amp;":Z"&amp;MATCH($B$2,'Word Vectors'!A:A,0)),INDIRECT("'Word Vectors'!B927:Z927"))/(SQRT(SUMPRODUCT(INDIRECT("'Word Vectors'!B"&amp;MATCH($B$2,'Word Vectors'!A:A,0)&amp;":Z"&amp;MATCH($B$2,'Word Vectors'!A:A,0)),INDIRECT("'Word Vectors'!B"&amp;MATCH($B$2,'Word Vectors'!A:A,0)&amp;":Z"&amp;MATCH($B$2,'Word Vectors'!A:A,0))))*SQRT(SUMPRODUCT(INDIRECT("'Word Vectors'!B927:Z927"),INDIRECT("'Word Vectors'!B927:Z927")))))</f>
        <v/>
      </c>
      <c r="AIT2">
        <f>IF(OR($B$2="",ISNA(MATCH($B$2,'Word Vectors'!A:A,0)),'Word Vectors'!A928=$B$2),"",SUMPRODUCT(INDIRECT("'Word Vectors'!B"&amp;MATCH($B$2,'Word Vectors'!A:A,0)&amp;":Z"&amp;MATCH($B$2,'Word Vectors'!A:A,0)),INDIRECT("'Word Vectors'!B928:Z928"))/(SQRT(SUMPRODUCT(INDIRECT("'Word Vectors'!B"&amp;MATCH($B$2,'Word Vectors'!A:A,0)&amp;":Z"&amp;MATCH($B$2,'Word Vectors'!A:A,0)),INDIRECT("'Word Vectors'!B"&amp;MATCH($B$2,'Word Vectors'!A:A,0)&amp;":Z"&amp;MATCH($B$2,'Word Vectors'!A:A,0))))*SQRT(SUMPRODUCT(INDIRECT("'Word Vectors'!B928:Z928"),INDIRECT("'Word Vectors'!B928:Z928")))))</f>
        <v/>
      </c>
      <c r="AIU2">
        <f>IF(OR($B$2="",ISNA(MATCH($B$2,'Word Vectors'!A:A,0)),'Word Vectors'!A929=$B$2),"",SUMPRODUCT(INDIRECT("'Word Vectors'!B"&amp;MATCH($B$2,'Word Vectors'!A:A,0)&amp;":Z"&amp;MATCH($B$2,'Word Vectors'!A:A,0)),INDIRECT("'Word Vectors'!B929:Z929"))/(SQRT(SUMPRODUCT(INDIRECT("'Word Vectors'!B"&amp;MATCH($B$2,'Word Vectors'!A:A,0)&amp;":Z"&amp;MATCH($B$2,'Word Vectors'!A:A,0)),INDIRECT("'Word Vectors'!B"&amp;MATCH($B$2,'Word Vectors'!A:A,0)&amp;":Z"&amp;MATCH($B$2,'Word Vectors'!A:A,0))))*SQRT(SUMPRODUCT(INDIRECT("'Word Vectors'!B929:Z929"),INDIRECT("'Word Vectors'!B929:Z929")))))</f>
        <v/>
      </c>
      <c r="AIV2">
        <f>IF(OR($B$2="",ISNA(MATCH($B$2,'Word Vectors'!A:A,0)),'Word Vectors'!A930=$B$2),"",SUMPRODUCT(INDIRECT("'Word Vectors'!B"&amp;MATCH($B$2,'Word Vectors'!A:A,0)&amp;":Z"&amp;MATCH($B$2,'Word Vectors'!A:A,0)),INDIRECT("'Word Vectors'!B930:Z930"))/(SQRT(SUMPRODUCT(INDIRECT("'Word Vectors'!B"&amp;MATCH($B$2,'Word Vectors'!A:A,0)&amp;":Z"&amp;MATCH($B$2,'Word Vectors'!A:A,0)),INDIRECT("'Word Vectors'!B"&amp;MATCH($B$2,'Word Vectors'!A:A,0)&amp;":Z"&amp;MATCH($B$2,'Word Vectors'!A:A,0))))*SQRT(SUMPRODUCT(INDIRECT("'Word Vectors'!B930:Z930"),INDIRECT("'Word Vectors'!B930:Z930")))))</f>
        <v/>
      </c>
      <c r="AIW2">
        <f>IF(OR($B$2="",ISNA(MATCH($B$2,'Word Vectors'!A:A,0)),'Word Vectors'!A931=$B$2),"",SUMPRODUCT(INDIRECT("'Word Vectors'!B"&amp;MATCH($B$2,'Word Vectors'!A:A,0)&amp;":Z"&amp;MATCH($B$2,'Word Vectors'!A:A,0)),INDIRECT("'Word Vectors'!B931:Z931"))/(SQRT(SUMPRODUCT(INDIRECT("'Word Vectors'!B"&amp;MATCH($B$2,'Word Vectors'!A:A,0)&amp;":Z"&amp;MATCH($B$2,'Word Vectors'!A:A,0)),INDIRECT("'Word Vectors'!B"&amp;MATCH($B$2,'Word Vectors'!A:A,0)&amp;":Z"&amp;MATCH($B$2,'Word Vectors'!A:A,0))))*SQRT(SUMPRODUCT(INDIRECT("'Word Vectors'!B931:Z931"),INDIRECT("'Word Vectors'!B931:Z931")))))</f>
        <v/>
      </c>
      <c r="AIX2">
        <f>IF(OR($B$2="",ISNA(MATCH($B$2,'Word Vectors'!A:A,0)),'Word Vectors'!A932=$B$2),"",SUMPRODUCT(INDIRECT("'Word Vectors'!B"&amp;MATCH($B$2,'Word Vectors'!A:A,0)&amp;":Z"&amp;MATCH($B$2,'Word Vectors'!A:A,0)),INDIRECT("'Word Vectors'!B932:Z932"))/(SQRT(SUMPRODUCT(INDIRECT("'Word Vectors'!B"&amp;MATCH($B$2,'Word Vectors'!A:A,0)&amp;":Z"&amp;MATCH($B$2,'Word Vectors'!A:A,0)),INDIRECT("'Word Vectors'!B"&amp;MATCH($B$2,'Word Vectors'!A:A,0)&amp;":Z"&amp;MATCH($B$2,'Word Vectors'!A:A,0))))*SQRT(SUMPRODUCT(INDIRECT("'Word Vectors'!B932:Z932"),INDIRECT("'Word Vectors'!B932:Z932")))))</f>
        <v/>
      </c>
      <c r="AIY2">
        <f>IF(OR($B$2="",ISNA(MATCH($B$2,'Word Vectors'!A:A,0)),'Word Vectors'!A933=$B$2),"",SUMPRODUCT(INDIRECT("'Word Vectors'!B"&amp;MATCH($B$2,'Word Vectors'!A:A,0)&amp;":Z"&amp;MATCH($B$2,'Word Vectors'!A:A,0)),INDIRECT("'Word Vectors'!B933:Z933"))/(SQRT(SUMPRODUCT(INDIRECT("'Word Vectors'!B"&amp;MATCH($B$2,'Word Vectors'!A:A,0)&amp;":Z"&amp;MATCH($B$2,'Word Vectors'!A:A,0)),INDIRECT("'Word Vectors'!B"&amp;MATCH($B$2,'Word Vectors'!A:A,0)&amp;":Z"&amp;MATCH($B$2,'Word Vectors'!A:A,0))))*SQRT(SUMPRODUCT(INDIRECT("'Word Vectors'!B933:Z933"),INDIRECT("'Word Vectors'!B933:Z933")))))</f>
        <v/>
      </c>
      <c r="AIZ2">
        <f>IF(OR($B$2="",ISNA(MATCH($B$2,'Word Vectors'!A:A,0)),'Word Vectors'!A934=$B$2),"",SUMPRODUCT(INDIRECT("'Word Vectors'!B"&amp;MATCH($B$2,'Word Vectors'!A:A,0)&amp;":Z"&amp;MATCH($B$2,'Word Vectors'!A:A,0)),INDIRECT("'Word Vectors'!B934:Z934"))/(SQRT(SUMPRODUCT(INDIRECT("'Word Vectors'!B"&amp;MATCH($B$2,'Word Vectors'!A:A,0)&amp;":Z"&amp;MATCH($B$2,'Word Vectors'!A:A,0)),INDIRECT("'Word Vectors'!B"&amp;MATCH($B$2,'Word Vectors'!A:A,0)&amp;":Z"&amp;MATCH($B$2,'Word Vectors'!A:A,0))))*SQRT(SUMPRODUCT(INDIRECT("'Word Vectors'!B934:Z934"),INDIRECT("'Word Vectors'!B934:Z934")))))</f>
        <v/>
      </c>
      <c r="AJA2">
        <f>IF(OR($B$2="",ISNA(MATCH($B$2,'Word Vectors'!A:A,0)),'Word Vectors'!A935=$B$2),"",SUMPRODUCT(INDIRECT("'Word Vectors'!B"&amp;MATCH($B$2,'Word Vectors'!A:A,0)&amp;":Z"&amp;MATCH($B$2,'Word Vectors'!A:A,0)),INDIRECT("'Word Vectors'!B935:Z935"))/(SQRT(SUMPRODUCT(INDIRECT("'Word Vectors'!B"&amp;MATCH($B$2,'Word Vectors'!A:A,0)&amp;":Z"&amp;MATCH($B$2,'Word Vectors'!A:A,0)),INDIRECT("'Word Vectors'!B"&amp;MATCH($B$2,'Word Vectors'!A:A,0)&amp;":Z"&amp;MATCH($B$2,'Word Vectors'!A:A,0))))*SQRT(SUMPRODUCT(INDIRECT("'Word Vectors'!B935:Z935"),INDIRECT("'Word Vectors'!B935:Z935")))))</f>
        <v/>
      </c>
      <c r="AJB2">
        <f>IF(OR($B$2="",ISNA(MATCH($B$2,'Word Vectors'!A:A,0)),'Word Vectors'!A936=$B$2),"",SUMPRODUCT(INDIRECT("'Word Vectors'!B"&amp;MATCH($B$2,'Word Vectors'!A:A,0)&amp;":Z"&amp;MATCH($B$2,'Word Vectors'!A:A,0)),INDIRECT("'Word Vectors'!B936:Z936"))/(SQRT(SUMPRODUCT(INDIRECT("'Word Vectors'!B"&amp;MATCH($B$2,'Word Vectors'!A:A,0)&amp;":Z"&amp;MATCH($B$2,'Word Vectors'!A:A,0)),INDIRECT("'Word Vectors'!B"&amp;MATCH($B$2,'Word Vectors'!A:A,0)&amp;":Z"&amp;MATCH($B$2,'Word Vectors'!A:A,0))))*SQRT(SUMPRODUCT(INDIRECT("'Word Vectors'!B936:Z936"),INDIRECT("'Word Vectors'!B936:Z936")))))</f>
        <v/>
      </c>
      <c r="AJC2">
        <f>IF(OR($B$2="",ISNA(MATCH($B$2,'Word Vectors'!A:A,0)),'Word Vectors'!A937=$B$2),"",SUMPRODUCT(INDIRECT("'Word Vectors'!B"&amp;MATCH($B$2,'Word Vectors'!A:A,0)&amp;":Z"&amp;MATCH($B$2,'Word Vectors'!A:A,0)),INDIRECT("'Word Vectors'!B937:Z937"))/(SQRT(SUMPRODUCT(INDIRECT("'Word Vectors'!B"&amp;MATCH($B$2,'Word Vectors'!A:A,0)&amp;":Z"&amp;MATCH($B$2,'Word Vectors'!A:A,0)),INDIRECT("'Word Vectors'!B"&amp;MATCH($B$2,'Word Vectors'!A:A,0)&amp;":Z"&amp;MATCH($B$2,'Word Vectors'!A:A,0))))*SQRT(SUMPRODUCT(INDIRECT("'Word Vectors'!B937:Z937"),INDIRECT("'Word Vectors'!B937:Z937")))))</f>
        <v/>
      </c>
      <c r="AJD2">
        <f>IF(OR($B$2="",ISNA(MATCH($B$2,'Word Vectors'!A:A,0)),'Word Vectors'!A938=$B$2),"",SUMPRODUCT(INDIRECT("'Word Vectors'!B"&amp;MATCH($B$2,'Word Vectors'!A:A,0)&amp;":Z"&amp;MATCH($B$2,'Word Vectors'!A:A,0)),INDIRECT("'Word Vectors'!B938:Z938"))/(SQRT(SUMPRODUCT(INDIRECT("'Word Vectors'!B"&amp;MATCH($B$2,'Word Vectors'!A:A,0)&amp;":Z"&amp;MATCH($B$2,'Word Vectors'!A:A,0)),INDIRECT("'Word Vectors'!B"&amp;MATCH($B$2,'Word Vectors'!A:A,0)&amp;":Z"&amp;MATCH($B$2,'Word Vectors'!A:A,0))))*SQRT(SUMPRODUCT(INDIRECT("'Word Vectors'!B938:Z938"),INDIRECT("'Word Vectors'!B938:Z938")))))</f>
        <v/>
      </c>
      <c r="AJE2">
        <f>IF(OR($B$2="",ISNA(MATCH($B$2,'Word Vectors'!A:A,0)),'Word Vectors'!A939=$B$2),"",SUMPRODUCT(INDIRECT("'Word Vectors'!B"&amp;MATCH($B$2,'Word Vectors'!A:A,0)&amp;":Z"&amp;MATCH($B$2,'Word Vectors'!A:A,0)),INDIRECT("'Word Vectors'!B939:Z939"))/(SQRT(SUMPRODUCT(INDIRECT("'Word Vectors'!B"&amp;MATCH($B$2,'Word Vectors'!A:A,0)&amp;":Z"&amp;MATCH($B$2,'Word Vectors'!A:A,0)),INDIRECT("'Word Vectors'!B"&amp;MATCH($B$2,'Word Vectors'!A:A,0)&amp;":Z"&amp;MATCH($B$2,'Word Vectors'!A:A,0))))*SQRT(SUMPRODUCT(INDIRECT("'Word Vectors'!B939:Z939"),INDIRECT("'Word Vectors'!B939:Z939")))))</f>
        <v/>
      </c>
      <c r="AJF2">
        <f>IF(OR($B$2="",ISNA(MATCH($B$2,'Word Vectors'!A:A,0)),'Word Vectors'!A940=$B$2),"",SUMPRODUCT(INDIRECT("'Word Vectors'!B"&amp;MATCH($B$2,'Word Vectors'!A:A,0)&amp;":Z"&amp;MATCH($B$2,'Word Vectors'!A:A,0)),INDIRECT("'Word Vectors'!B940:Z940"))/(SQRT(SUMPRODUCT(INDIRECT("'Word Vectors'!B"&amp;MATCH($B$2,'Word Vectors'!A:A,0)&amp;":Z"&amp;MATCH($B$2,'Word Vectors'!A:A,0)),INDIRECT("'Word Vectors'!B"&amp;MATCH($B$2,'Word Vectors'!A:A,0)&amp;":Z"&amp;MATCH($B$2,'Word Vectors'!A:A,0))))*SQRT(SUMPRODUCT(INDIRECT("'Word Vectors'!B940:Z940"),INDIRECT("'Word Vectors'!B940:Z940")))))</f>
        <v/>
      </c>
      <c r="AJG2">
        <f>IF(OR($B$2="",ISNA(MATCH($B$2,'Word Vectors'!A:A,0)),'Word Vectors'!A941=$B$2),"",SUMPRODUCT(INDIRECT("'Word Vectors'!B"&amp;MATCH($B$2,'Word Vectors'!A:A,0)&amp;":Z"&amp;MATCH($B$2,'Word Vectors'!A:A,0)),INDIRECT("'Word Vectors'!B941:Z941"))/(SQRT(SUMPRODUCT(INDIRECT("'Word Vectors'!B"&amp;MATCH($B$2,'Word Vectors'!A:A,0)&amp;":Z"&amp;MATCH($B$2,'Word Vectors'!A:A,0)),INDIRECT("'Word Vectors'!B"&amp;MATCH($B$2,'Word Vectors'!A:A,0)&amp;":Z"&amp;MATCH($B$2,'Word Vectors'!A:A,0))))*SQRT(SUMPRODUCT(INDIRECT("'Word Vectors'!B941:Z941"),INDIRECT("'Word Vectors'!B941:Z941")))))</f>
        <v/>
      </c>
      <c r="AJH2">
        <f>IF(OR($B$2="",ISNA(MATCH($B$2,'Word Vectors'!A:A,0)),'Word Vectors'!A942=$B$2),"",SUMPRODUCT(INDIRECT("'Word Vectors'!B"&amp;MATCH($B$2,'Word Vectors'!A:A,0)&amp;":Z"&amp;MATCH($B$2,'Word Vectors'!A:A,0)),INDIRECT("'Word Vectors'!B942:Z942"))/(SQRT(SUMPRODUCT(INDIRECT("'Word Vectors'!B"&amp;MATCH($B$2,'Word Vectors'!A:A,0)&amp;":Z"&amp;MATCH($B$2,'Word Vectors'!A:A,0)),INDIRECT("'Word Vectors'!B"&amp;MATCH($B$2,'Word Vectors'!A:A,0)&amp;":Z"&amp;MATCH($B$2,'Word Vectors'!A:A,0))))*SQRT(SUMPRODUCT(INDIRECT("'Word Vectors'!B942:Z942"),INDIRECT("'Word Vectors'!B942:Z942")))))</f>
        <v/>
      </c>
      <c r="AJI2">
        <f>IF(OR($B$2="",ISNA(MATCH($B$2,'Word Vectors'!A:A,0)),'Word Vectors'!A943=$B$2),"",SUMPRODUCT(INDIRECT("'Word Vectors'!B"&amp;MATCH($B$2,'Word Vectors'!A:A,0)&amp;":Z"&amp;MATCH($B$2,'Word Vectors'!A:A,0)),INDIRECT("'Word Vectors'!B943:Z943"))/(SQRT(SUMPRODUCT(INDIRECT("'Word Vectors'!B"&amp;MATCH($B$2,'Word Vectors'!A:A,0)&amp;":Z"&amp;MATCH($B$2,'Word Vectors'!A:A,0)),INDIRECT("'Word Vectors'!B"&amp;MATCH($B$2,'Word Vectors'!A:A,0)&amp;":Z"&amp;MATCH($B$2,'Word Vectors'!A:A,0))))*SQRT(SUMPRODUCT(INDIRECT("'Word Vectors'!B943:Z943"),INDIRECT("'Word Vectors'!B943:Z943")))))</f>
        <v/>
      </c>
      <c r="AJJ2">
        <f>IF(OR($B$2="",ISNA(MATCH($B$2,'Word Vectors'!A:A,0)),'Word Vectors'!A944=$B$2),"",SUMPRODUCT(INDIRECT("'Word Vectors'!B"&amp;MATCH($B$2,'Word Vectors'!A:A,0)&amp;":Z"&amp;MATCH($B$2,'Word Vectors'!A:A,0)),INDIRECT("'Word Vectors'!B944:Z944"))/(SQRT(SUMPRODUCT(INDIRECT("'Word Vectors'!B"&amp;MATCH($B$2,'Word Vectors'!A:A,0)&amp;":Z"&amp;MATCH($B$2,'Word Vectors'!A:A,0)),INDIRECT("'Word Vectors'!B"&amp;MATCH($B$2,'Word Vectors'!A:A,0)&amp;":Z"&amp;MATCH($B$2,'Word Vectors'!A:A,0))))*SQRT(SUMPRODUCT(INDIRECT("'Word Vectors'!B944:Z944"),INDIRECT("'Word Vectors'!B944:Z944")))))</f>
        <v/>
      </c>
      <c r="AJK2">
        <f>IF(OR($B$2="",ISNA(MATCH($B$2,'Word Vectors'!A:A,0)),'Word Vectors'!A945=$B$2),"",SUMPRODUCT(INDIRECT("'Word Vectors'!B"&amp;MATCH($B$2,'Word Vectors'!A:A,0)&amp;":Z"&amp;MATCH($B$2,'Word Vectors'!A:A,0)),INDIRECT("'Word Vectors'!B945:Z945"))/(SQRT(SUMPRODUCT(INDIRECT("'Word Vectors'!B"&amp;MATCH($B$2,'Word Vectors'!A:A,0)&amp;":Z"&amp;MATCH($B$2,'Word Vectors'!A:A,0)),INDIRECT("'Word Vectors'!B"&amp;MATCH($B$2,'Word Vectors'!A:A,0)&amp;":Z"&amp;MATCH($B$2,'Word Vectors'!A:A,0))))*SQRT(SUMPRODUCT(INDIRECT("'Word Vectors'!B945:Z945"),INDIRECT("'Word Vectors'!B945:Z945")))))</f>
        <v/>
      </c>
      <c r="AJL2">
        <f>IF(OR($B$2="",ISNA(MATCH($B$2,'Word Vectors'!A:A,0)),'Word Vectors'!A946=$B$2),"",SUMPRODUCT(INDIRECT("'Word Vectors'!B"&amp;MATCH($B$2,'Word Vectors'!A:A,0)&amp;":Z"&amp;MATCH($B$2,'Word Vectors'!A:A,0)),INDIRECT("'Word Vectors'!B946:Z946"))/(SQRT(SUMPRODUCT(INDIRECT("'Word Vectors'!B"&amp;MATCH($B$2,'Word Vectors'!A:A,0)&amp;":Z"&amp;MATCH($B$2,'Word Vectors'!A:A,0)),INDIRECT("'Word Vectors'!B"&amp;MATCH($B$2,'Word Vectors'!A:A,0)&amp;":Z"&amp;MATCH($B$2,'Word Vectors'!A:A,0))))*SQRT(SUMPRODUCT(INDIRECT("'Word Vectors'!B946:Z946"),INDIRECT("'Word Vectors'!B946:Z946")))))</f>
        <v/>
      </c>
      <c r="AJM2">
        <f>IF(OR($B$2="",ISNA(MATCH($B$2,'Word Vectors'!A:A,0)),'Word Vectors'!A947=$B$2),"",SUMPRODUCT(INDIRECT("'Word Vectors'!B"&amp;MATCH($B$2,'Word Vectors'!A:A,0)&amp;":Z"&amp;MATCH($B$2,'Word Vectors'!A:A,0)),INDIRECT("'Word Vectors'!B947:Z947"))/(SQRT(SUMPRODUCT(INDIRECT("'Word Vectors'!B"&amp;MATCH($B$2,'Word Vectors'!A:A,0)&amp;":Z"&amp;MATCH($B$2,'Word Vectors'!A:A,0)),INDIRECT("'Word Vectors'!B"&amp;MATCH($B$2,'Word Vectors'!A:A,0)&amp;":Z"&amp;MATCH($B$2,'Word Vectors'!A:A,0))))*SQRT(SUMPRODUCT(INDIRECT("'Word Vectors'!B947:Z947"),INDIRECT("'Word Vectors'!B947:Z947")))))</f>
        <v/>
      </c>
      <c r="AJN2">
        <f>IF(OR($B$2="",ISNA(MATCH($B$2,'Word Vectors'!A:A,0)),'Word Vectors'!A948=$B$2),"",SUMPRODUCT(INDIRECT("'Word Vectors'!B"&amp;MATCH($B$2,'Word Vectors'!A:A,0)&amp;":Z"&amp;MATCH($B$2,'Word Vectors'!A:A,0)),INDIRECT("'Word Vectors'!B948:Z948"))/(SQRT(SUMPRODUCT(INDIRECT("'Word Vectors'!B"&amp;MATCH($B$2,'Word Vectors'!A:A,0)&amp;":Z"&amp;MATCH($B$2,'Word Vectors'!A:A,0)),INDIRECT("'Word Vectors'!B"&amp;MATCH($B$2,'Word Vectors'!A:A,0)&amp;":Z"&amp;MATCH($B$2,'Word Vectors'!A:A,0))))*SQRT(SUMPRODUCT(INDIRECT("'Word Vectors'!B948:Z948"),INDIRECT("'Word Vectors'!B948:Z948")))))</f>
        <v/>
      </c>
      <c r="AJO2">
        <f>IF(OR($B$2="",ISNA(MATCH($B$2,'Word Vectors'!A:A,0)),'Word Vectors'!A949=$B$2),"",SUMPRODUCT(INDIRECT("'Word Vectors'!B"&amp;MATCH($B$2,'Word Vectors'!A:A,0)&amp;":Z"&amp;MATCH($B$2,'Word Vectors'!A:A,0)),INDIRECT("'Word Vectors'!B949:Z949"))/(SQRT(SUMPRODUCT(INDIRECT("'Word Vectors'!B"&amp;MATCH($B$2,'Word Vectors'!A:A,0)&amp;":Z"&amp;MATCH($B$2,'Word Vectors'!A:A,0)),INDIRECT("'Word Vectors'!B"&amp;MATCH($B$2,'Word Vectors'!A:A,0)&amp;":Z"&amp;MATCH($B$2,'Word Vectors'!A:A,0))))*SQRT(SUMPRODUCT(INDIRECT("'Word Vectors'!B949:Z949"),INDIRECT("'Word Vectors'!B949:Z949")))))</f>
        <v/>
      </c>
      <c r="AJP2">
        <f>IF(OR($B$2="",ISNA(MATCH($B$2,'Word Vectors'!A:A,0)),'Word Vectors'!A950=$B$2),"",SUMPRODUCT(INDIRECT("'Word Vectors'!B"&amp;MATCH($B$2,'Word Vectors'!A:A,0)&amp;":Z"&amp;MATCH($B$2,'Word Vectors'!A:A,0)),INDIRECT("'Word Vectors'!B950:Z950"))/(SQRT(SUMPRODUCT(INDIRECT("'Word Vectors'!B"&amp;MATCH($B$2,'Word Vectors'!A:A,0)&amp;":Z"&amp;MATCH($B$2,'Word Vectors'!A:A,0)),INDIRECT("'Word Vectors'!B"&amp;MATCH($B$2,'Word Vectors'!A:A,0)&amp;":Z"&amp;MATCH($B$2,'Word Vectors'!A:A,0))))*SQRT(SUMPRODUCT(INDIRECT("'Word Vectors'!B950:Z950"),INDIRECT("'Word Vectors'!B950:Z950")))))</f>
        <v/>
      </c>
      <c r="AJQ2">
        <f>IF(OR($B$2="",ISNA(MATCH($B$2,'Word Vectors'!A:A,0)),'Word Vectors'!A951=$B$2),"",SUMPRODUCT(INDIRECT("'Word Vectors'!B"&amp;MATCH($B$2,'Word Vectors'!A:A,0)&amp;":Z"&amp;MATCH($B$2,'Word Vectors'!A:A,0)),INDIRECT("'Word Vectors'!B951:Z951"))/(SQRT(SUMPRODUCT(INDIRECT("'Word Vectors'!B"&amp;MATCH($B$2,'Word Vectors'!A:A,0)&amp;":Z"&amp;MATCH($B$2,'Word Vectors'!A:A,0)),INDIRECT("'Word Vectors'!B"&amp;MATCH($B$2,'Word Vectors'!A:A,0)&amp;":Z"&amp;MATCH($B$2,'Word Vectors'!A:A,0))))*SQRT(SUMPRODUCT(INDIRECT("'Word Vectors'!B951:Z951"),INDIRECT("'Word Vectors'!B951:Z951")))))</f>
        <v/>
      </c>
      <c r="AJR2">
        <f>IF(OR($B$2="",ISNA(MATCH($B$2,'Word Vectors'!A:A,0)),'Word Vectors'!A952=$B$2),"",SUMPRODUCT(INDIRECT("'Word Vectors'!B"&amp;MATCH($B$2,'Word Vectors'!A:A,0)&amp;":Z"&amp;MATCH($B$2,'Word Vectors'!A:A,0)),INDIRECT("'Word Vectors'!B952:Z952"))/(SQRT(SUMPRODUCT(INDIRECT("'Word Vectors'!B"&amp;MATCH($B$2,'Word Vectors'!A:A,0)&amp;":Z"&amp;MATCH($B$2,'Word Vectors'!A:A,0)),INDIRECT("'Word Vectors'!B"&amp;MATCH($B$2,'Word Vectors'!A:A,0)&amp;":Z"&amp;MATCH($B$2,'Word Vectors'!A:A,0))))*SQRT(SUMPRODUCT(INDIRECT("'Word Vectors'!B952:Z952"),INDIRECT("'Word Vectors'!B952:Z952")))))</f>
        <v/>
      </c>
      <c r="AJS2">
        <f>IF(OR($B$2="",ISNA(MATCH($B$2,'Word Vectors'!A:A,0)),'Word Vectors'!A953=$B$2),"",SUMPRODUCT(INDIRECT("'Word Vectors'!B"&amp;MATCH($B$2,'Word Vectors'!A:A,0)&amp;":Z"&amp;MATCH($B$2,'Word Vectors'!A:A,0)),INDIRECT("'Word Vectors'!B953:Z953"))/(SQRT(SUMPRODUCT(INDIRECT("'Word Vectors'!B"&amp;MATCH($B$2,'Word Vectors'!A:A,0)&amp;":Z"&amp;MATCH($B$2,'Word Vectors'!A:A,0)),INDIRECT("'Word Vectors'!B"&amp;MATCH($B$2,'Word Vectors'!A:A,0)&amp;":Z"&amp;MATCH($B$2,'Word Vectors'!A:A,0))))*SQRT(SUMPRODUCT(INDIRECT("'Word Vectors'!B953:Z953"),INDIRECT("'Word Vectors'!B953:Z953")))))</f>
        <v/>
      </c>
      <c r="AJT2">
        <f>IF(OR($B$2="",ISNA(MATCH($B$2,'Word Vectors'!A:A,0)),'Word Vectors'!A954=$B$2),"",SUMPRODUCT(INDIRECT("'Word Vectors'!B"&amp;MATCH($B$2,'Word Vectors'!A:A,0)&amp;":Z"&amp;MATCH($B$2,'Word Vectors'!A:A,0)),INDIRECT("'Word Vectors'!B954:Z954"))/(SQRT(SUMPRODUCT(INDIRECT("'Word Vectors'!B"&amp;MATCH($B$2,'Word Vectors'!A:A,0)&amp;":Z"&amp;MATCH($B$2,'Word Vectors'!A:A,0)),INDIRECT("'Word Vectors'!B"&amp;MATCH($B$2,'Word Vectors'!A:A,0)&amp;":Z"&amp;MATCH($B$2,'Word Vectors'!A:A,0))))*SQRT(SUMPRODUCT(INDIRECT("'Word Vectors'!B954:Z954"),INDIRECT("'Word Vectors'!B954:Z954")))))</f>
        <v/>
      </c>
      <c r="AJU2">
        <f>IF(OR($B$2="",ISNA(MATCH($B$2,'Word Vectors'!A:A,0)),'Word Vectors'!A955=$B$2),"",SUMPRODUCT(INDIRECT("'Word Vectors'!B"&amp;MATCH($B$2,'Word Vectors'!A:A,0)&amp;":Z"&amp;MATCH($B$2,'Word Vectors'!A:A,0)),INDIRECT("'Word Vectors'!B955:Z955"))/(SQRT(SUMPRODUCT(INDIRECT("'Word Vectors'!B"&amp;MATCH($B$2,'Word Vectors'!A:A,0)&amp;":Z"&amp;MATCH($B$2,'Word Vectors'!A:A,0)),INDIRECT("'Word Vectors'!B"&amp;MATCH($B$2,'Word Vectors'!A:A,0)&amp;":Z"&amp;MATCH($B$2,'Word Vectors'!A:A,0))))*SQRT(SUMPRODUCT(INDIRECT("'Word Vectors'!B955:Z955"),INDIRECT("'Word Vectors'!B955:Z955")))))</f>
        <v/>
      </c>
      <c r="AJV2">
        <f>IF(OR($B$2="",ISNA(MATCH($B$2,'Word Vectors'!A:A,0)),'Word Vectors'!A956=$B$2),"",SUMPRODUCT(INDIRECT("'Word Vectors'!B"&amp;MATCH($B$2,'Word Vectors'!A:A,0)&amp;":Z"&amp;MATCH($B$2,'Word Vectors'!A:A,0)),INDIRECT("'Word Vectors'!B956:Z956"))/(SQRT(SUMPRODUCT(INDIRECT("'Word Vectors'!B"&amp;MATCH($B$2,'Word Vectors'!A:A,0)&amp;":Z"&amp;MATCH($B$2,'Word Vectors'!A:A,0)),INDIRECT("'Word Vectors'!B"&amp;MATCH($B$2,'Word Vectors'!A:A,0)&amp;":Z"&amp;MATCH($B$2,'Word Vectors'!A:A,0))))*SQRT(SUMPRODUCT(INDIRECT("'Word Vectors'!B956:Z956"),INDIRECT("'Word Vectors'!B956:Z956")))))</f>
        <v/>
      </c>
      <c r="AJW2">
        <f>IF(OR($B$2="",ISNA(MATCH($B$2,'Word Vectors'!A:A,0)),'Word Vectors'!A957=$B$2),"",SUMPRODUCT(INDIRECT("'Word Vectors'!B"&amp;MATCH($B$2,'Word Vectors'!A:A,0)&amp;":Z"&amp;MATCH($B$2,'Word Vectors'!A:A,0)),INDIRECT("'Word Vectors'!B957:Z957"))/(SQRT(SUMPRODUCT(INDIRECT("'Word Vectors'!B"&amp;MATCH($B$2,'Word Vectors'!A:A,0)&amp;":Z"&amp;MATCH($B$2,'Word Vectors'!A:A,0)),INDIRECT("'Word Vectors'!B"&amp;MATCH($B$2,'Word Vectors'!A:A,0)&amp;":Z"&amp;MATCH($B$2,'Word Vectors'!A:A,0))))*SQRT(SUMPRODUCT(INDIRECT("'Word Vectors'!B957:Z957"),INDIRECT("'Word Vectors'!B957:Z957")))))</f>
        <v/>
      </c>
      <c r="AJX2">
        <f>IF(OR($B$2="",ISNA(MATCH($B$2,'Word Vectors'!A:A,0)),'Word Vectors'!A958=$B$2),"",SUMPRODUCT(INDIRECT("'Word Vectors'!B"&amp;MATCH($B$2,'Word Vectors'!A:A,0)&amp;":Z"&amp;MATCH($B$2,'Word Vectors'!A:A,0)),INDIRECT("'Word Vectors'!B958:Z958"))/(SQRT(SUMPRODUCT(INDIRECT("'Word Vectors'!B"&amp;MATCH($B$2,'Word Vectors'!A:A,0)&amp;":Z"&amp;MATCH($B$2,'Word Vectors'!A:A,0)),INDIRECT("'Word Vectors'!B"&amp;MATCH($B$2,'Word Vectors'!A:A,0)&amp;":Z"&amp;MATCH($B$2,'Word Vectors'!A:A,0))))*SQRT(SUMPRODUCT(INDIRECT("'Word Vectors'!B958:Z958"),INDIRECT("'Word Vectors'!B958:Z958")))))</f>
        <v/>
      </c>
      <c r="AJY2">
        <f>IF(OR($B$2="",ISNA(MATCH($B$2,'Word Vectors'!A:A,0)),'Word Vectors'!A959=$B$2),"",SUMPRODUCT(INDIRECT("'Word Vectors'!B"&amp;MATCH($B$2,'Word Vectors'!A:A,0)&amp;":Z"&amp;MATCH($B$2,'Word Vectors'!A:A,0)),INDIRECT("'Word Vectors'!B959:Z959"))/(SQRT(SUMPRODUCT(INDIRECT("'Word Vectors'!B"&amp;MATCH($B$2,'Word Vectors'!A:A,0)&amp;":Z"&amp;MATCH($B$2,'Word Vectors'!A:A,0)),INDIRECT("'Word Vectors'!B"&amp;MATCH($B$2,'Word Vectors'!A:A,0)&amp;":Z"&amp;MATCH($B$2,'Word Vectors'!A:A,0))))*SQRT(SUMPRODUCT(INDIRECT("'Word Vectors'!B959:Z959"),INDIRECT("'Word Vectors'!B959:Z959")))))</f>
        <v/>
      </c>
      <c r="AJZ2">
        <f>IF(OR($B$2="",ISNA(MATCH($B$2,'Word Vectors'!A:A,0)),'Word Vectors'!A960=$B$2),"",SUMPRODUCT(INDIRECT("'Word Vectors'!B"&amp;MATCH($B$2,'Word Vectors'!A:A,0)&amp;":Z"&amp;MATCH($B$2,'Word Vectors'!A:A,0)),INDIRECT("'Word Vectors'!B960:Z960"))/(SQRT(SUMPRODUCT(INDIRECT("'Word Vectors'!B"&amp;MATCH($B$2,'Word Vectors'!A:A,0)&amp;":Z"&amp;MATCH($B$2,'Word Vectors'!A:A,0)),INDIRECT("'Word Vectors'!B"&amp;MATCH($B$2,'Word Vectors'!A:A,0)&amp;":Z"&amp;MATCH($B$2,'Word Vectors'!A:A,0))))*SQRT(SUMPRODUCT(INDIRECT("'Word Vectors'!B960:Z960"),INDIRECT("'Word Vectors'!B960:Z960")))))</f>
        <v/>
      </c>
      <c r="AKA2">
        <f>IF(OR($B$2="",ISNA(MATCH($B$2,'Word Vectors'!A:A,0)),'Word Vectors'!A961=$B$2),"",SUMPRODUCT(INDIRECT("'Word Vectors'!B"&amp;MATCH($B$2,'Word Vectors'!A:A,0)&amp;":Z"&amp;MATCH($B$2,'Word Vectors'!A:A,0)),INDIRECT("'Word Vectors'!B961:Z961"))/(SQRT(SUMPRODUCT(INDIRECT("'Word Vectors'!B"&amp;MATCH($B$2,'Word Vectors'!A:A,0)&amp;":Z"&amp;MATCH($B$2,'Word Vectors'!A:A,0)),INDIRECT("'Word Vectors'!B"&amp;MATCH($B$2,'Word Vectors'!A:A,0)&amp;":Z"&amp;MATCH($B$2,'Word Vectors'!A:A,0))))*SQRT(SUMPRODUCT(INDIRECT("'Word Vectors'!B961:Z961"),INDIRECT("'Word Vectors'!B961:Z961")))))</f>
        <v/>
      </c>
      <c r="AKB2">
        <f>IF(OR($B$2="",ISNA(MATCH($B$2,'Word Vectors'!A:A,0)),'Word Vectors'!A962=$B$2),"",SUMPRODUCT(INDIRECT("'Word Vectors'!B"&amp;MATCH($B$2,'Word Vectors'!A:A,0)&amp;":Z"&amp;MATCH($B$2,'Word Vectors'!A:A,0)),INDIRECT("'Word Vectors'!B962:Z962"))/(SQRT(SUMPRODUCT(INDIRECT("'Word Vectors'!B"&amp;MATCH($B$2,'Word Vectors'!A:A,0)&amp;":Z"&amp;MATCH($B$2,'Word Vectors'!A:A,0)),INDIRECT("'Word Vectors'!B"&amp;MATCH($B$2,'Word Vectors'!A:A,0)&amp;":Z"&amp;MATCH($B$2,'Word Vectors'!A:A,0))))*SQRT(SUMPRODUCT(INDIRECT("'Word Vectors'!B962:Z962"),INDIRECT("'Word Vectors'!B962:Z962")))))</f>
        <v/>
      </c>
      <c r="AKC2">
        <f>IF(OR($B$2="",ISNA(MATCH($B$2,'Word Vectors'!A:A,0)),'Word Vectors'!A963=$B$2),"",SUMPRODUCT(INDIRECT("'Word Vectors'!B"&amp;MATCH($B$2,'Word Vectors'!A:A,0)&amp;":Z"&amp;MATCH($B$2,'Word Vectors'!A:A,0)),INDIRECT("'Word Vectors'!B963:Z963"))/(SQRT(SUMPRODUCT(INDIRECT("'Word Vectors'!B"&amp;MATCH($B$2,'Word Vectors'!A:A,0)&amp;":Z"&amp;MATCH($B$2,'Word Vectors'!A:A,0)),INDIRECT("'Word Vectors'!B"&amp;MATCH($B$2,'Word Vectors'!A:A,0)&amp;":Z"&amp;MATCH($B$2,'Word Vectors'!A:A,0))))*SQRT(SUMPRODUCT(INDIRECT("'Word Vectors'!B963:Z963"),INDIRECT("'Word Vectors'!B963:Z963")))))</f>
        <v/>
      </c>
      <c r="AKD2">
        <f>IF(OR($B$2="",ISNA(MATCH($B$2,'Word Vectors'!A:A,0)),'Word Vectors'!A964=$B$2),"",SUMPRODUCT(INDIRECT("'Word Vectors'!B"&amp;MATCH($B$2,'Word Vectors'!A:A,0)&amp;":Z"&amp;MATCH($B$2,'Word Vectors'!A:A,0)),INDIRECT("'Word Vectors'!B964:Z964"))/(SQRT(SUMPRODUCT(INDIRECT("'Word Vectors'!B"&amp;MATCH($B$2,'Word Vectors'!A:A,0)&amp;":Z"&amp;MATCH($B$2,'Word Vectors'!A:A,0)),INDIRECT("'Word Vectors'!B"&amp;MATCH($B$2,'Word Vectors'!A:A,0)&amp;":Z"&amp;MATCH($B$2,'Word Vectors'!A:A,0))))*SQRT(SUMPRODUCT(INDIRECT("'Word Vectors'!B964:Z964"),INDIRECT("'Word Vectors'!B964:Z964")))))</f>
        <v/>
      </c>
      <c r="AKE2">
        <f>IF(OR($B$2="",ISNA(MATCH($B$2,'Word Vectors'!A:A,0)),'Word Vectors'!A965=$B$2),"",SUMPRODUCT(INDIRECT("'Word Vectors'!B"&amp;MATCH($B$2,'Word Vectors'!A:A,0)&amp;":Z"&amp;MATCH($B$2,'Word Vectors'!A:A,0)),INDIRECT("'Word Vectors'!B965:Z965"))/(SQRT(SUMPRODUCT(INDIRECT("'Word Vectors'!B"&amp;MATCH($B$2,'Word Vectors'!A:A,0)&amp;":Z"&amp;MATCH($B$2,'Word Vectors'!A:A,0)),INDIRECT("'Word Vectors'!B"&amp;MATCH($B$2,'Word Vectors'!A:A,0)&amp;":Z"&amp;MATCH($B$2,'Word Vectors'!A:A,0))))*SQRT(SUMPRODUCT(INDIRECT("'Word Vectors'!B965:Z965"),INDIRECT("'Word Vectors'!B965:Z965")))))</f>
        <v/>
      </c>
      <c r="AKF2">
        <f>IF(OR($B$2="",ISNA(MATCH($B$2,'Word Vectors'!A:A,0)),'Word Vectors'!A966=$B$2),"",SUMPRODUCT(INDIRECT("'Word Vectors'!B"&amp;MATCH($B$2,'Word Vectors'!A:A,0)&amp;":Z"&amp;MATCH($B$2,'Word Vectors'!A:A,0)),INDIRECT("'Word Vectors'!B966:Z966"))/(SQRT(SUMPRODUCT(INDIRECT("'Word Vectors'!B"&amp;MATCH($B$2,'Word Vectors'!A:A,0)&amp;":Z"&amp;MATCH($B$2,'Word Vectors'!A:A,0)),INDIRECT("'Word Vectors'!B"&amp;MATCH($B$2,'Word Vectors'!A:A,0)&amp;":Z"&amp;MATCH($B$2,'Word Vectors'!A:A,0))))*SQRT(SUMPRODUCT(INDIRECT("'Word Vectors'!B966:Z966"),INDIRECT("'Word Vectors'!B966:Z966")))))</f>
        <v/>
      </c>
      <c r="AKG2">
        <f>IF(OR($B$2="",ISNA(MATCH($B$2,'Word Vectors'!A:A,0)),'Word Vectors'!A967=$B$2),"",SUMPRODUCT(INDIRECT("'Word Vectors'!B"&amp;MATCH($B$2,'Word Vectors'!A:A,0)&amp;":Z"&amp;MATCH($B$2,'Word Vectors'!A:A,0)),INDIRECT("'Word Vectors'!B967:Z967"))/(SQRT(SUMPRODUCT(INDIRECT("'Word Vectors'!B"&amp;MATCH($B$2,'Word Vectors'!A:A,0)&amp;":Z"&amp;MATCH($B$2,'Word Vectors'!A:A,0)),INDIRECT("'Word Vectors'!B"&amp;MATCH($B$2,'Word Vectors'!A:A,0)&amp;":Z"&amp;MATCH($B$2,'Word Vectors'!A:A,0))))*SQRT(SUMPRODUCT(INDIRECT("'Word Vectors'!B967:Z967"),INDIRECT("'Word Vectors'!B967:Z967")))))</f>
        <v/>
      </c>
      <c r="AKH2">
        <f>IF(OR($B$2="",ISNA(MATCH($B$2,'Word Vectors'!A:A,0)),'Word Vectors'!A968=$B$2),"",SUMPRODUCT(INDIRECT("'Word Vectors'!B"&amp;MATCH($B$2,'Word Vectors'!A:A,0)&amp;":Z"&amp;MATCH($B$2,'Word Vectors'!A:A,0)),INDIRECT("'Word Vectors'!B968:Z968"))/(SQRT(SUMPRODUCT(INDIRECT("'Word Vectors'!B"&amp;MATCH($B$2,'Word Vectors'!A:A,0)&amp;":Z"&amp;MATCH($B$2,'Word Vectors'!A:A,0)),INDIRECT("'Word Vectors'!B"&amp;MATCH($B$2,'Word Vectors'!A:A,0)&amp;":Z"&amp;MATCH($B$2,'Word Vectors'!A:A,0))))*SQRT(SUMPRODUCT(INDIRECT("'Word Vectors'!B968:Z968"),INDIRECT("'Word Vectors'!B968:Z968")))))</f>
        <v/>
      </c>
      <c r="AKI2">
        <f>IF(OR($B$2="",ISNA(MATCH($B$2,'Word Vectors'!A:A,0)),'Word Vectors'!A969=$B$2),"",SUMPRODUCT(INDIRECT("'Word Vectors'!B"&amp;MATCH($B$2,'Word Vectors'!A:A,0)&amp;":Z"&amp;MATCH($B$2,'Word Vectors'!A:A,0)),INDIRECT("'Word Vectors'!B969:Z969"))/(SQRT(SUMPRODUCT(INDIRECT("'Word Vectors'!B"&amp;MATCH($B$2,'Word Vectors'!A:A,0)&amp;":Z"&amp;MATCH($B$2,'Word Vectors'!A:A,0)),INDIRECT("'Word Vectors'!B"&amp;MATCH($B$2,'Word Vectors'!A:A,0)&amp;":Z"&amp;MATCH($B$2,'Word Vectors'!A:A,0))))*SQRT(SUMPRODUCT(INDIRECT("'Word Vectors'!B969:Z969"),INDIRECT("'Word Vectors'!B969:Z969")))))</f>
        <v/>
      </c>
      <c r="AKJ2">
        <f>IF(OR($B$2="",ISNA(MATCH($B$2,'Word Vectors'!A:A,0)),'Word Vectors'!A970=$B$2),"",SUMPRODUCT(INDIRECT("'Word Vectors'!B"&amp;MATCH($B$2,'Word Vectors'!A:A,0)&amp;":Z"&amp;MATCH($B$2,'Word Vectors'!A:A,0)),INDIRECT("'Word Vectors'!B970:Z970"))/(SQRT(SUMPRODUCT(INDIRECT("'Word Vectors'!B"&amp;MATCH($B$2,'Word Vectors'!A:A,0)&amp;":Z"&amp;MATCH($B$2,'Word Vectors'!A:A,0)),INDIRECT("'Word Vectors'!B"&amp;MATCH($B$2,'Word Vectors'!A:A,0)&amp;":Z"&amp;MATCH($B$2,'Word Vectors'!A:A,0))))*SQRT(SUMPRODUCT(INDIRECT("'Word Vectors'!B970:Z970"),INDIRECT("'Word Vectors'!B970:Z970")))))</f>
        <v/>
      </c>
      <c r="AKK2">
        <f>IF(OR($B$2="",ISNA(MATCH($B$2,'Word Vectors'!A:A,0)),'Word Vectors'!A971=$B$2),"",SUMPRODUCT(INDIRECT("'Word Vectors'!B"&amp;MATCH($B$2,'Word Vectors'!A:A,0)&amp;":Z"&amp;MATCH($B$2,'Word Vectors'!A:A,0)),INDIRECT("'Word Vectors'!B971:Z971"))/(SQRT(SUMPRODUCT(INDIRECT("'Word Vectors'!B"&amp;MATCH($B$2,'Word Vectors'!A:A,0)&amp;":Z"&amp;MATCH($B$2,'Word Vectors'!A:A,0)),INDIRECT("'Word Vectors'!B"&amp;MATCH($B$2,'Word Vectors'!A:A,0)&amp;":Z"&amp;MATCH($B$2,'Word Vectors'!A:A,0))))*SQRT(SUMPRODUCT(INDIRECT("'Word Vectors'!B971:Z971"),INDIRECT("'Word Vectors'!B971:Z971")))))</f>
        <v/>
      </c>
      <c r="AKL2">
        <f>IF(OR($B$2="",ISNA(MATCH($B$2,'Word Vectors'!A:A,0)),'Word Vectors'!A972=$B$2),"",SUMPRODUCT(INDIRECT("'Word Vectors'!B"&amp;MATCH($B$2,'Word Vectors'!A:A,0)&amp;":Z"&amp;MATCH($B$2,'Word Vectors'!A:A,0)),INDIRECT("'Word Vectors'!B972:Z972"))/(SQRT(SUMPRODUCT(INDIRECT("'Word Vectors'!B"&amp;MATCH($B$2,'Word Vectors'!A:A,0)&amp;":Z"&amp;MATCH($B$2,'Word Vectors'!A:A,0)),INDIRECT("'Word Vectors'!B"&amp;MATCH($B$2,'Word Vectors'!A:A,0)&amp;":Z"&amp;MATCH($B$2,'Word Vectors'!A:A,0))))*SQRT(SUMPRODUCT(INDIRECT("'Word Vectors'!B972:Z972"),INDIRECT("'Word Vectors'!B972:Z972")))))</f>
        <v/>
      </c>
      <c r="AKM2">
        <f>IF(OR($B$2="",ISNA(MATCH($B$2,'Word Vectors'!A:A,0)),'Word Vectors'!A973=$B$2),"",SUMPRODUCT(INDIRECT("'Word Vectors'!B"&amp;MATCH($B$2,'Word Vectors'!A:A,0)&amp;":Z"&amp;MATCH($B$2,'Word Vectors'!A:A,0)),INDIRECT("'Word Vectors'!B973:Z973"))/(SQRT(SUMPRODUCT(INDIRECT("'Word Vectors'!B"&amp;MATCH($B$2,'Word Vectors'!A:A,0)&amp;":Z"&amp;MATCH($B$2,'Word Vectors'!A:A,0)),INDIRECT("'Word Vectors'!B"&amp;MATCH($B$2,'Word Vectors'!A:A,0)&amp;":Z"&amp;MATCH($B$2,'Word Vectors'!A:A,0))))*SQRT(SUMPRODUCT(INDIRECT("'Word Vectors'!B973:Z973"),INDIRECT("'Word Vectors'!B973:Z973")))))</f>
        <v/>
      </c>
      <c r="AKN2">
        <f>IF(OR($B$2="",ISNA(MATCH($B$2,'Word Vectors'!A:A,0)),'Word Vectors'!A974=$B$2),"",SUMPRODUCT(INDIRECT("'Word Vectors'!B"&amp;MATCH($B$2,'Word Vectors'!A:A,0)&amp;":Z"&amp;MATCH($B$2,'Word Vectors'!A:A,0)),INDIRECT("'Word Vectors'!B974:Z974"))/(SQRT(SUMPRODUCT(INDIRECT("'Word Vectors'!B"&amp;MATCH($B$2,'Word Vectors'!A:A,0)&amp;":Z"&amp;MATCH($B$2,'Word Vectors'!A:A,0)),INDIRECT("'Word Vectors'!B"&amp;MATCH($B$2,'Word Vectors'!A:A,0)&amp;":Z"&amp;MATCH($B$2,'Word Vectors'!A:A,0))))*SQRT(SUMPRODUCT(INDIRECT("'Word Vectors'!B974:Z974"),INDIRECT("'Word Vectors'!B974:Z974")))))</f>
        <v/>
      </c>
      <c r="AKO2">
        <f>IF(OR($B$2="",ISNA(MATCH($B$2,'Word Vectors'!A:A,0)),'Word Vectors'!A975=$B$2),"",SUMPRODUCT(INDIRECT("'Word Vectors'!B"&amp;MATCH($B$2,'Word Vectors'!A:A,0)&amp;":Z"&amp;MATCH($B$2,'Word Vectors'!A:A,0)),INDIRECT("'Word Vectors'!B975:Z975"))/(SQRT(SUMPRODUCT(INDIRECT("'Word Vectors'!B"&amp;MATCH($B$2,'Word Vectors'!A:A,0)&amp;":Z"&amp;MATCH($B$2,'Word Vectors'!A:A,0)),INDIRECT("'Word Vectors'!B"&amp;MATCH($B$2,'Word Vectors'!A:A,0)&amp;":Z"&amp;MATCH($B$2,'Word Vectors'!A:A,0))))*SQRT(SUMPRODUCT(INDIRECT("'Word Vectors'!B975:Z975"),INDIRECT("'Word Vectors'!B975:Z975")))))</f>
        <v/>
      </c>
      <c r="AKP2">
        <f>IF(OR($B$2="",ISNA(MATCH($B$2,'Word Vectors'!A:A,0)),'Word Vectors'!A976=$B$2),"",SUMPRODUCT(INDIRECT("'Word Vectors'!B"&amp;MATCH($B$2,'Word Vectors'!A:A,0)&amp;":Z"&amp;MATCH($B$2,'Word Vectors'!A:A,0)),INDIRECT("'Word Vectors'!B976:Z976"))/(SQRT(SUMPRODUCT(INDIRECT("'Word Vectors'!B"&amp;MATCH($B$2,'Word Vectors'!A:A,0)&amp;":Z"&amp;MATCH($B$2,'Word Vectors'!A:A,0)),INDIRECT("'Word Vectors'!B"&amp;MATCH($B$2,'Word Vectors'!A:A,0)&amp;":Z"&amp;MATCH($B$2,'Word Vectors'!A:A,0))))*SQRT(SUMPRODUCT(INDIRECT("'Word Vectors'!B976:Z976"),INDIRECT("'Word Vectors'!B976:Z976")))))</f>
        <v/>
      </c>
      <c r="AKQ2">
        <f>IF(OR($B$2="",ISNA(MATCH($B$2,'Word Vectors'!A:A,0)),'Word Vectors'!A977=$B$2),"",SUMPRODUCT(INDIRECT("'Word Vectors'!B"&amp;MATCH($B$2,'Word Vectors'!A:A,0)&amp;":Z"&amp;MATCH($B$2,'Word Vectors'!A:A,0)),INDIRECT("'Word Vectors'!B977:Z977"))/(SQRT(SUMPRODUCT(INDIRECT("'Word Vectors'!B"&amp;MATCH($B$2,'Word Vectors'!A:A,0)&amp;":Z"&amp;MATCH($B$2,'Word Vectors'!A:A,0)),INDIRECT("'Word Vectors'!B"&amp;MATCH($B$2,'Word Vectors'!A:A,0)&amp;":Z"&amp;MATCH($B$2,'Word Vectors'!A:A,0))))*SQRT(SUMPRODUCT(INDIRECT("'Word Vectors'!B977:Z977"),INDIRECT("'Word Vectors'!B977:Z977")))))</f>
        <v/>
      </c>
      <c r="AKR2">
        <f>IF(OR($B$2="",ISNA(MATCH($B$2,'Word Vectors'!A:A,0)),'Word Vectors'!A978=$B$2),"",SUMPRODUCT(INDIRECT("'Word Vectors'!B"&amp;MATCH($B$2,'Word Vectors'!A:A,0)&amp;":Z"&amp;MATCH($B$2,'Word Vectors'!A:A,0)),INDIRECT("'Word Vectors'!B978:Z978"))/(SQRT(SUMPRODUCT(INDIRECT("'Word Vectors'!B"&amp;MATCH($B$2,'Word Vectors'!A:A,0)&amp;":Z"&amp;MATCH($B$2,'Word Vectors'!A:A,0)),INDIRECT("'Word Vectors'!B"&amp;MATCH($B$2,'Word Vectors'!A:A,0)&amp;":Z"&amp;MATCH($B$2,'Word Vectors'!A:A,0))))*SQRT(SUMPRODUCT(INDIRECT("'Word Vectors'!B978:Z978"),INDIRECT("'Word Vectors'!B978:Z978")))))</f>
        <v/>
      </c>
      <c r="AKS2">
        <f>IF(OR($B$2="",ISNA(MATCH($B$2,'Word Vectors'!A:A,0)),'Word Vectors'!A979=$B$2),"",SUMPRODUCT(INDIRECT("'Word Vectors'!B"&amp;MATCH($B$2,'Word Vectors'!A:A,0)&amp;":Z"&amp;MATCH($B$2,'Word Vectors'!A:A,0)),INDIRECT("'Word Vectors'!B979:Z979"))/(SQRT(SUMPRODUCT(INDIRECT("'Word Vectors'!B"&amp;MATCH($B$2,'Word Vectors'!A:A,0)&amp;":Z"&amp;MATCH($B$2,'Word Vectors'!A:A,0)),INDIRECT("'Word Vectors'!B"&amp;MATCH($B$2,'Word Vectors'!A:A,0)&amp;":Z"&amp;MATCH($B$2,'Word Vectors'!A:A,0))))*SQRT(SUMPRODUCT(INDIRECT("'Word Vectors'!B979:Z979"),INDIRECT("'Word Vectors'!B979:Z979")))))</f>
        <v/>
      </c>
      <c r="AKT2">
        <f>IF(OR($B$2="",ISNA(MATCH($B$2,'Word Vectors'!A:A,0)),'Word Vectors'!A980=$B$2),"",SUMPRODUCT(INDIRECT("'Word Vectors'!B"&amp;MATCH($B$2,'Word Vectors'!A:A,0)&amp;":Z"&amp;MATCH($B$2,'Word Vectors'!A:A,0)),INDIRECT("'Word Vectors'!B980:Z980"))/(SQRT(SUMPRODUCT(INDIRECT("'Word Vectors'!B"&amp;MATCH($B$2,'Word Vectors'!A:A,0)&amp;":Z"&amp;MATCH($B$2,'Word Vectors'!A:A,0)),INDIRECT("'Word Vectors'!B"&amp;MATCH($B$2,'Word Vectors'!A:A,0)&amp;":Z"&amp;MATCH($B$2,'Word Vectors'!A:A,0))))*SQRT(SUMPRODUCT(INDIRECT("'Word Vectors'!B980:Z980"),INDIRECT("'Word Vectors'!B980:Z980")))))</f>
        <v/>
      </c>
      <c r="AKU2">
        <f>IF(OR($B$2="",ISNA(MATCH($B$2,'Word Vectors'!A:A,0)),'Word Vectors'!A981=$B$2),"",SUMPRODUCT(INDIRECT("'Word Vectors'!B"&amp;MATCH($B$2,'Word Vectors'!A:A,0)&amp;":Z"&amp;MATCH($B$2,'Word Vectors'!A:A,0)),INDIRECT("'Word Vectors'!B981:Z981"))/(SQRT(SUMPRODUCT(INDIRECT("'Word Vectors'!B"&amp;MATCH($B$2,'Word Vectors'!A:A,0)&amp;":Z"&amp;MATCH($B$2,'Word Vectors'!A:A,0)),INDIRECT("'Word Vectors'!B"&amp;MATCH($B$2,'Word Vectors'!A:A,0)&amp;":Z"&amp;MATCH($B$2,'Word Vectors'!A:A,0))))*SQRT(SUMPRODUCT(INDIRECT("'Word Vectors'!B981:Z981"),INDIRECT("'Word Vectors'!B981:Z981")))))</f>
        <v/>
      </c>
      <c r="AKV2">
        <f>IF(OR($B$2="",ISNA(MATCH($B$2,'Word Vectors'!A:A,0)),'Word Vectors'!A982=$B$2),"",SUMPRODUCT(INDIRECT("'Word Vectors'!B"&amp;MATCH($B$2,'Word Vectors'!A:A,0)&amp;":Z"&amp;MATCH($B$2,'Word Vectors'!A:A,0)),INDIRECT("'Word Vectors'!B982:Z982"))/(SQRT(SUMPRODUCT(INDIRECT("'Word Vectors'!B"&amp;MATCH($B$2,'Word Vectors'!A:A,0)&amp;":Z"&amp;MATCH($B$2,'Word Vectors'!A:A,0)),INDIRECT("'Word Vectors'!B"&amp;MATCH($B$2,'Word Vectors'!A:A,0)&amp;":Z"&amp;MATCH($B$2,'Word Vectors'!A:A,0))))*SQRT(SUMPRODUCT(INDIRECT("'Word Vectors'!B982:Z982"),INDIRECT("'Word Vectors'!B982:Z982")))))</f>
        <v/>
      </c>
      <c r="AKW2">
        <f>IF(OR($B$2="",ISNA(MATCH($B$2,'Word Vectors'!A:A,0)),'Word Vectors'!A983=$B$2),"",SUMPRODUCT(INDIRECT("'Word Vectors'!B"&amp;MATCH($B$2,'Word Vectors'!A:A,0)&amp;":Z"&amp;MATCH($B$2,'Word Vectors'!A:A,0)),INDIRECT("'Word Vectors'!B983:Z983"))/(SQRT(SUMPRODUCT(INDIRECT("'Word Vectors'!B"&amp;MATCH($B$2,'Word Vectors'!A:A,0)&amp;":Z"&amp;MATCH($B$2,'Word Vectors'!A:A,0)),INDIRECT("'Word Vectors'!B"&amp;MATCH($B$2,'Word Vectors'!A:A,0)&amp;":Z"&amp;MATCH($B$2,'Word Vectors'!A:A,0))))*SQRT(SUMPRODUCT(INDIRECT("'Word Vectors'!B983:Z983"),INDIRECT("'Word Vectors'!B983:Z983")))))</f>
        <v/>
      </c>
      <c r="AKX2">
        <f>IF(OR($B$2="",ISNA(MATCH($B$2,'Word Vectors'!A:A,0)),'Word Vectors'!A984=$B$2),"",SUMPRODUCT(INDIRECT("'Word Vectors'!B"&amp;MATCH($B$2,'Word Vectors'!A:A,0)&amp;":Z"&amp;MATCH($B$2,'Word Vectors'!A:A,0)),INDIRECT("'Word Vectors'!B984:Z984"))/(SQRT(SUMPRODUCT(INDIRECT("'Word Vectors'!B"&amp;MATCH($B$2,'Word Vectors'!A:A,0)&amp;":Z"&amp;MATCH($B$2,'Word Vectors'!A:A,0)),INDIRECT("'Word Vectors'!B"&amp;MATCH($B$2,'Word Vectors'!A:A,0)&amp;":Z"&amp;MATCH($B$2,'Word Vectors'!A:A,0))))*SQRT(SUMPRODUCT(INDIRECT("'Word Vectors'!B984:Z984"),INDIRECT("'Word Vectors'!B984:Z984")))))</f>
        <v/>
      </c>
      <c r="AKY2">
        <f>IF(OR($B$2="",ISNA(MATCH($B$2,'Word Vectors'!A:A,0)),'Word Vectors'!A985=$B$2),"",SUMPRODUCT(INDIRECT("'Word Vectors'!B"&amp;MATCH($B$2,'Word Vectors'!A:A,0)&amp;":Z"&amp;MATCH($B$2,'Word Vectors'!A:A,0)),INDIRECT("'Word Vectors'!B985:Z985"))/(SQRT(SUMPRODUCT(INDIRECT("'Word Vectors'!B"&amp;MATCH($B$2,'Word Vectors'!A:A,0)&amp;":Z"&amp;MATCH($B$2,'Word Vectors'!A:A,0)),INDIRECT("'Word Vectors'!B"&amp;MATCH($B$2,'Word Vectors'!A:A,0)&amp;":Z"&amp;MATCH($B$2,'Word Vectors'!A:A,0))))*SQRT(SUMPRODUCT(INDIRECT("'Word Vectors'!B985:Z985"),INDIRECT("'Word Vectors'!B985:Z985")))))</f>
        <v/>
      </c>
      <c r="AKZ2">
        <f>IF(OR($B$2="",ISNA(MATCH($B$2,'Word Vectors'!A:A,0)),'Word Vectors'!A986=$B$2),"",SUMPRODUCT(INDIRECT("'Word Vectors'!B"&amp;MATCH($B$2,'Word Vectors'!A:A,0)&amp;":Z"&amp;MATCH($B$2,'Word Vectors'!A:A,0)),INDIRECT("'Word Vectors'!B986:Z986"))/(SQRT(SUMPRODUCT(INDIRECT("'Word Vectors'!B"&amp;MATCH($B$2,'Word Vectors'!A:A,0)&amp;":Z"&amp;MATCH($B$2,'Word Vectors'!A:A,0)),INDIRECT("'Word Vectors'!B"&amp;MATCH($B$2,'Word Vectors'!A:A,0)&amp;":Z"&amp;MATCH($B$2,'Word Vectors'!A:A,0))))*SQRT(SUMPRODUCT(INDIRECT("'Word Vectors'!B986:Z986"),INDIRECT("'Word Vectors'!B986:Z986")))))</f>
        <v/>
      </c>
      <c r="ALA2">
        <f>IF(OR($B$2="",ISNA(MATCH($B$2,'Word Vectors'!A:A,0)),'Word Vectors'!A987=$B$2),"",SUMPRODUCT(INDIRECT("'Word Vectors'!B"&amp;MATCH($B$2,'Word Vectors'!A:A,0)&amp;":Z"&amp;MATCH($B$2,'Word Vectors'!A:A,0)),INDIRECT("'Word Vectors'!B987:Z987"))/(SQRT(SUMPRODUCT(INDIRECT("'Word Vectors'!B"&amp;MATCH($B$2,'Word Vectors'!A:A,0)&amp;":Z"&amp;MATCH($B$2,'Word Vectors'!A:A,0)),INDIRECT("'Word Vectors'!B"&amp;MATCH($B$2,'Word Vectors'!A:A,0)&amp;":Z"&amp;MATCH($B$2,'Word Vectors'!A:A,0))))*SQRT(SUMPRODUCT(INDIRECT("'Word Vectors'!B987:Z987"),INDIRECT("'Word Vectors'!B987:Z987")))))</f>
        <v/>
      </c>
      <c r="ALB2">
        <f>IF(OR($B$2="",ISNA(MATCH($B$2,'Word Vectors'!A:A,0)),'Word Vectors'!A988=$B$2),"",SUMPRODUCT(INDIRECT("'Word Vectors'!B"&amp;MATCH($B$2,'Word Vectors'!A:A,0)&amp;":Z"&amp;MATCH($B$2,'Word Vectors'!A:A,0)),INDIRECT("'Word Vectors'!B988:Z988"))/(SQRT(SUMPRODUCT(INDIRECT("'Word Vectors'!B"&amp;MATCH($B$2,'Word Vectors'!A:A,0)&amp;":Z"&amp;MATCH($B$2,'Word Vectors'!A:A,0)),INDIRECT("'Word Vectors'!B"&amp;MATCH($B$2,'Word Vectors'!A:A,0)&amp;":Z"&amp;MATCH($B$2,'Word Vectors'!A:A,0))))*SQRT(SUMPRODUCT(INDIRECT("'Word Vectors'!B988:Z988"),INDIRECT("'Word Vectors'!B988:Z988")))))</f>
        <v/>
      </c>
      <c r="ALC2">
        <f>IF(OR($B$2="",ISNA(MATCH($B$2,'Word Vectors'!A:A,0)),'Word Vectors'!A989=$B$2),"",SUMPRODUCT(INDIRECT("'Word Vectors'!B"&amp;MATCH($B$2,'Word Vectors'!A:A,0)&amp;":Z"&amp;MATCH($B$2,'Word Vectors'!A:A,0)),INDIRECT("'Word Vectors'!B989:Z989"))/(SQRT(SUMPRODUCT(INDIRECT("'Word Vectors'!B"&amp;MATCH($B$2,'Word Vectors'!A:A,0)&amp;":Z"&amp;MATCH($B$2,'Word Vectors'!A:A,0)),INDIRECT("'Word Vectors'!B"&amp;MATCH($B$2,'Word Vectors'!A:A,0)&amp;":Z"&amp;MATCH($B$2,'Word Vectors'!A:A,0))))*SQRT(SUMPRODUCT(INDIRECT("'Word Vectors'!B989:Z989"),INDIRECT("'Word Vectors'!B989:Z989")))))</f>
        <v/>
      </c>
      <c r="ALD2">
        <f>IF(OR($B$2="",ISNA(MATCH($B$2,'Word Vectors'!A:A,0)),'Word Vectors'!A990=$B$2),"",SUMPRODUCT(INDIRECT("'Word Vectors'!B"&amp;MATCH($B$2,'Word Vectors'!A:A,0)&amp;":Z"&amp;MATCH($B$2,'Word Vectors'!A:A,0)),INDIRECT("'Word Vectors'!B990:Z990"))/(SQRT(SUMPRODUCT(INDIRECT("'Word Vectors'!B"&amp;MATCH($B$2,'Word Vectors'!A:A,0)&amp;":Z"&amp;MATCH($B$2,'Word Vectors'!A:A,0)),INDIRECT("'Word Vectors'!B"&amp;MATCH($B$2,'Word Vectors'!A:A,0)&amp;":Z"&amp;MATCH($B$2,'Word Vectors'!A:A,0))))*SQRT(SUMPRODUCT(INDIRECT("'Word Vectors'!B990:Z990"),INDIRECT("'Word Vectors'!B990:Z990")))))</f>
        <v/>
      </c>
      <c r="ALE2">
        <f>IF(OR($B$2="",ISNA(MATCH($B$2,'Word Vectors'!A:A,0)),'Word Vectors'!A991=$B$2),"",SUMPRODUCT(INDIRECT("'Word Vectors'!B"&amp;MATCH($B$2,'Word Vectors'!A:A,0)&amp;":Z"&amp;MATCH($B$2,'Word Vectors'!A:A,0)),INDIRECT("'Word Vectors'!B991:Z991"))/(SQRT(SUMPRODUCT(INDIRECT("'Word Vectors'!B"&amp;MATCH($B$2,'Word Vectors'!A:A,0)&amp;":Z"&amp;MATCH($B$2,'Word Vectors'!A:A,0)),INDIRECT("'Word Vectors'!B"&amp;MATCH($B$2,'Word Vectors'!A:A,0)&amp;":Z"&amp;MATCH($B$2,'Word Vectors'!A:A,0))))*SQRT(SUMPRODUCT(INDIRECT("'Word Vectors'!B991:Z991"),INDIRECT("'Word Vectors'!B991:Z991")))))</f>
        <v/>
      </c>
      <c r="ALF2">
        <f>IF(OR($B$2="",ISNA(MATCH($B$2,'Word Vectors'!A:A,0)),'Word Vectors'!A992=$B$2),"",SUMPRODUCT(INDIRECT("'Word Vectors'!B"&amp;MATCH($B$2,'Word Vectors'!A:A,0)&amp;":Z"&amp;MATCH($B$2,'Word Vectors'!A:A,0)),INDIRECT("'Word Vectors'!B992:Z992"))/(SQRT(SUMPRODUCT(INDIRECT("'Word Vectors'!B"&amp;MATCH($B$2,'Word Vectors'!A:A,0)&amp;":Z"&amp;MATCH($B$2,'Word Vectors'!A:A,0)),INDIRECT("'Word Vectors'!B"&amp;MATCH($B$2,'Word Vectors'!A:A,0)&amp;":Z"&amp;MATCH($B$2,'Word Vectors'!A:A,0))))*SQRT(SUMPRODUCT(INDIRECT("'Word Vectors'!B992:Z992"),INDIRECT("'Word Vectors'!B992:Z992")))))</f>
        <v/>
      </c>
      <c r="ALG2">
        <f>IF(OR($B$2="",ISNA(MATCH($B$2,'Word Vectors'!A:A,0)),'Word Vectors'!A993=$B$2),"",SUMPRODUCT(INDIRECT("'Word Vectors'!B"&amp;MATCH($B$2,'Word Vectors'!A:A,0)&amp;":Z"&amp;MATCH($B$2,'Word Vectors'!A:A,0)),INDIRECT("'Word Vectors'!B993:Z993"))/(SQRT(SUMPRODUCT(INDIRECT("'Word Vectors'!B"&amp;MATCH($B$2,'Word Vectors'!A:A,0)&amp;":Z"&amp;MATCH($B$2,'Word Vectors'!A:A,0)),INDIRECT("'Word Vectors'!B"&amp;MATCH($B$2,'Word Vectors'!A:A,0)&amp;":Z"&amp;MATCH($B$2,'Word Vectors'!A:A,0))))*SQRT(SUMPRODUCT(INDIRECT("'Word Vectors'!B993:Z993"),INDIRECT("'Word Vectors'!B993:Z993")))))</f>
        <v/>
      </c>
      <c r="ALH2">
        <f>IF(OR($B$2="",ISNA(MATCH($B$2,'Word Vectors'!A:A,0)),'Word Vectors'!A994=$B$2),"",SUMPRODUCT(INDIRECT("'Word Vectors'!B"&amp;MATCH($B$2,'Word Vectors'!A:A,0)&amp;":Z"&amp;MATCH($B$2,'Word Vectors'!A:A,0)),INDIRECT("'Word Vectors'!B994:Z994"))/(SQRT(SUMPRODUCT(INDIRECT("'Word Vectors'!B"&amp;MATCH($B$2,'Word Vectors'!A:A,0)&amp;":Z"&amp;MATCH($B$2,'Word Vectors'!A:A,0)),INDIRECT("'Word Vectors'!B"&amp;MATCH($B$2,'Word Vectors'!A:A,0)&amp;":Z"&amp;MATCH($B$2,'Word Vectors'!A:A,0))))*SQRT(SUMPRODUCT(INDIRECT("'Word Vectors'!B994:Z994"),INDIRECT("'Word Vectors'!B994:Z994")))))</f>
        <v/>
      </c>
      <c r="ALI2">
        <f>IF(OR($B$2="",ISNA(MATCH($B$2,'Word Vectors'!A:A,0)),'Word Vectors'!A995=$B$2),"",SUMPRODUCT(INDIRECT("'Word Vectors'!B"&amp;MATCH($B$2,'Word Vectors'!A:A,0)&amp;":Z"&amp;MATCH($B$2,'Word Vectors'!A:A,0)),INDIRECT("'Word Vectors'!B995:Z995"))/(SQRT(SUMPRODUCT(INDIRECT("'Word Vectors'!B"&amp;MATCH($B$2,'Word Vectors'!A:A,0)&amp;":Z"&amp;MATCH($B$2,'Word Vectors'!A:A,0)),INDIRECT("'Word Vectors'!B"&amp;MATCH($B$2,'Word Vectors'!A:A,0)&amp;":Z"&amp;MATCH($B$2,'Word Vectors'!A:A,0))))*SQRT(SUMPRODUCT(INDIRECT("'Word Vectors'!B995:Z995"),INDIRECT("'Word Vectors'!B995:Z995")))))</f>
        <v/>
      </c>
      <c r="ALJ2">
        <f>IF(OR($B$2="",ISNA(MATCH($B$2,'Word Vectors'!A:A,0)),'Word Vectors'!A996=$B$2),"",SUMPRODUCT(INDIRECT("'Word Vectors'!B"&amp;MATCH($B$2,'Word Vectors'!A:A,0)&amp;":Z"&amp;MATCH($B$2,'Word Vectors'!A:A,0)),INDIRECT("'Word Vectors'!B996:Z996"))/(SQRT(SUMPRODUCT(INDIRECT("'Word Vectors'!B"&amp;MATCH($B$2,'Word Vectors'!A:A,0)&amp;":Z"&amp;MATCH($B$2,'Word Vectors'!A:A,0)),INDIRECT("'Word Vectors'!B"&amp;MATCH($B$2,'Word Vectors'!A:A,0)&amp;":Z"&amp;MATCH($B$2,'Word Vectors'!A:A,0))))*SQRT(SUMPRODUCT(INDIRECT("'Word Vectors'!B996:Z996"),INDIRECT("'Word Vectors'!B996:Z996")))))</f>
        <v/>
      </c>
      <c r="ALK2">
        <f>IF(OR($B$2="",ISNA(MATCH($B$2,'Word Vectors'!A:A,0)),'Word Vectors'!A997=$B$2),"",SUMPRODUCT(INDIRECT("'Word Vectors'!B"&amp;MATCH($B$2,'Word Vectors'!A:A,0)&amp;":Z"&amp;MATCH($B$2,'Word Vectors'!A:A,0)),INDIRECT("'Word Vectors'!B997:Z997"))/(SQRT(SUMPRODUCT(INDIRECT("'Word Vectors'!B"&amp;MATCH($B$2,'Word Vectors'!A:A,0)&amp;":Z"&amp;MATCH($B$2,'Word Vectors'!A:A,0)),INDIRECT("'Word Vectors'!B"&amp;MATCH($B$2,'Word Vectors'!A:A,0)&amp;":Z"&amp;MATCH($B$2,'Word Vectors'!A:A,0))))*SQRT(SUMPRODUCT(INDIRECT("'Word Vectors'!B997:Z997"),INDIRECT("'Word Vectors'!B997:Z997")))))</f>
        <v/>
      </c>
      <c r="ALL2">
        <f>IF(OR($B$2="",ISNA(MATCH($B$2,'Word Vectors'!A:A,0)),'Word Vectors'!A998=$B$2),"",SUMPRODUCT(INDIRECT("'Word Vectors'!B"&amp;MATCH($B$2,'Word Vectors'!A:A,0)&amp;":Z"&amp;MATCH($B$2,'Word Vectors'!A:A,0)),INDIRECT("'Word Vectors'!B998:Z998"))/(SQRT(SUMPRODUCT(INDIRECT("'Word Vectors'!B"&amp;MATCH($B$2,'Word Vectors'!A:A,0)&amp;":Z"&amp;MATCH($B$2,'Word Vectors'!A:A,0)),INDIRECT("'Word Vectors'!B"&amp;MATCH($B$2,'Word Vectors'!A:A,0)&amp;":Z"&amp;MATCH($B$2,'Word Vectors'!A:A,0))))*SQRT(SUMPRODUCT(INDIRECT("'Word Vectors'!B998:Z998"),INDIRECT("'Word Vectors'!B998:Z998")))))</f>
        <v/>
      </c>
      <c r="ALM2">
        <f>IF(OR($B$2="",ISNA(MATCH($B$2,'Word Vectors'!A:A,0)),'Word Vectors'!A999=$B$2),"",SUMPRODUCT(INDIRECT("'Word Vectors'!B"&amp;MATCH($B$2,'Word Vectors'!A:A,0)&amp;":Z"&amp;MATCH($B$2,'Word Vectors'!A:A,0)),INDIRECT("'Word Vectors'!B999:Z999"))/(SQRT(SUMPRODUCT(INDIRECT("'Word Vectors'!B"&amp;MATCH($B$2,'Word Vectors'!A:A,0)&amp;":Z"&amp;MATCH($B$2,'Word Vectors'!A:A,0)),INDIRECT("'Word Vectors'!B"&amp;MATCH($B$2,'Word Vectors'!A:A,0)&amp;":Z"&amp;MATCH($B$2,'Word Vectors'!A:A,0))))*SQRT(SUMPRODUCT(INDIRECT("'Word Vectors'!B999:Z999"),INDIRECT("'Word Vectors'!B999:Z999")))))</f>
        <v/>
      </c>
      <c r="ALN2">
        <f>IF(OR($B$2="",ISNA(MATCH($B$2,'Word Vectors'!A:A,0)),'Word Vectors'!A1000=$B$2),"",SUMPRODUCT(INDIRECT("'Word Vectors'!B"&amp;MATCH($B$2,'Word Vectors'!A:A,0)&amp;":Z"&amp;MATCH($B$2,'Word Vectors'!A:A,0)),INDIRECT("'Word Vectors'!B1000:Z1000"))/(SQRT(SUMPRODUCT(INDIRECT("'Word Vectors'!B"&amp;MATCH($B$2,'Word Vectors'!A:A,0)&amp;":Z"&amp;MATCH($B$2,'Word Vectors'!A:A,0)),INDIRECT("'Word Vectors'!B"&amp;MATCH($B$2,'Word Vectors'!A:A,0)&amp;":Z"&amp;MATCH($B$2,'Word Vectors'!A:A,0))))*SQRT(SUMPRODUCT(INDIRECT("'Word Vectors'!B1000:Z1000"),INDIRECT("'Word Vectors'!B1000:Z1000")))))</f>
        <v/>
      </c>
      <c r="ALO2">
        <f>IF(OR($B$2="",ISNA(MATCH($B$2,'Word Vectors'!A:A,0)),'Word Vectors'!A1001=$B$2),"",SUMPRODUCT(INDIRECT("'Word Vectors'!B"&amp;MATCH($B$2,'Word Vectors'!A:A,0)&amp;":Z"&amp;MATCH($B$2,'Word Vectors'!A:A,0)),INDIRECT("'Word Vectors'!B1001:Z1001"))/(SQRT(SUMPRODUCT(INDIRECT("'Word Vectors'!B"&amp;MATCH($B$2,'Word Vectors'!A:A,0)&amp;":Z"&amp;MATCH($B$2,'Word Vectors'!A:A,0)),INDIRECT("'Word Vectors'!B"&amp;MATCH($B$2,'Word Vectors'!A:A,0)&amp;":Z"&amp;MATCH($B$2,'Word Vectors'!A:A,0))))*SQRT(SUMPRODUCT(INDIRECT("'Word Vectors'!B1001:Z1001"),INDIRECT("'Word Vectors'!B1001:Z1001")))))</f>
        <v/>
      </c>
    </row>
    <row r="3">
      <c r="A3" s="5" t="inlineStr">
        <is>
          <t>Instructions:</t>
        </is>
      </c>
      <c r="B3" s="6" t="inlineStr">
        <is>
          <t>Enter any word from the database in cell B2. The sheet will automatically find the top 10 most similar words based on cosine similarity of their word vectors. Results appear below.</t>
        </is>
      </c>
    </row>
    <row r="4">
      <c r="A4" t="inlineStr">
        <is>
          <t>3</t>
        </is>
      </c>
    </row>
    <row r="5">
      <c r="A5" s="5" t="inlineStr">
        <is>
          <t>Rank</t>
        </is>
      </c>
      <c r="B5" s="5" t="inlineStr">
        <is>
          <t>Word</t>
        </is>
      </c>
      <c r="C5" s="5" t="inlineStr">
        <is>
          <t>Similarity</t>
        </is>
      </c>
    </row>
    <row r="6">
      <c r="A6" t="n">
        <v>1</v>
      </c>
      <c r="B6">
        <f>IF(OR($B$2="",ISNA(MATCH($B$2,'Word Vectors'!A:A,0)),C6=""),"",INDEX('Word Vectors'!A:A,MATCH(C6,D2:ALO2,0)+1))</f>
        <v/>
      </c>
      <c r="C6">
        <f>IF(OR($B$2="",ISNA(MATCH($B$2,'Word Vectors'!A:A,0))),"",LARGE(D2:ALO2,1))</f>
        <v/>
      </c>
    </row>
    <row r="7">
      <c r="A7" t="n">
        <v>2</v>
      </c>
      <c r="B7">
        <f>IF(OR($B$2="",ISNA(MATCH($B$2,'Word Vectors'!A:A,0)),C7=""),"",INDEX('Word Vectors'!A:A,MATCH(C7,D2:ALO2,0)+1))</f>
        <v/>
      </c>
      <c r="C7">
        <f>IF(OR($B$2="",ISNA(MATCH($B$2,'Word Vectors'!A:A,0))),"",LARGE(D2:ALO2,2))</f>
        <v/>
      </c>
    </row>
    <row r="8">
      <c r="A8" t="n">
        <v>3</v>
      </c>
      <c r="B8">
        <f>IF(OR($B$2="",ISNA(MATCH($B$2,'Word Vectors'!A:A,0)),C8=""),"",INDEX('Word Vectors'!A:A,MATCH(C8,D2:ALO2,0)+1))</f>
        <v/>
      </c>
      <c r="C8">
        <f>IF(OR($B$2="",ISNA(MATCH($B$2,'Word Vectors'!A:A,0))),"",LARGE(D2:ALO2,3))</f>
        <v/>
      </c>
    </row>
    <row r="9">
      <c r="A9" t="n">
        <v>4</v>
      </c>
      <c r="B9">
        <f>IF(OR($B$2="",ISNA(MATCH($B$2,'Word Vectors'!A:A,0)),C9=""),"",INDEX('Word Vectors'!A:A,MATCH(C9,D2:ALO2,0)+1))</f>
        <v/>
      </c>
      <c r="C9">
        <f>IF(OR($B$2="",ISNA(MATCH($B$2,'Word Vectors'!A:A,0))),"",LARGE(D2:ALO2,4))</f>
        <v/>
      </c>
    </row>
    <row r="10">
      <c r="A10" t="n">
        <v>5</v>
      </c>
      <c r="B10">
        <f>IF(OR($B$2="",ISNA(MATCH($B$2,'Word Vectors'!A:A,0)),C10=""),"",INDEX('Word Vectors'!A:A,MATCH(C10,D2:ALO2,0)+1))</f>
        <v/>
      </c>
      <c r="C10">
        <f>IF(OR($B$2="",ISNA(MATCH($B$2,'Word Vectors'!A:A,0))),"",LARGE(D2:ALO2,5))</f>
        <v/>
      </c>
    </row>
    <row r="11">
      <c r="A11" t="n">
        <v>6</v>
      </c>
      <c r="B11">
        <f>IF(OR($B$2="",ISNA(MATCH($B$2,'Word Vectors'!A:A,0)),C11=""),"",INDEX('Word Vectors'!A:A,MATCH(C11,D2:ALO2,0)+1))</f>
        <v/>
      </c>
      <c r="C11">
        <f>IF(OR($B$2="",ISNA(MATCH($B$2,'Word Vectors'!A:A,0))),"",LARGE(D2:ALO2,6))</f>
        <v/>
      </c>
    </row>
    <row r="12">
      <c r="A12" t="n">
        <v>7</v>
      </c>
      <c r="B12">
        <f>IF(OR($B$2="",ISNA(MATCH($B$2,'Word Vectors'!A:A,0)),C12=""),"",INDEX('Word Vectors'!A:A,MATCH(C12,D2:ALO2,0)+1))</f>
        <v/>
      </c>
      <c r="C12">
        <f>IF(OR($B$2="",ISNA(MATCH($B$2,'Word Vectors'!A:A,0))),"",LARGE(D2:ALO2,7))</f>
        <v/>
      </c>
    </row>
    <row r="13">
      <c r="A13" t="n">
        <v>8</v>
      </c>
      <c r="B13">
        <f>IF(OR($B$2="",ISNA(MATCH($B$2,'Word Vectors'!A:A,0)),C13=""),"",INDEX('Word Vectors'!A:A,MATCH(C13,D2:ALO2,0)+1))</f>
        <v/>
      </c>
      <c r="C13">
        <f>IF(OR($B$2="",ISNA(MATCH($B$2,'Word Vectors'!A:A,0))),"",LARGE(D2:ALO2,8))</f>
        <v/>
      </c>
    </row>
    <row r="14">
      <c r="A14" t="n">
        <v>9</v>
      </c>
      <c r="B14">
        <f>IF(OR($B$2="",ISNA(MATCH($B$2,'Word Vectors'!A:A,0)),C14=""),"",INDEX('Word Vectors'!A:A,MATCH(C14,D2:ALO2,0)+1))</f>
        <v/>
      </c>
      <c r="C14">
        <f>IF(OR($B$2="",ISNA(MATCH($B$2,'Word Vectors'!A:A,0))),"",LARGE(D2:ALO2,9))</f>
        <v/>
      </c>
    </row>
    <row r="15">
      <c r="A15" t="n">
        <v>10</v>
      </c>
      <c r="B15">
        <f>IF(OR($B$2="",ISNA(MATCH($B$2,'Word Vectors'!A:A,0)),C15=""),"",INDEX('Word Vectors'!A:A,MATCH(C15,D2:ALO2,0)+1))</f>
        <v/>
      </c>
      <c r="C15">
        <f>IF(OR($B$2="",ISNA(MATCH($B$2,'Word Vectors'!A:A,0))),"",LARGE(D2:ALO2,10))</f>
        <v/>
      </c>
    </row>
    <row r="16">
      <c r="A16" s="7" t="inlineStr">
        <is>
          <t>Note:</t>
        </is>
      </c>
      <c r="B16" s="8" t="inlineStr">
        <is>
          <t>Similarity scores range from -1 to 1. Higher values indicate more similar words. The input word itself is excluded from results.</t>
        </is>
      </c>
    </row>
  </sheetData>
  <mergeCells count="3">
    <mergeCell ref="A1:C1"/>
    <mergeCell ref="B3:C3"/>
    <mergeCell ref="B16:C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2025-11-15T20:04:51Z</dcterms:created>
  <dcterms:modified xsi:type="dcterms:W3CDTF">2025-11-15T20:04:51Z</dcterms:modified>
</cp:coreProperties>
</file>